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C58B21F6-A980-41F3-AE20-C56DBBCB9357}" xr6:coauthVersionLast="36" xr6:coauthVersionMax="36" xr10:uidLastSave="{00000000-0000-0000-0000-000000000000}"/>
  <bookViews>
    <workbookView xWindow="0" yWindow="855" windowWidth="15360" windowHeight="723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테이블정의서!$B$4:$Y$473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207" i="26" l="1"/>
  <c r="AH207" i="26"/>
  <c r="AG207" i="26"/>
  <c r="AF207" i="26"/>
  <c r="AE207" i="26"/>
  <c r="AD207" i="26"/>
  <c r="AC207" i="26"/>
  <c r="AB207" i="26"/>
  <c r="AA207" i="26"/>
  <c r="Z207" i="26"/>
  <c r="AI194" i="26" l="1"/>
  <c r="AH194" i="26"/>
  <c r="AG194" i="26"/>
  <c r="AF194" i="26"/>
  <c r="AE194" i="26"/>
  <c r="AD194" i="26"/>
  <c r="AC194" i="26"/>
  <c r="AB194" i="26"/>
  <c r="AA194" i="26"/>
  <c r="Z194" i="26"/>
  <c r="AH5" i="26" l="1"/>
  <c r="AI32" i="26"/>
  <c r="AH32" i="26"/>
  <c r="AG32" i="26"/>
  <c r="AI31" i="26"/>
  <c r="AH31" i="26"/>
  <c r="AG31" i="26"/>
  <c r="AI30" i="26"/>
  <c r="AH30" i="26"/>
  <c r="AG30" i="26"/>
  <c r="AI29" i="26"/>
  <c r="AH29" i="26"/>
  <c r="AG29" i="26"/>
  <c r="AI28" i="26"/>
  <c r="AH28" i="26"/>
  <c r="AG28" i="26"/>
  <c r="AI27" i="26"/>
  <c r="AH27" i="26"/>
  <c r="AG27" i="26"/>
  <c r="AI26" i="26"/>
  <c r="AH26" i="26"/>
  <c r="AG26" i="26"/>
  <c r="AI25" i="26"/>
  <c r="AH25" i="26"/>
  <c r="AG25" i="26"/>
  <c r="AI24" i="26"/>
  <c r="AH24" i="26"/>
  <c r="AG24" i="26"/>
  <c r="AI23" i="26"/>
  <c r="AH23" i="26"/>
  <c r="AG23" i="26"/>
  <c r="AI22" i="26"/>
  <c r="AH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69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5" i="26"/>
  <c r="Z196" i="26"/>
  <c r="Z197" i="26"/>
  <c r="Z198" i="26"/>
  <c r="Z199" i="26"/>
  <c r="Z200" i="26"/>
  <c r="Z201" i="26"/>
  <c r="Z202" i="26"/>
  <c r="Z203" i="26"/>
  <c r="Z204" i="26"/>
  <c r="Z205" i="26"/>
  <c r="Z206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5" i="26"/>
  <c r="AA5" i="26"/>
  <c r="AE473" i="26"/>
  <c r="AE472" i="26"/>
  <c r="AE471" i="26"/>
  <c r="AE470" i="26"/>
  <c r="AE469" i="26"/>
  <c r="AE468" i="26"/>
  <c r="AE467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10" i="26"/>
  <c r="AE210" i="26"/>
  <c r="AF209" i="26"/>
  <c r="AE209" i="26"/>
  <c r="AF208" i="26"/>
  <c r="AE208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7" i="26"/>
  <c r="AE197" i="26"/>
  <c r="AF196" i="26"/>
  <c r="AE196" i="26"/>
  <c r="AF195" i="26"/>
  <c r="AE195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70" i="26"/>
  <c r="AE170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1" i="26" l="1"/>
  <c r="AH201" i="26"/>
  <c r="AG201" i="26"/>
  <c r="AD201" i="26"/>
  <c r="AC201" i="26"/>
  <c r="AB201" i="26"/>
  <c r="AA201" i="26"/>
  <c r="AI200" i="26"/>
  <c r="AH200" i="26"/>
  <c r="AG200" i="26"/>
  <c r="AD200" i="26"/>
  <c r="AC200" i="26"/>
  <c r="AB200" i="26"/>
  <c r="AA200" i="26"/>
  <c r="AI199" i="26"/>
  <c r="AH199" i="26"/>
  <c r="AG199" i="26"/>
  <c r="AD199" i="26"/>
  <c r="AC199" i="26"/>
  <c r="AB199" i="26"/>
  <c r="AA199" i="26"/>
  <c r="AI198" i="26"/>
  <c r="AH198" i="26"/>
  <c r="AG198" i="26"/>
  <c r="AD198" i="26"/>
  <c r="AC198" i="26"/>
  <c r="AB198" i="26"/>
  <c r="AA198" i="26"/>
  <c r="AI197" i="26"/>
  <c r="AH197" i="26"/>
  <c r="AG197" i="26"/>
  <c r="AD197" i="26"/>
  <c r="AC197" i="26"/>
  <c r="AB197" i="26"/>
  <c r="AA197" i="26"/>
  <c r="AI196" i="26"/>
  <c r="AH196" i="26"/>
  <c r="AG196" i="26"/>
  <c r="AD196" i="26"/>
  <c r="AC196" i="26"/>
  <c r="AB196" i="26"/>
  <c r="AA196" i="26"/>
  <c r="AI195" i="26"/>
  <c r="AH195" i="26"/>
  <c r="AG195" i="26"/>
  <c r="AD195" i="26"/>
  <c r="AC195" i="26"/>
  <c r="AB195" i="26"/>
  <c r="AA195" i="26"/>
  <c r="AI193" i="26"/>
  <c r="AH193" i="26"/>
  <c r="AG193" i="26"/>
  <c r="AD193" i="26"/>
  <c r="AC193" i="26"/>
  <c r="AB193" i="26"/>
  <c r="AA193" i="26"/>
  <c r="AI192" i="26"/>
  <c r="AH192" i="26"/>
  <c r="AG192" i="26"/>
  <c r="AB192" i="26"/>
  <c r="AA192" i="26"/>
  <c r="U192" i="26"/>
  <c r="AD192" i="26" s="1"/>
  <c r="AI208" i="26"/>
  <c r="AH208" i="26"/>
  <c r="AG208" i="26"/>
  <c r="AD208" i="26"/>
  <c r="AC208" i="26"/>
  <c r="AB208" i="26"/>
  <c r="AA208" i="26"/>
  <c r="AI243" i="26"/>
  <c r="AH243" i="26"/>
  <c r="AG243" i="26"/>
  <c r="AD243" i="26"/>
  <c r="AC243" i="26"/>
  <c r="AB243" i="26"/>
  <c r="AA243" i="26"/>
  <c r="AI242" i="26"/>
  <c r="AH242" i="26"/>
  <c r="AG242" i="26"/>
  <c r="AD242" i="26"/>
  <c r="AC242" i="26"/>
  <c r="AB242" i="26"/>
  <c r="AA242" i="26"/>
  <c r="AI241" i="26"/>
  <c r="AH241" i="26"/>
  <c r="AG241" i="26"/>
  <c r="AD241" i="26"/>
  <c r="AC241" i="26"/>
  <c r="AB241" i="26"/>
  <c r="AA241" i="26"/>
  <c r="AI240" i="26"/>
  <c r="AH240" i="26"/>
  <c r="AG240" i="26"/>
  <c r="AD240" i="26"/>
  <c r="AC240" i="26"/>
  <c r="AB240" i="26"/>
  <c r="AA240" i="26"/>
  <c r="AI239" i="26"/>
  <c r="AH239" i="26"/>
  <c r="AG239" i="26"/>
  <c r="AD239" i="26"/>
  <c r="AC239" i="26"/>
  <c r="AB239" i="26"/>
  <c r="AA239" i="26"/>
  <c r="AI238" i="26"/>
  <c r="AH238" i="26"/>
  <c r="AG238" i="26"/>
  <c r="AD238" i="26"/>
  <c r="AC238" i="26"/>
  <c r="AB238" i="26"/>
  <c r="AA238" i="26"/>
  <c r="AI237" i="26"/>
  <c r="AH237" i="26"/>
  <c r="AG237" i="26"/>
  <c r="AD237" i="26"/>
  <c r="AC237" i="26"/>
  <c r="AB237" i="26"/>
  <c r="AA237" i="26"/>
  <c r="AI236" i="26"/>
  <c r="AH236" i="26"/>
  <c r="AG236" i="26"/>
  <c r="AD236" i="26"/>
  <c r="AC236" i="26"/>
  <c r="AB236" i="26"/>
  <c r="AA236" i="26"/>
  <c r="AI235" i="26"/>
  <c r="AH235" i="26"/>
  <c r="AG235" i="26"/>
  <c r="AD235" i="26"/>
  <c r="AC235" i="26"/>
  <c r="AB235" i="26"/>
  <c r="AA235" i="26"/>
  <c r="AI234" i="26"/>
  <c r="AH234" i="26"/>
  <c r="AG234" i="26"/>
  <c r="AD234" i="26"/>
  <c r="AC234" i="26"/>
  <c r="AB234" i="26"/>
  <c r="AA234" i="26"/>
  <c r="AI233" i="26"/>
  <c r="AH233" i="26"/>
  <c r="AG233" i="26"/>
  <c r="AB233" i="26"/>
  <c r="AA233" i="26"/>
  <c r="U233" i="26"/>
  <c r="AD233" i="26" s="1"/>
  <c r="AH1" i="28"/>
  <c r="AG1" i="28"/>
  <c r="AF1" i="28"/>
  <c r="AE1" i="28"/>
  <c r="AD1" i="28"/>
  <c r="AC1" i="28"/>
  <c r="AB1" i="28"/>
  <c r="AA1" i="28"/>
  <c r="Z1" i="28"/>
  <c r="Y1" i="28"/>
  <c r="AI224" i="26"/>
  <c r="AH224" i="26"/>
  <c r="AG224" i="26"/>
  <c r="AD224" i="26"/>
  <c r="AC224" i="26"/>
  <c r="AB224" i="26"/>
  <c r="AA224" i="26"/>
  <c r="AI225" i="26"/>
  <c r="AH225" i="26"/>
  <c r="AG225" i="26"/>
  <c r="AD225" i="26"/>
  <c r="AC225" i="26"/>
  <c r="AB225" i="26"/>
  <c r="AA225" i="26"/>
  <c r="AI223" i="26"/>
  <c r="AH223" i="26"/>
  <c r="AG223" i="26"/>
  <c r="AD223" i="26"/>
  <c r="AC223" i="26"/>
  <c r="AB223" i="26"/>
  <c r="AA223" i="26"/>
  <c r="AI222" i="26"/>
  <c r="AH222" i="26"/>
  <c r="AG222" i="26"/>
  <c r="AB222" i="26"/>
  <c r="AA222" i="26"/>
  <c r="U222" i="26"/>
  <c r="AC222" i="26" s="1"/>
  <c r="AI232" i="26"/>
  <c r="AH232" i="26"/>
  <c r="AG232" i="26"/>
  <c r="AD232" i="26"/>
  <c r="AC232" i="26"/>
  <c r="AB232" i="26"/>
  <c r="AA232" i="26"/>
  <c r="AI231" i="26"/>
  <c r="AH231" i="26"/>
  <c r="AG231" i="26"/>
  <c r="AD231" i="26"/>
  <c r="AC231" i="26"/>
  <c r="AB231" i="26"/>
  <c r="AA231" i="26"/>
  <c r="AI230" i="26"/>
  <c r="AH230" i="26"/>
  <c r="AG230" i="26"/>
  <c r="AD230" i="26"/>
  <c r="AC230" i="26"/>
  <c r="AB230" i="26"/>
  <c r="AA230" i="26"/>
  <c r="AI229" i="26"/>
  <c r="AH229" i="26"/>
  <c r="AG229" i="26"/>
  <c r="AD229" i="26"/>
  <c r="AC229" i="26"/>
  <c r="AB229" i="26"/>
  <c r="AA229" i="26"/>
  <c r="AI228" i="26"/>
  <c r="AH228" i="26"/>
  <c r="AG228" i="26"/>
  <c r="AD228" i="26"/>
  <c r="AC228" i="26"/>
  <c r="AB228" i="26"/>
  <c r="AA228" i="26"/>
  <c r="AI227" i="26"/>
  <c r="AH227" i="26"/>
  <c r="AG227" i="26"/>
  <c r="AD227" i="26"/>
  <c r="AC227" i="26"/>
  <c r="AB227" i="26"/>
  <c r="AA227" i="26"/>
  <c r="AI226" i="26"/>
  <c r="AH226" i="26"/>
  <c r="AG226" i="26"/>
  <c r="AD226" i="26"/>
  <c r="AC226" i="26"/>
  <c r="AB226" i="26"/>
  <c r="AA226" i="26"/>
  <c r="AC192" i="26" l="1"/>
  <c r="AC233" i="26"/>
  <c r="AD222" i="26"/>
  <c r="AI83" i="26"/>
  <c r="AH83" i="26"/>
  <c r="AG83" i="26"/>
  <c r="AD83" i="26"/>
  <c r="AC83" i="26"/>
  <c r="AB83" i="26"/>
  <c r="AA83" i="26"/>
  <c r="AI110" i="26" l="1"/>
  <c r="AH110" i="26"/>
  <c r="AG110" i="26"/>
  <c r="AD110" i="26"/>
  <c r="AC110" i="26"/>
  <c r="AB110" i="26"/>
  <c r="AA110" i="26"/>
  <c r="AI99" i="26"/>
  <c r="AH99" i="26"/>
  <c r="AG99" i="26"/>
  <c r="AD99" i="26"/>
  <c r="AC99" i="26"/>
  <c r="AB99" i="26"/>
  <c r="AA99" i="26"/>
  <c r="AI107" i="26" l="1"/>
  <c r="AH107" i="26"/>
  <c r="AG107" i="26"/>
  <c r="AB107" i="26"/>
  <c r="AA107" i="26"/>
  <c r="U107" i="26"/>
  <c r="AD107" i="26" s="1"/>
  <c r="AI106" i="26"/>
  <c r="AH106" i="26"/>
  <c r="AG106" i="26"/>
  <c r="AD106" i="26"/>
  <c r="AC106" i="26"/>
  <c r="AB106" i="26"/>
  <c r="AA106" i="26"/>
  <c r="AI105" i="26"/>
  <c r="AH105" i="26"/>
  <c r="AG105" i="26"/>
  <c r="AD105" i="26"/>
  <c r="AC105" i="26"/>
  <c r="AB105" i="26"/>
  <c r="AA105" i="26"/>
  <c r="AI104" i="26"/>
  <c r="AH104" i="26"/>
  <c r="AG104" i="26"/>
  <c r="AD104" i="26"/>
  <c r="AC104" i="26"/>
  <c r="AB104" i="26"/>
  <c r="AA104" i="26"/>
  <c r="AI103" i="26"/>
  <c r="AH103" i="26"/>
  <c r="AG103" i="26"/>
  <c r="AD103" i="26"/>
  <c r="AC103" i="26"/>
  <c r="AB103" i="26"/>
  <c r="AA103" i="26"/>
  <c r="AI102" i="26"/>
  <c r="AH102" i="26"/>
  <c r="AG102" i="26"/>
  <c r="AD102" i="26"/>
  <c r="AC102" i="26"/>
  <c r="AB102" i="26"/>
  <c r="AA102" i="26"/>
  <c r="AI101" i="26"/>
  <c r="AH101" i="26"/>
  <c r="AG101" i="26"/>
  <c r="AD101" i="26"/>
  <c r="AC101" i="26"/>
  <c r="AB101" i="26"/>
  <c r="AA101" i="26"/>
  <c r="AI100" i="26"/>
  <c r="AH100" i="26"/>
  <c r="AG100" i="26"/>
  <c r="AD100" i="26"/>
  <c r="AC100" i="26"/>
  <c r="AB100" i="26"/>
  <c r="AA100" i="26"/>
  <c r="AI98" i="26"/>
  <c r="AH98" i="26"/>
  <c r="AG98" i="26"/>
  <c r="AD98" i="26"/>
  <c r="AC98" i="26"/>
  <c r="AB98" i="26"/>
  <c r="AA98" i="26"/>
  <c r="AI97" i="26"/>
  <c r="AH97" i="26"/>
  <c r="AG97" i="26"/>
  <c r="AB97" i="26"/>
  <c r="AA97" i="26"/>
  <c r="U97" i="26"/>
  <c r="AD97" i="26" s="1"/>
  <c r="AC108" i="26"/>
  <c r="AI117" i="26"/>
  <c r="AH117" i="26"/>
  <c r="AG117" i="26"/>
  <c r="AD117" i="26"/>
  <c r="AC117" i="26"/>
  <c r="AB117" i="26"/>
  <c r="AA117" i="26"/>
  <c r="AI116" i="26"/>
  <c r="AH116" i="26"/>
  <c r="AG116" i="26"/>
  <c r="AD116" i="26"/>
  <c r="AC116" i="26"/>
  <c r="AB116" i="26"/>
  <c r="AA116" i="26"/>
  <c r="AI115" i="26"/>
  <c r="AH115" i="26"/>
  <c r="AG115" i="26"/>
  <c r="AD115" i="26"/>
  <c r="AC115" i="26"/>
  <c r="AB115" i="26"/>
  <c r="AA115" i="26"/>
  <c r="AI114" i="26"/>
  <c r="AH114" i="26"/>
  <c r="AG114" i="26"/>
  <c r="AD114" i="26"/>
  <c r="AC114" i="26"/>
  <c r="AB114" i="26"/>
  <c r="AA114" i="26"/>
  <c r="AI113" i="26"/>
  <c r="AH113" i="26"/>
  <c r="AG113" i="26"/>
  <c r="AD113" i="26"/>
  <c r="AC113" i="26"/>
  <c r="AB113" i="26"/>
  <c r="AA113" i="26"/>
  <c r="AI112" i="26"/>
  <c r="AH112" i="26"/>
  <c r="AG112" i="26"/>
  <c r="AD112" i="26"/>
  <c r="AC112" i="26"/>
  <c r="AB112" i="26"/>
  <c r="AA112" i="26"/>
  <c r="AI111" i="26"/>
  <c r="AH111" i="26"/>
  <c r="AG111" i="26"/>
  <c r="AD111" i="26"/>
  <c r="AC111" i="26"/>
  <c r="AB111" i="26"/>
  <c r="AA111" i="26"/>
  <c r="AI109" i="26"/>
  <c r="AH109" i="26"/>
  <c r="AG109" i="26"/>
  <c r="AD109" i="26"/>
  <c r="AC109" i="26"/>
  <c r="AB109" i="26"/>
  <c r="AA109" i="26"/>
  <c r="AI108" i="26"/>
  <c r="AH108" i="26"/>
  <c r="AG108" i="26"/>
  <c r="AB108" i="26"/>
  <c r="AA108" i="26"/>
  <c r="AC107" i="26" l="1"/>
  <c r="AD108" i="26"/>
  <c r="AC97" i="26"/>
  <c r="AH6" i="26" l="1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202" i="26"/>
  <c r="AH203" i="26"/>
  <c r="AH204" i="26"/>
  <c r="AH205" i="26"/>
  <c r="AH206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I387" i="26"/>
  <c r="AG387" i="26"/>
  <c r="AD387" i="26"/>
  <c r="AC387" i="26"/>
  <c r="AA387" i="26"/>
  <c r="AB387" i="26"/>
  <c r="AC270" i="26" l="1"/>
  <c r="AC271" i="26"/>
  <c r="AC272" i="26"/>
  <c r="AC273" i="26"/>
  <c r="AC274" i="26"/>
  <c r="AC275" i="26"/>
  <c r="AC276" i="26"/>
  <c r="AC278" i="26"/>
  <c r="AC279" i="26"/>
  <c r="AC282" i="26"/>
  <c r="AC283" i="26"/>
  <c r="AC284" i="26"/>
  <c r="AC285" i="26"/>
  <c r="AC286" i="26"/>
  <c r="AC287" i="26"/>
  <c r="AC288" i="26"/>
  <c r="AC289" i="26"/>
  <c r="AC290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8" i="26"/>
  <c r="AC320" i="26"/>
  <c r="AC322" i="26"/>
  <c r="AC323" i="26"/>
  <c r="AC324" i="26"/>
  <c r="AC325" i="26"/>
  <c r="AC326" i="26"/>
  <c r="AC327" i="26"/>
  <c r="AC328" i="26"/>
  <c r="AC329" i="26"/>
  <c r="AC330" i="26"/>
  <c r="AC331" i="26"/>
  <c r="AC333" i="26"/>
  <c r="AC335" i="26"/>
  <c r="AC336" i="26"/>
  <c r="AC337" i="26"/>
  <c r="AC338" i="26"/>
  <c r="AC339" i="26"/>
  <c r="AC340" i="26"/>
  <c r="AC341" i="26"/>
  <c r="AC342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5" i="26"/>
  <c r="AC367" i="26"/>
  <c r="AC368" i="26"/>
  <c r="AC369" i="26"/>
  <c r="AC371" i="26"/>
  <c r="AC372" i="26"/>
  <c r="AC373" i="26"/>
  <c r="AC374" i="26"/>
  <c r="AC375" i="26"/>
  <c r="AC376" i="26"/>
  <c r="AC379" i="26"/>
  <c r="AC380" i="26"/>
  <c r="AC381" i="26"/>
  <c r="AC382" i="26"/>
  <c r="AC384" i="26"/>
  <c r="AC385" i="26"/>
  <c r="AC386" i="26"/>
  <c r="AC388" i="26"/>
  <c r="AC389" i="26"/>
  <c r="AC390" i="26"/>
  <c r="AC391" i="26"/>
  <c r="AC392" i="26"/>
  <c r="AC393" i="26"/>
  <c r="AC394" i="26"/>
  <c r="AC395" i="26"/>
  <c r="AC396" i="26"/>
  <c r="AC398" i="26"/>
  <c r="AC399" i="26"/>
  <c r="AC400" i="26"/>
  <c r="AC401" i="26"/>
  <c r="AC402" i="26"/>
  <c r="AC403" i="26"/>
  <c r="AC404" i="26"/>
  <c r="AC405" i="26"/>
  <c r="AC406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7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6" i="26"/>
  <c r="AC447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2" i="26"/>
  <c r="AG203" i="26"/>
  <c r="AG204" i="26"/>
  <c r="AG205" i="26"/>
  <c r="AG206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5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90" i="26"/>
  <c r="AI389" i="26"/>
  <c r="AI388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46" i="26"/>
  <c r="AI245" i="26"/>
  <c r="AI244" i="26"/>
  <c r="AI221" i="26"/>
  <c r="AI220" i="26"/>
  <c r="AI219" i="26"/>
  <c r="AI218" i="26"/>
  <c r="AI217" i="26"/>
  <c r="AI216" i="26"/>
  <c r="AI215" i="26"/>
  <c r="AI214" i="26"/>
  <c r="AI213" i="26"/>
  <c r="AI212" i="26"/>
  <c r="AI211" i="26"/>
  <c r="AI210" i="26"/>
  <c r="AI209" i="26"/>
  <c r="AI206" i="26"/>
  <c r="AI205" i="26"/>
  <c r="AI204" i="26"/>
  <c r="AI203" i="26"/>
  <c r="AI20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70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3" i="26" l="1"/>
  <c r="AC263" i="26"/>
  <c r="AB263" i="26"/>
  <c r="AA263" i="26"/>
  <c r="AA264" i="26"/>
  <c r="AB264" i="26"/>
  <c r="AC264" i="26"/>
  <c r="AD264" i="26"/>
  <c r="AD250" i="26"/>
  <c r="AC250" i="26"/>
  <c r="AB250" i="26"/>
  <c r="AA250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0" i="26"/>
  <c r="AD171" i="26"/>
  <c r="AD172" i="26"/>
  <c r="AD173" i="26"/>
  <c r="AD174" i="26"/>
  <c r="AD175" i="26"/>
  <c r="AD176" i="26"/>
  <c r="AD178" i="26"/>
  <c r="AD179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203" i="26"/>
  <c r="AD204" i="26"/>
  <c r="AD206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45" i="26"/>
  <c r="AD246" i="26"/>
  <c r="AD247" i="26"/>
  <c r="AD248" i="26"/>
  <c r="AD249" i="26"/>
  <c r="AD251" i="26"/>
  <c r="AD252" i="26"/>
  <c r="AD253" i="26"/>
  <c r="AD254" i="26"/>
  <c r="AD255" i="26"/>
  <c r="AD256" i="26"/>
  <c r="AD257" i="26"/>
  <c r="AD258" i="26"/>
  <c r="AD260" i="26"/>
  <c r="AD262" i="26"/>
  <c r="AD265" i="26"/>
  <c r="AD266" i="26"/>
  <c r="AD267" i="26"/>
  <c r="AD268" i="26"/>
  <c r="AD270" i="26"/>
  <c r="AD271" i="26"/>
  <c r="AD272" i="26"/>
  <c r="AD273" i="26"/>
  <c r="AD274" i="26"/>
  <c r="AD275" i="26"/>
  <c r="AD276" i="26"/>
  <c r="AD278" i="26"/>
  <c r="AD279" i="26"/>
  <c r="AD282" i="26"/>
  <c r="AD283" i="26"/>
  <c r="AD284" i="26"/>
  <c r="AD285" i="26"/>
  <c r="AD286" i="26"/>
  <c r="AD287" i="26"/>
  <c r="AD288" i="26"/>
  <c r="AD289" i="26"/>
  <c r="AD290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20" i="26"/>
  <c r="AD322" i="26"/>
  <c r="AD323" i="26"/>
  <c r="AD324" i="26"/>
  <c r="AD325" i="26"/>
  <c r="AD326" i="26"/>
  <c r="AD327" i="26"/>
  <c r="AD328" i="26"/>
  <c r="AD329" i="26"/>
  <c r="AD330" i="26"/>
  <c r="AD331" i="26"/>
  <c r="AD333" i="26"/>
  <c r="AD335" i="26"/>
  <c r="AD336" i="26"/>
  <c r="AD337" i="26"/>
  <c r="AD338" i="26"/>
  <c r="AD339" i="26"/>
  <c r="AD340" i="26"/>
  <c r="AD341" i="26"/>
  <c r="AD342" i="26"/>
  <c r="AD344" i="26"/>
  <c r="AD345" i="26"/>
  <c r="AD346" i="26"/>
  <c r="AD347" i="26"/>
  <c r="AD348" i="26"/>
  <c r="AD349" i="26"/>
  <c r="AD350" i="26"/>
  <c r="AD351" i="26"/>
  <c r="AD352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7" i="26"/>
  <c r="AD368" i="26"/>
  <c r="AD369" i="26"/>
  <c r="AD371" i="26"/>
  <c r="AD372" i="26"/>
  <c r="AD373" i="26"/>
  <c r="AD374" i="26"/>
  <c r="AD375" i="26"/>
  <c r="AD376" i="26"/>
  <c r="AD379" i="26"/>
  <c r="AD380" i="26"/>
  <c r="AD381" i="26"/>
  <c r="AD382" i="26"/>
  <c r="AD384" i="26"/>
  <c r="AD385" i="26"/>
  <c r="AD386" i="26"/>
  <c r="AD388" i="26"/>
  <c r="AD389" i="26"/>
  <c r="AD390" i="26"/>
  <c r="AD391" i="26"/>
  <c r="AD392" i="26"/>
  <c r="AD393" i="26"/>
  <c r="AD394" i="26"/>
  <c r="AD395" i="26"/>
  <c r="AD396" i="26"/>
  <c r="AD398" i="26"/>
  <c r="AD399" i="26"/>
  <c r="AD400" i="26"/>
  <c r="AD401" i="26"/>
  <c r="AD402" i="26"/>
  <c r="AD403" i="26"/>
  <c r="AD404" i="26"/>
  <c r="AD405" i="26"/>
  <c r="AD406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7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6" i="26"/>
  <c r="AD447" i="26"/>
  <c r="AD449" i="26"/>
  <c r="AD450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180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0" i="26" l="1"/>
  <c r="AC280" i="26"/>
  <c r="AD378" i="26"/>
  <c r="AC378" i="26"/>
  <c r="U319" i="26"/>
  <c r="U343" i="26"/>
  <c r="U353" i="26"/>
  <c r="U306" i="26"/>
  <c r="AD306" i="26" l="1"/>
  <c r="AC306" i="26"/>
  <c r="AD353" i="26"/>
  <c r="AC353" i="26"/>
  <c r="AD343" i="26"/>
  <c r="AC343" i="26"/>
  <c r="AD319" i="26"/>
  <c r="AC319" i="26"/>
  <c r="U332" i="26"/>
  <c r="AC321" i="26"/>
  <c r="U366" i="26"/>
  <c r="AC366" i="26" s="1"/>
  <c r="U377" i="26"/>
  <c r="AC383" i="26"/>
  <c r="U397" i="26"/>
  <c r="U407" i="26"/>
  <c r="AC407" i="26" s="1"/>
  <c r="U426" i="26"/>
  <c r="AD332" i="26" l="1"/>
  <c r="AC332" i="26"/>
  <c r="AD334" i="26"/>
  <c r="AC334" i="26"/>
  <c r="AD377" i="26"/>
  <c r="AC377" i="26"/>
  <c r="AD426" i="26"/>
  <c r="AC426" i="26"/>
  <c r="AD397" i="26"/>
  <c r="AC397" i="26"/>
  <c r="AD370" i="26"/>
  <c r="AC370" i="26"/>
  <c r="AD407" i="26"/>
  <c r="AD383" i="26"/>
  <c r="AD366" i="26"/>
  <c r="AD321" i="26"/>
  <c r="AC180" i="26"/>
  <c r="AB180" i="26"/>
  <c r="AA180" i="26"/>
  <c r="AC179" i="26"/>
  <c r="AB179" i="26"/>
  <c r="AA179" i="26"/>
  <c r="AC184" i="26"/>
  <c r="AB184" i="26"/>
  <c r="AA184" i="26"/>
  <c r="AC210" i="26" l="1"/>
  <c r="AB210" i="26"/>
  <c r="AA210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49" i="26" l="1"/>
  <c r="AB249" i="26"/>
  <c r="AA249" i="26"/>
  <c r="AC15" i="26" l="1"/>
  <c r="AC14" i="26"/>
  <c r="AC13" i="26"/>
  <c r="AB15" i="26"/>
  <c r="AB14" i="26"/>
  <c r="AB13" i="26"/>
  <c r="AA15" i="26"/>
  <c r="AA14" i="26"/>
  <c r="AA13" i="26"/>
  <c r="AC258" i="26" l="1"/>
  <c r="AC260" i="26" l="1"/>
  <c r="AB259" i="26"/>
  <c r="AB247" i="26" l="1"/>
  <c r="AB248" i="26"/>
  <c r="AB251" i="26"/>
  <c r="AB252" i="26"/>
  <c r="AB253" i="26"/>
  <c r="AB254" i="26"/>
  <c r="AB255" i="26"/>
  <c r="AB256" i="26"/>
  <c r="AB257" i="26"/>
  <c r="AB258" i="26"/>
  <c r="AB260" i="26"/>
  <c r="AB261" i="26"/>
  <c r="AC253" i="26"/>
  <c r="AC254" i="26"/>
  <c r="AC255" i="26"/>
  <c r="AC256" i="26"/>
  <c r="AC257" i="26"/>
  <c r="AA259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81" i="26"/>
  <c r="AC182" i="26"/>
  <c r="AC183" i="26"/>
  <c r="AC185" i="26"/>
  <c r="AC186" i="26"/>
  <c r="AC187" i="26"/>
  <c r="AC188" i="26"/>
  <c r="AC189" i="26"/>
  <c r="AC190" i="26"/>
  <c r="AC191" i="26"/>
  <c r="AC203" i="26"/>
  <c r="AC204" i="26"/>
  <c r="AC206" i="26"/>
  <c r="AC209" i="26"/>
  <c r="AC211" i="26"/>
  <c r="AC212" i="26"/>
  <c r="AC213" i="26"/>
  <c r="AC214" i="26"/>
  <c r="AC215" i="26"/>
  <c r="AC216" i="26"/>
  <c r="AC217" i="26"/>
  <c r="AC218" i="26"/>
  <c r="AC219" i="26"/>
  <c r="AC220" i="26"/>
  <c r="AC221" i="26"/>
  <c r="AC245" i="26"/>
  <c r="AC246" i="26"/>
  <c r="AC247" i="26"/>
  <c r="AC248" i="26"/>
  <c r="AC251" i="26"/>
  <c r="AC252" i="26"/>
  <c r="AC262" i="26"/>
  <c r="AC266" i="26"/>
  <c r="AC267" i="26"/>
  <c r="AC268" i="26"/>
  <c r="AC448" i="26"/>
  <c r="AC281" i="26"/>
  <c r="AD205" i="26"/>
  <c r="AC132" i="26"/>
  <c r="AC41" i="26"/>
  <c r="U445" i="26"/>
  <c r="U291" i="26"/>
  <c r="AC291" i="26" s="1"/>
  <c r="U277" i="26"/>
  <c r="AC277" i="26" s="1"/>
  <c r="U259" i="26"/>
  <c r="AD259" i="26" s="1"/>
  <c r="U244" i="26"/>
  <c r="U202" i="26"/>
  <c r="U177" i="26"/>
  <c r="U162" i="26"/>
  <c r="U152" i="26"/>
  <c r="AD152" i="26" s="1"/>
  <c r="U142" i="26"/>
  <c r="AC65" i="26"/>
  <c r="AD445" i="26" l="1"/>
  <c r="AC445" i="26"/>
  <c r="AD428" i="26"/>
  <c r="AC428" i="26"/>
  <c r="AC67" i="26"/>
  <c r="AD244" i="26"/>
  <c r="AD281" i="26"/>
  <c r="AC162" i="26"/>
  <c r="AD162" i="26"/>
  <c r="AD177" i="26"/>
  <c r="AD269" i="26"/>
  <c r="AD291" i="26"/>
  <c r="AC202" i="26"/>
  <c r="AD202" i="26"/>
  <c r="AC87" i="26"/>
  <c r="AD142" i="26"/>
  <c r="AD277" i="26"/>
  <c r="AD448" i="26"/>
  <c r="AC261" i="26"/>
  <c r="AD261" i="26"/>
  <c r="AC259" i="26"/>
  <c r="AC55" i="26"/>
  <c r="AC5" i="26"/>
  <c r="AC244" i="26"/>
  <c r="AC39" i="26"/>
  <c r="AC131" i="26"/>
  <c r="AC177" i="26"/>
  <c r="AC75" i="26"/>
  <c r="AC142" i="26"/>
  <c r="AC120" i="26"/>
  <c r="AC152" i="26"/>
  <c r="AC133" i="26"/>
  <c r="AC205" i="26"/>
  <c r="AC265" i="26"/>
  <c r="AC16" i="26"/>
  <c r="AC269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2" i="26"/>
  <c r="AB203" i="26"/>
  <c r="AB204" i="26"/>
  <c r="AB205" i="26"/>
  <c r="AB206" i="26"/>
  <c r="AB209" i="26"/>
  <c r="AB211" i="26"/>
  <c r="AB212" i="26"/>
  <c r="AB213" i="26"/>
  <c r="AB214" i="26"/>
  <c r="AB215" i="26"/>
  <c r="AB216" i="26"/>
  <c r="AB217" i="26"/>
  <c r="AB218" i="26"/>
  <c r="AB219" i="26"/>
  <c r="AB220" i="26"/>
  <c r="AB221" i="26"/>
  <c r="AB244" i="26"/>
  <c r="AB245" i="26"/>
  <c r="AB246" i="26"/>
  <c r="AB262" i="26"/>
  <c r="AB265" i="26"/>
  <c r="AB266" i="26"/>
  <c r="AB267" i="26"/>
  <c r="AB268" i="26"/>
  <c r="AB269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2" i="26"/>
  <c r="AA203" i="26"/>
  <c r="AA204" i="26"/>
  <c r="AA205" i="26"/>
  <c r="AA206" i="26"/>
  <c r="AA209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44" i="26"/>
  <c r="AA245" i="26"/>
  <c r="AA246" i="26"/>
  <c r="AA247" i="26"/>
  <c r="AA248" i="26"/>
  <c r="AA251" i="26"/>
  <c r="AA252" i="26"/>
  <c r="AA253" i="26"/>
  <c r="AA254" i="26"/>
  <c r="AA255" i="26"/>
  <c r="AA256" i="26"/>
  <c r="AA257" i="26"/>
  <c r="AA258" i="26"/>
  <c r="AA260" i="26"/>
  <c r="AA261" i="26"/>
  <c r="AA262" i="26"/>
  <c r="AA265" i="26"/>
  <c r="AA266" i="26"/>
  <c r="AA267" i="26"/>
  <c r="AA268" i="26"/>
  <c r="AA269" i="26"/>
  <c r="AA6" i="26"/>
</calcChain>
</file>

<file path=xl/sharedStrings.xml><?xml version="1.0" encoding="utf-8"?>
<sst xmlns="http://schemas.openxmlformats.org/spreadsheetml/2006/main" count="4801" uniqueCount="842">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</sst>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4"/>
  <sheetViews>
    <sheetView tabSelected="1" zoomScaleNormal="100" zoomScaleSheetLayoutView="85" workbookViewId="0">
      <pane ySplit="4" topLeftCell="A196" activePane="bottomLeft" state="frozen"/>
      <selection activeCell="S1" sqref="S1"/>
      <selection pane="bottomLeft" activeCell="G214" sqref="G214"/>
    </sheetView>
  </sheetViews>
  <sheetFormatPr defaultColWidth="8.77734375" defaultRowHeight="16.5"/>
  <cols>
    <col min="1" max="1" width="2.886718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4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786</v>
      </c>
      <c r="AH3" s="129" t="s">
        <v>786</v>
      </c>
      <c r="AI3" s="129" t="s">
        <v>786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787</v>
      </c>
      <c r="AC4" s="150" t="s">
        <v>534</v>
      </c>
      <c r="AD4" s="150" t="s">
        <v>713</v>
      </c>
      <c r="AE4" s="150" t="s">
        <v>720</v>
      </c>
      <c r="AF4" s="150" t="s">
        <v>544</v>
      </c>
      <c r="AG4" s="151" t="s">
        <v>714</v>
      </c>
      <c r="AH4" s="151" t="s">
        <v>716</v>
      </c>
      <c r="AI4" s="151" t="s">
        <v>717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'" &amp; $S5 &amp; "'")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25" t="str">
        <f t="shared" ref="AH6:AH78" si="7">"ALTER TABLE "&amp;$E6&amp;" ADD COLUMN "&amp;$H6&amp;" "&amp;$Q6&amp;IF(ISBLANK(R6),"",$R6)&amp;IF(ISBLANK($J6),""," NOT NULL")&amp;IF(ISBLANK($S6),""," DEFAULT '" &amp; $S6 &amp; "'")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707</v>
      </c>
      <c r="I7" s="96" t="s">
        <v>708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708</v>
      </c>
      <c r="U7" s="110"/>
      <c r="V7" s="110"/>
      <c r="W7" s="116" t="s">
        <v>709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25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25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710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804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25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712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25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25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25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25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25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25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25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804</v>
      </c>
      <c r="R17" s="119" t="s">
        <v>522</v>
      </c>
      <c r="S17" s="82" t="s">
        <v>803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25" t="str">
        <f t="shared" si="7"/>
        <v>ALTER TABLE TB_USER ADD COLUMN MNGR_YN BPCHAR(1) NOT NULL DEFAULT ''N'::bpchar';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804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25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25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25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706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25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805</v>
      </c>
      <c r="I22" s="96" t="s">
        <v>806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25" t="str">
        <f t="shared" ref="AH22:AH32" si="16">"ALTER TABLE "&amp;$E22&amp;" ADD COLUMN "&amp;$H22&amp;" "&amp;$Q22&amp;IF(ISBLANK(R22),"",$R22)&amp;IF(ISBLANK($J22),""," NOT NULL")&amp;IF(ISBLANK($S22),""," DEFAULT '" &amp; $S22 &amp; "'") &amp; ";"</f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816</v>
      </c>
      <c r="I23" s="96" t="s">
        <v>811</v>
      </c>
      <c r="J23" s="73"/>
      <c r="K23" s="52"/>
      <c r="L23" s="52"/>
      <c r="M23" s="52"/>
      <c r="N23" s="52"/>
      <c r="O23" s="52"/>
      <c r="P23" s="52"/>
      <c r="Q23" s="51" t="s">
        <v>706</v>
      </c>
      <c r="R23" s="119"/>
      <c r="S23" s="80"/>
      <c r="T23" s="96" t="s">
        <v>826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25" t="str">
        <f t="shared" si="16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817</v>
      </c>
      <c r="I24" s="96" t="s">
        <v>807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7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25" t="str">
        <f t="shared" si="16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818</v>
      </c>
      <c r="I25" s="96" t="s">
        <v>812</v>
      </c>
      <c r="J25" s="73"/>
      <c r="K25" s="52"/>
      <c r="L25" s="52"/>
      <c r="M25" s="52"/>
      <c r="N25" s="52"/>
      <c r="O25" s="52"/>
      <c r="P25" s="52"/>
      <c r="Q25" s="51" t="s">
        <v>706</v>
      </c>
      <c r="R25" s="119"/>
      <c r="S25" s="80"/>
      <c r="T25" s="96" t="s">
        <v>828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25" t="str">
        <f t="shared" si="16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819</v>
      </c>
      <c r="I26" s="96" t="s">
        <v>808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7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25" t="str">
        <f t="shared" si="16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820</v>
      </c>
      <c r="I27" s="96" t="s">
        <v>813</v>
      </c>
      <c r="J27" s="73"/>
      <c r="K27" s="52"/>
      <c r="L27" s="52"/>
      <c r="M27" s="52"/>
      <c r="N27" s="52"/>
      <c r="O27" s="52"/>
      <c r="P27" s="52"/>
      <c r="Q27" s="51" t="s">
        <v>706</v>
      </c>
      <c r="R27" s="119"/>
      <c r="S27" s="80"/>
      <c r="T27" s="96" t="s">
        <v>830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25" t="str">
        <f t="shared" si="16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821</v>
      </c>
      <c r="I28" s="96" t="s">
        <v>809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831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7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25" t="str">
        <f t="shared" si="16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822</v>
      </c>
      <c r="I29" s="96" t="s">
        <v>814</v>
      </c>
      <c r="J29" s="73"/>
      <c r="K29" s="52"/>
      <c r="L29" s="52"/>
      <c r="M29" s="52"/>
      <c r="N29" s="52"/>
      <c r="O29" s="52"/>
      <c r="P29" s="52"/>
      <c r="Q29" s="51" t="s">
        <v>706</v>
      </c>
      <c r="R29" s="119"/>
      <c r="S29" s="80"/>
      <c r="T29" s="96" t="s">
        <v>832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7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25" t="str">
        <f t="shared" si="16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824</v>
      </c>
      <c r="I30" s="96" t="s">
        <v>810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833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7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25" t="str">
        <f t="shared" si="16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823</v>
      </c>
      <c r="I31" s="96" t="s">
        <v>815</v>
      </c>
      <c r="J31" s="73"/>
      <c r="K31" s="52"/>
      <c r="L31" s="52"/>
      <c r="M31" s="52"/>
      <c r="N31" s="52"/>
      <c r="O31" s="52"/>
      <c r="P31" s="52"/>
      <c r="Q31" s="51" t="s">
        <v>706</v>
      </c>
      <c r="R31" s="119"/>
      <c r="S31" s="80"/>
      <c r="T31" s="96" t="s">
        <v>834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7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25" t="str">
        <f t="shared" si="16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25" t="str">
        <f t="shared" si="16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25" t="str">
        <f t="shared" si="7"/>
        <v>ALTER TABLE TB_USER ADD COLUMN REGISTER_IP VARCHAR(100) NOT NULL DEFAULT ''admin@test.com'';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706</v>
      </c>
      <c r="R34" s="119"/>
      <c r="S34" s="153" t="s">
        <v>836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25" t="str">
        <f t="shared" si="7"/>
        <v>ALTER TABLE TB_USER ADD COLUMN REG_DT TIMESTAMP NOT NULL DEFAULT ''0:0:0:0'';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25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25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25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804</v>
      </c>
      <c r="R38" s="119" t="s">
        <v>522</v>
      </c>
      <c r="S38" s="82" t="s">
        <v>803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25" t="str">
        <f t="shared" si="7"/>
        <v>ALTER TABLE TB_USER ADD COLUMN DEL_YN BPCHAR(1) NOT NULL DEFAULT ''N'::bpchar';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25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718</v>
      </c>
      <c r="I40" s="95" t="s">
        <v>719</v>
      </c>
      <c r="J40" s="73" t="s">
        <v>72</v>
      </c>
      <c r="K40" s="61"/>
      <c r="L40" s="61">
        <v>1</v>
      </c>
      <c r="M40" s="78" t="s">
        <v>9</v>
      </c>
      <c r="N40" s="95" t="s">
        <v>718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25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25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25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711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804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25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712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25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25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25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25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25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25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25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25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25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25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804</v>
      </c>
      <c r="R54" s="119" t="s">
        <v>522</v>
      </c>
      <c r="S54" s="82" t="s">
        <v>803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25" t="str">
        <f t="shared" si="7"/>
        <v>ALTER TABLE TB_USER_CHLDRN ADD COLUMN DEL_YN BPCHAR(1) NOT NULL DEFAULT ''N'::bpchar';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25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25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25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25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25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25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25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25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25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804</v>
      </c>
      <c r="R64" s="119" t="s">
        <v>522</v>
      </c>
      <c r="S64" s="82" t="s">
        <v>803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25" t="str">
        <f t="shared" si="7"/>
        <v>ALTER TABLE TB_ROLE ADD COLUMN DEL_YN BPCHAR(1) NOT NULL DEFAULT ''N'::bpchar';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25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718</v>
      </c>
      <c r="I66" s="95" t="s">
        <v>719</v>
      </c>
      <c r="J66" s="73" t="s">
        <v>72</v>
      </c>
      <c r="K66" s="45"/>
      <c r="L66" s="45">
        <v>1</v>
      </c>
      <c r="M66" s="78" t="s">
        <v>9</v>
      </c>
      <c r="N66" s="95" t="s">
        <v>718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25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25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25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25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25" t="str">
        <f t="shared" si="7"/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25" t="str">
        <f t="shared" si="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25" t="str">
        <f t="shared" si="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25" t="str">
        <f t="shared" si="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804</v>
      </c>
      <c r="R74" s="119" t="s">
        <v>522</v>
      </c>
      <c r="S74" s="82" t="s">
        <v>803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25" t="str">
        <f t="shared" si="7"/>
        <v>ALTER TABLE TB_USER_ROLE ADD COLUMN DEL_YN BPCHAR(1) NOT NULL DEFAULT ''N'::bpchar';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25" t="str">
        <f t="shared" si="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758</v>
      </c>
      <c r="I76" s="101" t="s">
        <v>760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762</v>
      </c>
      <c r="U76" s="123"/>
      <c r="V76" s="123"/>
      <c r="W76" s="104" t="s">
        <v>764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25" t="str">
        <f t="shared" si="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759</v>
      </c>
      <c r="I77" s="101" t="s">
        <v>761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763</v>
      </c>
      <c r="U77" s="123"/>
      <c r="V77" s="123"/>
      <c r="W77" s="104" t="s">
        <v>765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25" t="str">
        <f t="shared" si="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25" t="str">
        <f t="shared" si="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25" t="str">
        <f t="shared" ref="AH79:AH153" si="29">"ALTER TABLE "&amp;$E79&amp;" ADD COLUMN "&amp;$H79&amp;" "&amp;$Q79&amp;IF(ISBLANK(R79),"",$R79)&amp;IF(ISBLANK($J79),""," NOT NULL")&amp;IF(ISBLANK($S79),""," DEFAULT '" &amp; $S79 &amp; "'") &amp; ";"</f>
        <v>ALTER TABLE TB_CLASS ADD COLUMN CLASS_SUMRY TEXT;</v>
      </c>
      <c r="AI79" s="125" t="str">
        <f t="shared" ref="AI79:AI153" si="30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25" t="str">
        <f t="shared" si="29"/>
        <v>ALTER TABLE TB_CLASS ADD COLUMN CLASS_DC TEXT;</v>
      </c>
      <c r="AI80" s="125" t="str">
        <f t="shared" si="30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25" t="str">
        <f t="shared" si="29"/>
        <v>ALTER TABLE TB_CLASS ADD COLUMN CLASS_AMT NUMERIC(21,3);</v>
      </c>
      <c r="AI81" s="125" t="str">
        <f t="shared" si="30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25" t="str">
        <f t="shared" si="29"/>
        <v>ALTER TABLE TB_CLASS ADD COLUMN CLASS_DSCNT_BFE_AMT NUMERIC(21,3);</v>
      </c>
      <c r="AI82" s="125" t="str">
        <f t="shared" si="30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771</v>
      </c>
      <c r="I83" s="101" t="s">
        <v>769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770</v>
      </c>
      <c r="U83" s="123"/>
      <c r="V83" s="123"/>
      <c r="W83" s="104" t="s">
        <v>768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1">H83&amp;" "&amp;Q83&amp;R83&amp;IF(ISBLANK(K83),""," PRIMARY KEY")&amp;IF(AND(ISBLANK(K83),J83="Y")," NOT NULL","")&amp;","</f>
        <v>CLASS_TRGT_CD VARCHAR(2000),</v>
      </c>
      <c r="AB83" s="125" t="str">
        <f t="shared" ref="AB83" si="32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3">IF(ISBLANK(U83),"","CREATE SEQUENCE "&amp;U83&amp;" START 100000;")</f>
        <v/>
      </c>
      <c r="AD83" s="125" t="str">
        <f t="shared" ref="AD83" si="34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5">"ALTER TABLE "&amp;$E83&amp;" ALTER COLUMN "&amp;$H83&amp;" TYPE "&amp;$Q83&amp;IF(ISBLANK(R83),"",R83)&amp;";"</f>
        <v>ALTER TABLE TB_CLASS ALTER COLUMN CLASS_TRGT_CD TYPE VARCHAR(2000);</v>
      </c>
      <c r="AH83" s="125" t="str">
        <f t="shared" ref="AH83" si="36">"ALTER TABLE "&amp;$E83&amp;" ADD COLUMN "&amp;$H83&amp;" "&amp;$Q83&amp;IF(ISBLANK(R83),"",$R83)&amp;IF(ISBLANK($J83),""," NOT NULL")&amp;IF(ISBLANK($S83),""," DEFAULT '" &amp; $S83 &amp; "'") &amp; ";"</f>
        <v>ALTER TABLE TB_CLASS ADD COLUMN CLASS_TRGT_CD VARCHAR(2000);</v>
      </c>
      <c r="AI83" s="125" t="str">
        <f t="shared" si="30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804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25" t="str">
        <f t="shared" si="29"/>
        <v>ALTER TABLE TB_CLASS ADD COLUMN CLASS_PD_SET_YN BPCHAR(1) NOT NULL;</v>
      </c>
      <c r="AI84" s="125" t="str">
        <f t="shared" si="30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753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25" t="str">
        <f t="shared" si="29"/>
        <v>ALTER TABLE TB_CLASS ADD COLUMN CLASS_BEGIN_DT VARCHAR(16);</v>
      </c>
      <c r="AI85" s="125" t="str">
        <f t="shared" si="30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753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25" t="str">
        <f t="shared" si="29"/>
        <v>ALTER TABLE TB_CLASS ADD COLUMN CLASS_END_DT VARCHAR(16);</v>
      </c>
      <c r="AI86" s="125" t="str">
        <f t="shared" si="30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25" t="str">
        <f t="shared" si="29"/>
        <v>ALTER TABLE TB_CLASS ADD COLUMN THUMB_ATCH_FILE_SN INTEGER;</v>
      </c>
      <c r="AI87" s="125" t="str">
        <f t="shared" si="30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25" t="str">
        <f t="shared" si="29"/>
        <v>ALTER TABLE TB_CLASS ADD COLUMN ATCH_FILE_SN INTEGER;</v>
      </c>
      <c r="AI88" s="125" t="str">
        <f t="shared" si="30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804</v>
      </c>
      <c r="R89" s="119" t="s">
        <v>522</v>
      </c>
      <c r="S89" s="82" t="s">
        <v>803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25" t="str">
        <f t="shared" si="29"/>
        <v>ALTER TABLE TB_CLASS ADD COLUMN CLASS_EXPSR_YN BPCHAR(1) NOT NULL DEFAULT ''N'::bpchar';</v>
      </c>
      <c r="AI89" s="125" t="str">
        <f t="shared" si="30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25" t="str">
        <f t="shared" si="29"/>
        <v>ALTER TABLE TB_CLASS ADD COLUMN REGISTER_ID VARCHAR(50) NOT NULL;</v>
      </c>
      <c r="AI90" s="125" t="str">
        <f t="shared" si="30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25" t="str">
        <f t="shared" si="29"/>
        <v>ALTER TABLE TB_CLASS ADD COLUMN REGISTER_IP VARCHAR(100) NOT NULL;</v>
      </c>
      <c r="AI91" s="125" t="str">
        <f t="shared" si="30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25" t="str">
        <f t="shared" si="29"/>
        <v>ALTER TABLE TB_CLASS ADD COLUMN REG_DT TIMESTAMP NOT NULL;</v>
      </c>
      <c r="AI92" s="125" t="str">
        <f t="shared" si="30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25" t="str">
        <f t="shared" si="29"/>
        <v>ALTER TABLE TB_CLASS ADD COLUMN UPDUSR_ID VARCHAR(50);</v>
      </c>
      <c r="AI93" s="125" t="str">
        <f t="shared" si="30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25" t="str">
        <f t="shared" si="29"/>
        <v>ALTER TABLE TB_CLASS ADD COLUMN UPDUSR_IP VARCHAR(100);</v>
      </c>
      <c r="AI94" s="125" t="str">
        <f t="shared" si="30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25" t="str">
        <f t="shared" si="29"/>
        <v>ALTER TABLE TB_CLASS ADD COLUMN UPDT_DT TIMESTAMP;</v>
      </c>
      <c r="AI95" s="125" t="str">
        <f t="shared" si="30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804</v>
      </c>
      <c r="R96" s="119" t="s">
        <v>522</v>
      </c>
      <c r="S96" s="82" t="s">
        <v>803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25" t="str">
        <f t="shared" si="29"/>
        <v>ALTER TABLE TB_CLASS ADD COLUMN DEL_YN BPCHAR(1) NOT NULL DEFAULT ''N'::bpchar';</v>
      </c>
      <c r="AI96" s="125" t="str">
        <f t="shared" si="30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733</v>
      </c>
      <c r="F97" s="13" t="s">
        <v>734</v>
      </c>
      <c r="G97" s="92">
        <v>1</v>
      </c>
      <c r="H97" s="101" t="s">
        <v>749</v>
      </c>
      <c r="I97" s="101" t="s">
        <v>735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25" t="str">
        <f t="shared" si="29"/>
        <v>ALTER TABLE TB_CLASS_CATEGORY_CL01 ADD COLUMN CL_SN INTEGER NOT NULL;</v>
      </c>
      <c r="AI97" s="125" t="str">
        <f t="shared" si="30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733</v>
      </c>
      <c r="F98" s="13" t="s">
        <v>734</v>
      </c>
      <c r="G98" s="92">
        <v>2</v>
      </c>
      <c r="H98" s="101" t="s">
        <v>750</v>
      </c>
      <c r="I98" s="101" t="s">
        <v>736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25" t="str">
        <f t="shared" si="29"/>
        <v>ALTER TABLE TB_CLASS_CATEGORY_CL01 ADD COLUMN CL_NM VARCHAR(100) NOT NULL;</v>
      </c>
      <c r="AI98" s="125" t="str">
        <f t="shared" si="30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733</v>
      </c>
      <c r="F99" s="13" t="s">
        <v>734</v>
      </c>
      <c r="G99" s="92">
        <v>3</v>
      </c>
      <c r="H99" s="101" t="s">
        <v>751</v>
      </c>
      <c r="I99" s="101" t="s">
        <v>744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7">H99&amp;" "&amp;Q99&amp;R99&amp;IF(ISBLANK(K99),""," PRIMARY KEY")&amp;IF(AND(ISBLANK(K99),J99="Y")," NOT NULL","")&amp;","</f>
        <v>CL_SEQ INTEGER NOT NULL,</v>
      </c>
      <c r="AB99" s="125" t="str">
        <f t="shared" ref="AB99" si="38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9">IF(ISBLANK(U99),"","CREATE SEQUENCE "&amp;U99&amp;" START 100000;")</f>
        <v/>
      </c>
      <c r="AD99" s="125" t="str">
        <f t="shared" ref="AD99" si="40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41">"ALTER TABLE "&amp;$E99&amp;" ALTER COLUMN "&amp;$H99&amp;" TYPE "&amp;$Q99&amp;IF(ISBLANK(R99),"",R99)&amp;";"</f>
        <v>ALTER TABLE TB_CLASS_CATEGORY_CL01 ALTER COLUMN CL_SEQ TYPE INTEGER;</v>
      </c>
      <c r="AH99" s="125" t="str">
        <f t="shared" ref="AH99" si="42">"ALTER TABLE "&amp;$E99&amp;" ADD COLUMN "&amp;$H99&amp;" "&amp;$Q99&amp;IF(ISBLANK(R99),"",$R99)&amp;IF(ISBLANK($J99),""," NOT NULL")&amp;IF(ISBLANK($S99),""," DEFAULT '" &amp; $S99 &amp; "'") &amp; ";"</f>
        <v>ALTER TABLE TB_CLASS_CATEGORY_CL01 ADD COLUMN CL_SEQ INTEGER NOT NULL;</v>
      </c>
      <c r="AI99" s="125" t="str">
        <f t="shared" si="30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733</v>
      </c>
      <c r="F100" s="13" t="s">
        <v>734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25" t="str">
        <f t="shared" si="29"/>
        <v>ALTER TABLE TB_CLASS_CATEGORY_CL01 ADD COLUMN REGISTER_ID VARCHAR(50) NOT NULL;</v>
      </c>
      <c r="AI100" s="125" t="str">
        <f t="shared" si="30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733</v>
      </c>
      <c r="F101" s="13" t="s">
        <v>734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25" t="str">
        <f t="shared" si="29"/>
        <v>ALTER TABLE TB_CLASS_CATEGORY_CL01 ADD COLUMN REGISTER_IP VARCHAR(100) NOT NULL;</v>
      </c>
      <c r="AI101" s="125" t="str">
        <f t="shared" si="30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733</v>
      </c>
      <c r="F102" s="13" t="s">
        <v>734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25" t="str">
        <f t="shared" si="29"/>
        <v>ALTER TABLE TB_CLASS_CATEGORY_CL01 ADD COLUMN REG_DT TIMESTAMP NOT NULL;</v>
      </c>
      <c r="AI102" s="125" t="str">
        <f t="shared" si="30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733</v>
      </c>
      <c r="F103" s="13" t="s">
        <v>734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25" t="str">
        <f t="shared" si="29"/>
        <v>ALTER TABLE TB_CLASS_CATEGORY_CL01 ADD COLUMN UPDUSR_ID VARCHAR(50);</v>
      </c>
      <c r="AI103" s="125" t="str">
        <f t="shared" si="30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733</v>
      </c>
      <c r="F104" s="13" t="s">
        <v>734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25" t="str">
        <f t="shared" si="29"/>
        <v>ALTER TABLE TB_CLASS_CATEGORY_CL01 ADD COLUMN UPDUSR_IP VARCHAR(100);</v>
      </c>
      <c r="AI104" s="125" t="str">
        <f t="shared" si="30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733</v>
      </c>
      <c r="F105" s="13" t="s">
        <v>734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25" t="str">
        <f t="shared" si="29"/>
        <v>ALTER TABLE TB_CLASS_CATEGORY_CL01 ADD COLUMN UPDT_DT TIMESTAMP;</v>
      </c>
      <c r="AI105" s="125" t="str">
        <f t="shared" si="30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733</v>
      </c>
      <c r="F106" s="13" t="s">
        <v>734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804</v>
      </c>
      <c r="R106" s="119" t="s">
        <v>522</v>
      </c>
      <c r="S106" s="82" t="s">
        <v>803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25" t="str">
        <f t="shared" si="29"/>
        <v>ALTER TABLE TB_CLASS_CATEGORY_CL01 ADD COLUMN DEL_YN BPCHAR(1) NOT NULL DEFAULT ''N'::bpchar';</v>
      </c>
      <c r="AI106" s="125" t="str">
        <f t="shared" si="30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739</v>
      </c>
      <c r="F107" s="13" t="s">
        <v>746</v>
      </c>
      <c r="G107" s="92">
        <v>1</v>
      </c>
      <c r="H107" s="101" t="s">
        <v>749</v>
      </c>
      <c r="I107" s="101" t="s">
        <v>741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742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25" t="str">
        <f t="shared" si="29"/>
        <v>ALTER TABLE TB_CLASS_CATEGORY_CL02 ADD COLUMN CL_SN INTEGER NOT NULL;</v>
      </c>
      <c r="AI107" s="125" t="str">
        <f t="shared" si="30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739</v>
      </c>
      <c r="F108" s="13" t="s">
        <v>746</v>
      </c>
      <c r="G108" s="92">
        <v>2</v>
      </c>
      <c r="H108" s="128" t="s">
        <v>752</v>
      </c>
      <c r="I108" s="101" t="s">
        <v>735</v>
      </c>
      <c r="J108" s="45" t="s">
        <v>131</v>
      </c>
      <c r="K108" s="45"/>
      <c r="L108" s="45">
        <v>1</v>
      </c>
      <c r="M108" s="13" t="s">
        <v>733</v>
      </c>
      <c r="N108" s="101" t="s">
        <v>749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3">H108&amp;" "&amp;Q108&amp;R108&amp;IF(ISBLANK(K108),""," PRIMARY KEY")&amp;IF(AND(ISBLANK(K108),J108="Y")," NOT NULL","")&amp;","</f>
        <v>PARNTS_CL_SN INTEGER NOT NULL,</v>
      </c>
      <c r="AB108" s="125" t="str">
        <f t="shared" ref="AB108:AB117" si="44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5">IF(ISBLANK(U108),"","CREATE SEQUENCE "&amp;U108&amp;" START 100000;")</f>
        <v/>
      </c>
      <c r="AD108" s="125" t="str">
        <f t="shared" ref="AD108:AD117" si="46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7">"ALTER TABLE "&amp;$E108&amp;" ALTER COLUMN "&amp;$H108&amp;" TYPE "&amp;$Q108&amp;IF(ISBLANK(R108),"",R108)&amp;";"</f>
        <v>ALTER TABLE TB_CLASS_CATEGORY_CL02 ALTER COLUMN PARNTS_CL_SN TYPE INTEGER;</v>
      </c>
      <c r="AH108" s="125" t="str">
        <f t="shared" ref="AH108:AH117" si="48">"ALTER TABLE "&amp;$E108&amp;" ADD COLUMN "&amp;$H108&amp;" "&amp;$Q108&amp;IF(ISBLANK(R108),"",$R108)&amp;IF(ISBLANK($J108),""," NOT NULL")&amp;IF(ISBLANK($S108),""," DEFAULT '" &amp; $S108 &amp; "'") &amp; ";"</f>
        <v>ALTER TABLE TB_CLASS_CATEGORY_CL02 ADD COLUMN PARNTS_CL_SN INTEGER NOT NULL;</v>
      </c>
      <c r="AI108" s="125" t="str">
        <f t="shared" si="30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739</v>
      </c>
      <c r="F109" s="13" t="s">
        <v>746</v>
      </c>
      <c r="G109" s="92">
        <v>3</v>
      </c>
      <c r="H109" s="101" t="s">
        <v>750</v>
      </c>
      <c r="I109" s="101" t="s">
        <v>740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743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3"/>
        <v>CL_NM VARCHAR(100) NOT NULL,</v>
      </c>
      <c r="AB109" s="125" t="str">
        <f t="shared" si="44"/>
        <v/>
      </c>
      <c r="AC109" s="125" t="str">
        <f t="shared" si="45"/>
        <v/>
      </c>
      <c r="AD109" s="125" t="str">
        <f t="shared" si="46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7"/>
        <v>ALTER TABLE TB_CLASS_CATEGORY_CL02 ALTER COLUMN CL_NM TYPE VARCHAR(100);</v>
      </c>
      <c r="AH109" s="125" t="str">
        <f t="shared" si="48"/>
        <v>ALTER TABLE TB_CLASS_CATEGORY_CL02 ADD COLUMN CL_NM VARCHAR(100) NOT NULL;</v>
      </c>
      <c r="AI109" s="125" t="str">
        <f t="shared" si="30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739</v>
      </c>
      <c r="F110" s="13" t="s">
        <v>746</v>
      </c>
      <c r="G110" s="92">
        <v>4</v>
      </c>
      <c r="H110" s="101" t="s">
        <v>751</v>
      </c>
      <c r="I110" s="101" t="s">
        <v>747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3"/>
        <v>CL_SEQ INTEGER NOT NULL,</v>
      </c>
      <c r="AB110" s="125" t="str">
        <f t="shared" si="44"/>
        <v/>
      </c>
      <c r="AC110" s="125" t="str">
        <f t="shared" si="45"/>
        <v/>
      </c>
      <c r="AD110" s="125" t="str">
        <f t="shared" si="46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7"/>
        <v>ALTER TABLE TB_CLASS_CATEGORY_CL02 ALTER COLUMN CL_SEQ TYPE INTEGER;</v>
      </c>
      <c r="AH110" s="125" t="str">
        <f t="shared" si="48"/>
        <v>ALTER TABLE TB_CLASS_CATEGORY_CL02 ADD COLUMN CL_SEQ INTEGER NOT NULL;</v>
      </c>
      <c r="AI110" s="125" t="str">
        <f t="shared" si="30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739</v>
      </c>
      <c r="F111" s="13" t="s">
        <v>746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3"/>
        <v>REGISTER_ID VARCHAR(50) NOT NULL,</v>
      </c>
      <c r="AB111" s="125" t="str">
        <f t="shared" si="44"/>
        <v/>
      </c>
      <c r="AC111" s="125" t="str">
        <f t="shared" si="45"/>
        <v/>
      </c>
      <c r="AD111" s="125" t="str">
        <f t="shared" si="46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7"/>
        <v>ALTER TABLE TB_CLASS_CATEGORY_CL02 ALTER COLUMN REGISTER_ID TYPE VARCHAR(50);</v>
      </c>
      <c r="AH111" s="125" t="str">
        <f t="shared" si="48"/>
        <v>ALTER TABLE TB_CLASS_CATEGORY_CL02 ADD COLUMN REGISTER_ID VARCHAR(50) NOT NULL;</v>
      </c>
      <c r="AI111" s="125" t="str">
        <f t="shared" si="30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739</v>
      </c>
      <c r="F112" s="13" t="s">
        <v>746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3"/>
        <v>REGISTER_IP VARCHAR(100) NOT NULL,</v>
      </c>
      <c r="AB112" s="125" t="str">
        <f t="shared" si="44"/>
        <v/>
      </c>
      <c r="AC112" s="125" t="str">
        <f t="shared" si="45"/>
        <v/>
      </c>
      <c r="AD112" s="125" t="str">
        <f t="shared" si="46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7"/>
        <v>ALTER TABLE TB_CLASS_CATEGORY_CL02 ALTER COLUMN REGISTER_IP TYPE VARCHAR(100);</v>
      </c>
      <c r="AH112" s="125" t="str">
        <f t="shared" si="48"/>
        <v>ALTER TABLE TB_CLASS_CATEGORY_CL02 ADD COLUMN REGISTER_IP VARCHAR(100) NOT NULL;</v>
      </c>
      <c r="AI112" s="125" t="str">
        <f t="shared" si="30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739</v>
      </c>
      <c r="F113" s="13" t="s">
        <v>746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3"/>
        <v>REG_DT TIMESTAMP NOT NULL,</v>
      </c>
      <c r="AB113" s="125" t="str">
        <f t="shared" si="44"/>
        <v/>
      </c>
      <c r="AC113" s="125" t="str">
        <f t="shared" si="45"/>
        <v/>
      </c>
      <c r="AD113" s="125" t="str">
        <f t="shared" si="46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7"/>
        <v>ALTER TABLE TB_CLASS_CATEGORY_CL02 ALTER COLUMN REG_DT TYPE TIMESTAMP;</v>
      </c>
      <c r="AH113" s="125" t="str">
        <f t="shared" si="48"/>
        <v>ALTER TABLE TB_CLASS_CATEGORY_CL02 ADD COLUMN REG_DT TIMESTAMP NOT NULL;</v>
      </c>
      <c r="AI113" s="125" t="str">
        <f t="shared" si="30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739</v>
      </c>
      <c r="F114" s="13" t="s">
        <v>746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3"/>
        <v>UPDUSR_ID VARCHAR(50),</v>
      </c>
      <c r="AB114" s="125" t="str">
        <f t="shared" si="44"/>
        <v/>
      </c>
      <c r="AC114" s="125" t="str">
        <f t="shared" si="45"/>
        <v/>
      </c>
      <c r="AD114" s="125" t="str">
        <f t="shared" si="46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7"/>
        <v>ALTER TABLE TB_CLASS_CATEGORY_CL02 ALTER COLUMN UPDUSR_ID TYPE VARCHAR(50);</v>
      </c>
      <c r="AH114" s="125" t="str">
        <f t="shared" si="48"/>
        <v>ALTER TABLE TB_CLASS_CATEGORY_CL02 ADD COLUMN UPDUSR_ID VARCHAR(50);</v>
      </c>
      <c r="AI114" s="125" t="str">
        <f t="shared" si="30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739</v>
      </c>
      <c r="F115" s="13" t="s">
        <v>746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3"/>
        <v>UPDUSR_IP VARCHAR(100),</v>
      </c>
      <c r="AB115" s="125" t="str">
        <f t="shared" si="44"/>
        <v/>
      </c>
      <c r="AC115" s="125" t="str">
        <f t="shared" si="45"/>
        <v/>
      </c>
      <c r="AD115" s="125" t="str">
        <f t="shared" si="46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7"/>
        <v>ALTER TABLE TB_CLASS_CATEGORY_CL02 ALTER COLUMN UPDUSR_IP TYPE VARCHAR(100);</v>
      </c>
      <c r="AH115" s="125" t="str">
        <f t="shared" si="48"/>
        <v>ALTER TABLE TB_CLASS_CATEGORY_CL02 ADD COLUMN UPDUSR_IP VARCHAR(100);</v>
      </c>
      <c r="AI115" s="125" t="str">
        <f t="shared" si="30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739</v>
      </c>
      <c r="F116" s="13" t="s">
        <v>746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3"/>
        <v>UPDT_DT TIMESTAMP,</v>
      </c>
      <c r="AB116" s="125" t="str">
        <f t="shared" si="44"/>
        <v/>
      </c>
      <c r="AC116" s="125" t="str">
        <f t="shared" si="45"/>
        <v/>
      </c>
      <c r="AD116" s="125" t="str">
        <f t="shared" si="46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7"/>
        <v>ALTER TABLE TB_CLASS_CATEGORY_CL02 ALTER COLUMN UPDT_DT TYPE TIMESTAMP;</v>
      </c>
      <c r="AH116" s="125" t="str">
        <f t="shared" si="48"/>
        <v>ALTER TABLE TB_CLASS_CATEGORY_CL02 ADD COLUMN UPDT_DT TIMESTAMP;</v>
      </c>
      <c r="AI116" s="125" t="str">
        <f t="shared" si="30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739</v>
      </c>
      <c r="F117" s="13" t="s">
        <v>746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804</v>
      </c>
      <c r="R117" s="119" t="s">
        <v>522</v>
      </c>
      <c r="S117" s="82" t="s">
        <v>803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3"/>
        <v>DEL_YN BPCHAR(1) NOT NULL,</v>
      </c>
      <c r="AB117" s="125" t="str">
        <f t="shared" si="44"/>
        <v/>
      </c>
      <c r="AC117" s="125" t="str">
        <f t="shared" si="45"/>
        <v/>
      </c>
      <c r="AD117" s="125" t="str">
        <f t="shared" si="46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7"/>
        <v>ALTER TABLE TB_CLASS_CATEGORY_CL02 ALTER COLUMN DEL_YN TYPE BPCHAR(1);</v>
      </c>
      <c r="AH117" s="125" t="str">
        <f t="shared" si="48"/>
        <v>ALTER TABLE TB_CLASS_CATEGORY_CL02 ADD COLUMN DEL_YN BPCHAR(1) NOT NULL DEFAULT ''N'::bpchar';</v>
      </c>
      <c r="AI117" s="125" t="str">
        <f t="shared" si="30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25" t="str">
        <f t="shared" si="29"/>
        <v>ALTER TABLE TB_CLASS_DETAIL ADD COLUMN CLASS_DETAIL_SN INTEGER NOT NULL;</v>
      </c>
      <c r="AI118" s="125" t="str">
        <f t="shared" si="30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25" t="str">
        <f t="shared" si="29"/>
        <v>ALTER TABLE TB_CLASS_DETAIL ADD COLUMN CLASS_SN INTEGER NOT NULL;</v>
      </c>
      <c r="AI119" s="125" t="str">
        <f t="shared" si="30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25" t="str">
        <f t="shared" si="29"/>
        <v>ALTER TABLE TB_CLASS_DETAIL ADD COLUMN CLASS_DETAIL_SEQ INTEGER NOT NULL;</v>
      </c>
      <c r="AI120" s="125" t="str">
        <f t="shared" si="30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25" t="str">
        <f t="shared" si="29"/>
        <v>ALTER TABLE TB_CLASS_DETAIL ADD COLUMN CLASS_DETAIL_ITEM_TY_CD VARCHAR(50) NOT NULL;</v>
      </c>
      <c r="AI121" s="125" t="str">
        <f t="shared" si="30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25" t="str">
        <f t="shared" si="29"/>
        <v>ALTER TABLE TB_CLASS_DETAIL ADD COLUMN CLASS_DETAIL_ITEM_CN VARCHAR(2000);</v>
      </c>
      <c r="AI122" s="125" t="str">
        <f t="shared" si="30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804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25" t="str">
        <f t="shared" si="29"/>
        <v>ALTER TABLE TB_CLASS_DETAIL ADD COLUMN CLASS_DETAIL_ESSNTL_YN BPCHAR(1) NOT NULL;</v>
      </c>
      <c r="AI123" s="125" t="str">
        <f t="shared" si="30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25" t="str">
        <f t="shared" si="29"/>
        <v>ALTER TABLE TB_CLASS_DETAIL ADD COLUMN REGISTER_ID VARCHAR(50) NOT NULL;</v>
      </c>
      <c r="AI124" s="125" t="str">
        <f t="shared" si="30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25" t="str">
        <f t="shared" si="29"/>
        <v>ALTER TABLE TB_CLASS_DETAIL ADD COLUMN REGISTER_IP VARCHAR(100) NOT NULL;</v>
      </c>
      <c r="AI125" s="125" t="str">
        <f t="shared" si="30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25" t="str">
        <f t="shared" si="29"/>
        <v>ALTER TABLE TB_CLASS_DETAIL ADD COLUMN REG_DT TIMESTAMP NOT NULL;</v>
      </c>
      <c r="AI126" s="125" t="str">
        <f t="shared" si="30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25" t="str">
        <f t="shared" si="29"/>
        <v>ALTER TABLE TB_CLASS_DETAIL ADD COLUMN UPDUSR_ID VARCHAR(50);</v>
      </c>
      <c r="AI127" s="125" t="str">
        <f t="shared" si="30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25" t="str">
        <f t="shared" si="29"/>
        <v>ALTER TABLE TB_CLASS_DETAIL ADD COLUMN UPDUSR_IP VARCHAR(100);</v>
      </c>
      <c r="AI128" s="125" t="str">
        <f t="shared" si="30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25" t="str">
        <f t="shared" si="29"/>
        <v>ALTER TABLE TB_CLASS_DETAIL ADD COLUMN UPDT_DT TIMESTAMP;</v>
      </c>
      <c r="AI129" s="125" t="str">
        <f t="shared" si="30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804</v>
      </c>
      <c r="R130" s="119" t="s">
        <v>522</v>
      </c>
      <c r="S130" s="82" t="s">
        <v>803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25" t="str">
        <f t="shared" si="29"/>
        <v>ALTER TABLE TB_CLASS_DETAIL ADD COLUMN DEL_YN BPCHAR(1) NOT NULL DEFAULT ''N'::bpchar';</v>
      </c>
      <c r="AI130" s="125" t="str">
        <f t="shared" si="30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25" t="str">
        <f t="shared" si="29"/>
        <v>ALTER TABLE TB_CLASS_DETAIL_OPTN ADD COLUMN CLASS_DETAIL_OPTN_SN INTEGER NOT NULL;</v>
      </c>
      <c r="AI131" s="125" t="str">
        <f t="shared" si="30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25" t="str">
        <f t="shared" si="29"/>
        <v>ALTER TABLE TB_CLASS_DETAIL_OPTN ADD COLUMN CLASS_DETAIL_SN INTEGER NOT NULL;</v>
      </c>
      <c r="AI132" s="125" t="str">
        <f t="shared" si="30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25" t="str">
        <f t="shared" si="29"/>
        <v>ALTER TABLE TB_CLASS_DETAIL_OPTN ADD COLUMN CLASS_DETAIL_OPTN_SEQ INTEGER;</v>
      </c>
      <c r="AI133" s="125" t="str">
        <f t="shared" si="30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25" t="str">
        <f t="shared" si="29"/>
        <v>ALTER TABLE TB_CLASS_DETAIL_OPTN ADD COLUMN CLASS_DETAIL_OPTN_CN VARCHAR(2000);</v>
      </c>
      <c r="AI134" s="125" t="str">
        <f t="shared" si="30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25" t="str">
        <f t="shared" si="29"/>
        <v>ALTER TABLE TB_CLASS_DETAIL_OPTN ADD COLUMN REGISTER_ID VARCHAR(50) NOT NULL;</v>
      </c>
      <c r="AI135" s="125" t="str">
        <f t="shared" si="30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25" t="str">
        <f t="shared" si="29"/>
        <v>ALTER TABLE TB_CLASS_DETAIL_OPTN ADD COLUMN REGISTER_IP VARCHAR(100) NOT NULL;</v>
      </c>
      <c r="AI136" s="125" t="str">
        <f t="shared" si="30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25" t="str">
        <f t="shared" si="29"/>
        <v>ALTER TABLE TB_CLASS_DETAIL_OPTN ADD COLUMN REG_DT TIMESTAMP NOT NULL;</v>
      </c>
      <c r="AI137" s="125" t="str">
        <f t="shared" si="30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25" t="str">
        <f t="shared" si="29"/>
        <v>ALTER TABLE TB_CLASS_DETAIL_OPTN ADD COLUMN UPDUSR_ID VARCHAR(50);</v>
      </c>
      <c r="AI138" s="125" t="str">
        <f t="shared" si="30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3" si="49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3" si="50">IF(ISBLANK($S139),"","ALTER TABLE " &amp; $E139 &amp; " ALTER COLUMN " &amp; $H139 &amp; " SET DEFAULT " &amp; $S139 &amp; ";")</f>
        <v/>
      </c>
      <c r="AF139" s="125" t="str">
        <f t="shared" ref="AF139:AF203" si="51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25" t="str">
        <f t="shared" si="29"/>
        <v>ALTER TABLE TB_CLASS_DETAIL_OPTN ADD COLUMN UPDUSR_IP VARCHAR(100);</v>
      </c>
      <c r="AI139" s="125" t="str">
        <f t="shared" si="30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9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50"/>
        <v/>
      </c>
      <c r="AF140" s="125" t="str">
        <f t="shared" si="51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25" t="str">
        <f t="shared" si="29"/>
        <v>ALTER TABLE TB_CLASS_DETAIL_OPTN ADD COLUMN UPDT_DT TIMESTAMP;</v>
      </c>
      <c r="AI140" s="125" t="str">
        <f t="shared" si="30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804</v>
      </c>
      <c r="R141" s="119" t="s">
        <v>522</v>
      </c>
      <c r="S141" s="82" t="s">
        <v>803</v>
      </c>
      <c r="T141" s="107" t="s">
        <v>213</v>
      </c>
      <c r="U141" s="78"/>
      <c r="V141" s="78"/>
      <c r="W141" s="101"/>
      <c r="X141" s="45"/>
      <c r="Y141" s="78"/>
      <c r="Z141" s="130" t="str">
        <f t="shared" si="49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50"/>
        <v>ALTER TABLE TB_CLASS_DETAIL_OPTN ALTER COLUMN DEL_YN SET DEFAULT 'N'::bpchar;</v>
      </c>
      <c r="AF141" s="125" t="str">
        <f t="shared" si="51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25" t="str">
        <f t="shared" si="29"/>
        <v>ALTER TABLE TB_CLASS_DETAIL_OPTN ADD COLUMN DEL_YN BPCHAR(1) NOT NULL DEFAULT ''N'::bpchar';</v>
      </c>
      <c r="AI141" s="125" t="str">
        <f t="shared" si="30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9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50"/>
        <v/>
      </c>
      <c r="AF142" s="125" t="str">
        <f t="shared" si="51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25" t="str">
        <f t="shared" si="29"/>
        <v>ALTER TABLE TB_CLASS_WEEK ADD COLUMN CLASS_WEEK_SN INTEGER NOT NULL;</v>
      </c>
      <c r="AI142" s="125" t="str">
        <f t="shared" si="30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9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50"/>
        <v/>
      </c>
      <c r="AF143" s="125" t="str">
        <f t="shared" si="51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25" t="str">
        <f t="shared" si="29"/>
        <v>ALTER TABLE TB_CLASS_WEEK ADD COLUMN CLASS_SN INTEGER NOT NULL;</v>
      </c>
      <c r="AI143" s="125" t="str">
        <f t="shared" si="30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9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50"/>
        <v/>
      </c>
      <c r="AF144" s="125" t="str">
        <f t="shared" si="51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25" t="str">
        <f t="shared" si="29"/>
        <v>ALTER TABLE TB_CLASS_WEEK ADD COLUMN CLASS_DAY_CD VARCHAR(50) NOT NULL;</v>
      </c>
      <c r="AI144" s="125" t="str">
        <f t="shared" si="30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9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50"/>
        <v/>
      </c>
      <c r="AF145" s="125" t="str">
        <f t="shared" si="51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25" t="str">
        <f t="shared" si="29"/>
        <v>ALTER TABLE TB_CLASS_WEEK ADD COLUMN REGISTER_ID VARCHAR(50) NOT NULL;</v>
      </c>
      <c r="AI145" s="125" t="str">
        <f t="shared" si="30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9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50"/>
        <v/>
      </c>
      <c r="AF146" s="125" t="str">
        <f t="shared" si="51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25" t="str">
        <f t="shared" si="29"/>
        <v>ALTER TABLE TB_CLASS_WEEK ADD COLUMN REGISTER_IP VARCHAR(100) NOT NULL;</v>
      </c>
      <c r="AI146" s="125" t="str">
        <f t="shared" si="30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9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50"/>
        <v/>
      </c>
      <c r="AF147" s="125" t="str">
        <f t="shared" si="51"/>
        <v>COMMENT ON COLUMN TB_CLASS_WEEK.REG_DT IS '등록 일시' ;</v>
      </c>
      <c r="AG147" s="125" t="str">
        <f t="shared" si="28"/>
        <v>ALTER TABLE TB_CLASS_WEEK ALTER COLUMN REG_DT TYPE TIMESTAMP;</v>
      </c>
      <c r="AH147" s="125" t="str">
        <f t="shared" si="29"/>
        <v>ALTER TABLE TB_CLASS_WEEK ADD COLUMN REG_DT TIMESTAMP NOT NULL;</v>
      </c>
      <c r="AI147" s="125" t="str">
        <f t="shared" si="30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9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50"/>
        <v/>
      </c>
      <c r="AF148" s="125" t="str">
        <f t="shared" si="51"/>
        <v>COMMENT ON COLUMN TB_CLASS_WEEK.UPDUSR_ID IS '수정자 ID' ;</v>
      </c>
      <c r="AG148" s="125" t="str">
        <f t="shared" si="28"/>
        <v>ALTER TABLE TB_CLASS_WEEK ALTER COLUMN UPDUSR_ID TYPE VARCHAR(50);</v>
      </c>
      <c r="AH148" s="125" t="str">
        <f t="shared" si="29"/>
        <v>ALTER TABLE TB_CLASS_WEEK ADD COLUMN UPDUSR_ID VARCHAR(50);</v>
      </c>
      <c r="AI148" s="125" t="str">
        <f t="shared" si="30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9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50"/>
        <v/>
      </c>
      <c r="AF149" s="125" t="str">
        <f t="shared" si="51"/>
        <v>COMMENT ON COLUMN TB_CLASS_WEEK.UPDUSR_IP IS '수정자 IP' ;</v>
      </c>
      <c r="AG149" s="125" t="str">
        <f t="shared" si="28"/>
        <v>ALTER TABLE TB_CLASS_WEEK ALTER COLUMN UPDUSR_IP TYPE VARCHAR(100);</v>
      </c>
      <c r="AH149" s="125" t="str">
        <f t="shared" si="29"/>
        <v>ALTER TABLE TB_CLASS_WEEK ADD COLUMN UPDUSR_IP VARCHAR(100);</v>
      </c>
      <c r="AI149" s="125" t="str">
        <f t="shared" si="30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9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50"/>
        <v/>
      </c>
      <c r="AF150" s="125" t="str">
        <f t="shared" si="51"/>
        <v>COMMENT ON COLUMN TB_CLASS_WEEK.UPDT_DT IS '수정 일시' ;</v>
      </c>
      <c r="AG150" s="125" t="str">
        <f t="shared" si="28"/>
        <v>ALTER TABLE TB_CLASS_WEEK ALTER COLUMN UPDT_DT TYPE TIMESTAMP;</v>
      </c>
      <c r="AH150" s="125" t="str">
        <f t="shared" si="29"/>
        <v>ALTER TABLE TB_CLASS_WEEK ADD COLUMN UPDT_DT TIMESTAMP;</v>
      </c>
      <c r="AI150" s="125" t="str">
        <f t="shared" si="30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804</v>
      </c>
      <c r="R151" s="119" t="s">
        <v>522</v>
      </c>
      <c r="S151" s="82" t="s">
        <v>803</v>
      </c>
      <c r="T151" s="107" t="s">
        <v>213</v>
      </c>
      <c r="U151" s="78"/>
      <c r="V151" s="78"/>
      <c r="W151" s="101"/>
      <c r="X151" s="45"/>
      <c r="Y151" s="78"/>
      <c r="Z151" s="130" t="str">
        <f t="shared" si="49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50"/>
        <v>ALTER TABLE TB_CLASS_WEEK ALTER COLUMN DEL_YN SET DEFAULT 'N'::bpchar;</v>
      </c>
      <c r="AF151" s="125" t="str">
        <f t="shared" si="51"/>
        <v>COMMENT ON COLUMN TB_CLASS_WEEK.DEL_YN IS '삭제 여부' ;</v>
      </c>
      <c r="AG151" s="125" t="str">
        <f t="shared" si="28"/>
        <v>ALTER TABLE TB_CLASS_WEEK ALTER COLUMN DEL_YN TYPE BPCHAR(1);</v>
      </c>
      <c r="AH151" s="125" t="str">
        <f t="shared" si="29"/>
        <v>ALTER TABLE TB_CLASS_WEEK ADD COLUMN DEL_YN BPCHAR(1) NOT NULL DEFAULT ''N'::bpchar';</v>
      </c>
      <c r="AI151" s="125" t="str">
        <f t="shared" si="30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9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4" si="52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4" si="53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50"/>
        <v/>
      </c>
      <c r="AF152" s="125" t="str">
        <f t="shared" si="51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25" t="str">
        <f t="shared" si="29"/>
        <v>ALTER TABLE TB_CLASS_LIKE ADD COLUMN CLASS_LIKE_SN INTEGER NOT NULL;</v>
      </c>
      <c r="AI152" s="125" t="str">
        <f t="shared" si="30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9"/>
        <v>/* 테이블 : 클래스관심 */ CREATE TABLE TB_CLASS_LIKE (</v>
      </c>
      <c r="AA153" s="125" t="str">
        <f t="shared" ref="AA153:AA245" si="54">H153&amp;" "&amp;Q153&amp;R153&amp;IF(ISBLANK(K153),""," PRIMARY KEY")&amp;IF(AND(ISBLANK(K153),J153="Y")," NOT NULL","")&amp;","</f>
        <v>CLASS_SN INTEGER NOT NULL,</v>
      </c>
      <c r="AB153" s="125" t="str">
        <f t="shared" si="52"/>
        <v>ALTER TABLE TB_CLASS_LIKE ADD CONSTRAINT TB_CLASS_LIKE_FKEY1 FOREIGN KEY(CLASS_SN) REFERENCES TB_CLASS(CLASS_SN) ON UPDATE CASCADE ON DELETE CASCADE;</v>
      </c>
      <c r="AC153" s="125" t="str">
        <f t="shared" si="53"/>
        <v/>
      </c>
      <c r="AD153" s="125" t="str">
        <f t="shared" si="27"/>
        <v/>
      </c>
      <c r="AE153" s="125" t="str">
        <f t="shared" si="50"/>
        <v/>
      </c>
      <c r="AF153" s="125" t="str">
        <f t="shared" si="51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25" t="str">
        <f t="shared" si="29"/>
        <v>ALTER TABLE TB_CLASS_LIKE ADD COLUMN CLASS_SN INTEGER NOT NULL;</v>
      </c>
      <c r="AI153" s="125" t="str">
        <f t="shared" si="30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719</v>
      </c>
      <c r="J154" s="73" t="s">
        <v>72</v>
      </c>
      <c r="K154" s="73"/>
      <c r="L154" s="73">
        <v>2</v>
      </c>
      <c r="M154" s="78" t="s">
        <v>9</v>
      </c>
      <c r="N154" s="95" t="s">
        <v>718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9"/>
        <v>/* 테이블 : 클래스관심 */ CREATE TABLE TB_CLASS_LIKE (</v>
      </c>
      <c r="AA154" s="125" t="str">
        <f t="shared" si="54"/>
        <v>USER_SN INTEGER NOT NULL,</v>
      </c>
      <c r="AB154" s="125" t="str">
        <f t="shared" si="52"/>
        <v>ALTER TABLE TB_CLASS_LIKE ADD CONSTRAINT TB_CLASS_LIKE_FKEY2 FOREIGN KEY(USER_SN) REFERENCES TB_USER(USER_SN) ON UPDATE CASCADE ON DELETE CASCADE;</v>
      </c>
      <c r="AC154" s="125" t="str">
        <f t="shared" si="53"/>
        <v/>
      </c>
      <c r="AD154" s="125" t="str">
        <f t="shared" ref="AD154:AD221" si="55">IF(ISBLANK(U154),"","ALTER TABLE "&amp;E154&amp;" ALTER COLUMN "&amp;H154&amp;" SET DEFAULT NEXTVAL('"&amp;U154&amp;"');")</f>
        <v/>
      </c>
      <c r="AE154" s="125" t="str">
        <f t="shared" si="50"/>
        <v/>
      </c>
      <c r="AF154" s="125" t="str">
        <f t="shared" si="51"/>
        <v>COMMENT ON COLUMN TB_CLASS_LIKE.USER_SN IS '사용자 일련번호' ;</v>
      </c>
      <c r="AG154" s="125" t="str">
        <f t="shared" ref="AG154:AG221" si="56">"ALTER TABLE "&amp;$E154&amp;" ALTER COLUMN "&amp;$H154&amp;" TYPE "&amp;$Q154&amp;IF(ISBLANK(R154),"",R154)&amp;";"</f>
        <v>ALTER TABLE TB_CLASS_LIKE ALTER COLUMN USER_SN TYPE INTEGER;</v>
      </c>
      <c r="AH154" s="125" t="str">
        <f t="shared" ref="AH154:AH221" si="57">"ALTER TABLE "&amp;$E154&amp;" ADD COLUMN "&amp;$H154&amp;" "&amp;$Q154&amp;IF(ISBLANK(R154),"",$R154)&amp;IF(ISBLANK($J154),""," NOT NULL")&amp;IF(ISBLANK($S154),""," DEFAULT '" &amp; $S154 &amp; "'") &amp; ";"</f>
        <v>ALTER TABLE TB_CLASS_LIKE ADD COLUMN USER_SN INTEGER NOT NULL;</v>
      </c>
      <c r="AI154" s="125" t="str">
        <f t="shared" ref="AI154:AI221" si="58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9"/>
        <v>/* 테이블 : 클래스관심 */ CREATE TABLE TB_CLASS_LIKE (</v>
      </c>
      <c r="AA155" s="125" t="str">
        <f t="shared" si="54"/>
        <v>REGISTER_ID VARCHAR(50) NOT NULL,</v>
      </c>
      <c r="AB155" s="125" t="str">
        <f t="shared" si="52"/>
        <v/>
      </c>
      <c r="AC155" s="125" t="str">
        <f t="shared" si="53"/>
        <v/>
      </c>
      <c r="AD155" s="125" t="str">
        <f t="shared" si="55"/>
        <v/>
      </c>
      <c r="AE155" s="125" t="str">
        <f t="shared" si="50"/>
        <v/>
      </c>
      <c r="AF155" s="125" t="str">
        <f t="shared" si="51"/>
        <v>COMMENT ON COLUMN TB_CLASS_LIKE.REGISTER_ID IS '등록자 ID' ;</v>
      </c>
      <c r="AG155" s="125" t="str">
        <f t="shared" si="56"/>
        <v>ALTER TABLE TB_CLASS_LIKE ALTER COLUMN REGISTER_ID TYPE VARCHAR(50);</v>
      </c>
      <c r="AH155" s="125" t="str">
        <f t="shared" si="57"/>
        <v>ALTER TABLE TB_CLASS_LIKE ADD COLUMN REGISTER_ID VARCHAR(50) NOT NULL;</v>
      </c>
      <c r="AI155" s="125" t="str">
        <f t="shared" si="58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9"/>
        <v>/* 테이블 : 클래스관심 */ CREATE TABLE TB_CLASS_LIKE (</v>
      </c>
      <c r="AA156" s="125" t="str">
        <f t="shared" si="54"/>
        <v>REGISTER_IP VARCHAR(100) NOT NULL,</v>
      </c>
      <c r="AB156" s="125" t="str">
        <f t="shared" si="52"/>
        <v/>
      </c>
      <c r="AC156" s="125" t="str">
        <f t="shared" si="53"/>
        <v/>
      </c>
      <c r="AD156" s="125" t="str">
        <f t="shared" si="55"/>
        <v/>
      </c>
      <c r="AE156" s="125" t="str">
        <f t="shared" si="50"/>
        <v/>
      </c>
      <c r="AF156" s="125" t="str">
        <f t="shared" si="51"/>
        <v>COMMENT ON COLUMN TB_CLASS_LIKE.REGISTER_IP IS '등록자 IP' ;</v>
      </c>
      <c r="AG156" s="125" t="str">
        <f t="shared" si="56"/>
        <v>ALTER TABLE TB_CLASS_LIKE ALTER COLUMN REGISTER_IP TYPE VARCHAR(100);</v>
      </c>
      <c r="AH156" s="125" t="str">
        <f t="shared" si="57"/>
        <v>ALTER TABLE TB_CLASS_LIKE ADD COLUMN REGISTER_IP VARCHAR(100) NOT NULL;</v>
      </c>
      <c r="AI156" s="125" t="str">
        <f t="shared" si="58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9"/>
        <v>/* 테이블 : 클래스관심 */ CREATE TABLE TB_CLASS_LIKE (</v>
      </c>
      <c r="AA157" s="125" t="str">
        <f t="shared" si="54"/>
        <v>REG_DT TIMESTAMP NOT NULL,</v>
      </c>
      <c r="AB157" s="125" t="str">
        <f t="shared" si="52"/>
        <v/>
      </c>
      <c r="AC157" s="125" t="str">
        <f t="shared" si="53"/>
        <v/>
      </c>
      <c r="AD157" s="125" t="str">
        <f t="shared" si="55"/>
        <v/>
      </c>
      <c r="AE157" s="125" t="str">
        <f t="shared" si="50"/>
        <v/>
      </c>
      <c r="AF157" s="125" t="str">
        <f t="shared" si="51"/>
        <v>COMMENT ON COLUMN TB_CLASS_LIKE.REG_DT IS '등록 일시' ;</v>
      </c>
      <c r="AG157" s="125" t="str">
        <f t="shared" si="56"/>
        <v>ALTER TABLE TB_CLASS_LIKE ALTER COLUMN REG_DT TYPE TIMESTAMP;</v>
      </c>
      <c r="AH157" s="125" t="str">
        <f t="shared" si="57"/>
        <v>ALTER TABLE TB_CLASS_LIKE ADD COLUMN REG_DT TIMESTAMP NOT NULL;</v>
      </c>
      <c r="AI157" s="125" t="str">
        <f t="shared" si="58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9"/>
        <v>/* 테이블 : 클래스관심 */ CREATE TABLE TB_CLASS_LIKE (</v>
      </c>
      <c r="AA158" s="125" t="str">
        <f t="shared" si="54"/>
        <v>UPDUSR_ID VARCHAR(50),</v>
      </c>
      <c r="AB158" s="125" t="str">
        <f t="shared" si="52"/>
        <v/>
      </c>
      <c r="AC158" s="125" t="str">
        <f t="shared" si="53"/>
        <v/>
      </c>
      <c r="AD158" s="125" t="str">
        <f t="shared" si="55"/>
        <v/>
      </c>
      <c r="AE158" s="125" t="str">
        <f t="shared" si="50"/>
        <v/>
      </c>
      <c r="AF158" s="125" t="str">
        <f t="shared" si="51"/>
        <v>COMMENT ON COLUMN TB_CLASS_LIKE.UPDUSR_ID IS '수정자 ID' ;</v>
      </c>
      <c r="AG158" s="125" t="str">
        <f t="shared" si="56"/>
        <v>ALTER TABLE TB_CLASS_LIKE ALTER COLUMN UPDUSR_ID TYPE VARCHAR(50);</v>
      </c>
      <c r="AH158" s="125" t="str">
        <f t="shared" si="57"/>
        <v>ALTER TABLE TB_CLASS_LIKE ADD COLUMN UPDUSR_ID VARCHAR(50);</v>
      </c>
      <c r="AI158" s="125" t="str">
        <f t="shared" si="58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9"/>
        <v>/* 테이블 : 클래스관심 */ CREATE TABLE TB_CLASS_LIKE (</v>
      </c>
      <c r="AA159" s="125" t="str">
        <f t="shared" si="54"/>
        <v>UPDUSR_IP VARCHAR(100),</v>
      </c>
      <c r="AB159" s="125" t="str">
        <f t="shared" si="52"/>
        <v/>
      </c>
      <c r="AC159" s="125" t="str">
        <f t="shared" si="53"/>
        <v/>
      </c>
      <c r="AD159" s="125" t="str">
        <f t="shared" si="55"/>
        <v/>
      </c>
      <c r="AE159" s="125" t="str">
        <f t="shared" si="50"/>
        <v/>
      </c>
      <c r="AF159" s="125" t="str">
        <f t="shared" si="51"/>
        <v>COMMENT ON COLUMN TB_CLASS_LIKE.UPDUSR_IP IS '수정자 IP' ;</v>
      </c>
      <c r="AG159" s="125" t="str">
        <f t="shared" si="56"/>
        <v>ALTER TABLE TB_CLASS_LIKE ALTER COLUMN UPDUSR_IP TYPE VARCHAR(100);</v>
      </c>
      <c r="AH159" s="125" t="str">
        <f t="shared" si="57"/>
        <v>ALTER TABLE TB_CLASS_LIKE ADD COLUMN UPDUSR_IP VARCHAR(100);</v>
      </c>
      <c r="AI159" s="125" t="str">
        <f t="shared" si="58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9"/>
        <v>/* 테이블 : 클래스관심 */ CREATE TABLE TB_CLASS_LIKE (</v>
      </c>
      <c r="AA160" s="125" t="str">
        <f t="shared" si="54"/>
        <v>UPDT_DT TIMESTAMP,</v>
      </c>
      <c r="AB160" s="125" t="str">
        <f t="shared" si="52"/>
        <v/>
      </c>
      <c r="AC160" s="125" t="str">
        <f t="shared" si="53"/>
        <v/>
      </c>
      <c r="AD160" s="125" t="str">
        <f t="shared" si="55"/>
        <v/>
      </c>
      <c r="AE160" s="125" t="str">
        <f t="shared" si="50"/>
        <v/>
      </c>
      <c r="AF160" s="125" t="str">
        <f t="shared" si="51"/>
        <v>COMMENT ON COLUMN TB_CLASS_LIKE.UPDT_DT IS '수정 일시' ;</v>
      </c>
      <c r="AG160" s="125" t="str">
        <f t="shared" si="56"/>
        <v>ALTER TABLE TB_CLASS_LIKE ALTER COLUMN UPDT_DT TYPE TIMESTAMP;</v>
      </c>
      <c r="AH160" s="125" t="str">
        <f t="shared" si="57"/>
        <v>ALTER TABLE TB_CLASS_LIKE ADD COLUMN UPDT_DT TIMESTAMP;</v>
      </c>
      <c r="AI160" s="125" t="str">
        <f t="shared" si="58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804</v>
      </c>
      <c r="R161" s="119" t="s">
        <v>522</v>
      </c>
      <c r="S161" s="82" t="s">
        <v>803</v>
      </c>
      <c r="T161" s="107" t="s">
        <v>213</v>
      </c>
      <c r="U161" s="78"/>
      <c r="V161" s="78"/>
      <c r="W161" s="101"/>
      <c r="X161" s="45"/>
      <c r="Y161" s="78"/>
      <c r="Z161" s="130" t="str">
        <f t="shared" si="49"/>
        <v>/* 테이블 : 클래스관심 */ CREATE TABLE TB_CLASS_LIKE (</v>
      </c>
      <c r="AA161" s="125" t="str">
        <f t="shared" si="54"/>
        <v>DEL_YN BPCHAR(1) NOT NULL,</v>
      </c>
      <c r="AB161" s="125" t="str">
        <f t="shared" si="52"/>
        <v/>
      </c>
      <c r="AC161" s="125" t="str">
        <f t="shared" si="53"/>
        <v/>
      </c>
      <c r="AD161" s="125" t="str">
        <f t="shared" si="55"/>
        <v/>
      </c>
      <c r="AE161" s="125" t="str">
        <f t="shared" si="50"/>
        <v>ALTER TABLE TB_CLASS_LIKE ALTER COLUMN DEL_YN SET DEFAULT 'N'::bpchar;</v>
      </c>
      <c r="AF161" s="125" t="str">
        <f t="shared" si="51"/>
        <v>COMMENT ON COLUMN TB_CLASS_LIKE.DEL_YN IS '삭제 여부' ;</v>
      </c>
      <c r="AG161" s="125" t="str">
        <f t="shared" si="56"/>
        <v>ALTER TABLE TB_CLASS_LIKE ALTER COLUMN DEL_YN TYPE BPCHAR(1);</v>
      </c>
      <c r="AH161" s="125" t="str">
        <f t="shared" si="57"/>
        <v>ALTER TABLE TB_CLASS_LIKE ADD COLUMN DEL_YN BPCHAR(1) NOT NULL DEFAULT ''N'::bpchar';</v>
      </c>
      <c r="AI161" s="125" t="str">
        <f t="shared" si="58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9"/>
        <v>/* 테이블 : 클래스후기 */ CREATE TABLE TB_CLASS_REVIEW (</v>
      </c>
      <c r="AA162" s="125" t="str">
        <f t="shared" si="54"/>
        <v>CLASS_REVIEW_SN INTEGER PRIMARY KEY,</v>
      </c>
      <c r="AB162" s="125" t="str">
        <f t="shared" si="52"/>
        <v/>
      </c>
      <c r="AC162" s="125" t="str">
        <f t="shared" si="53"/>
        <v>CREATE SEQUENCE SEQ_TB_CLASS_REVIEW_SN START 100000;</v>
      </c>
      <c r="AD162" s="125" t="str">
        <f t="shared" si="55"/>
        <v>ALTER TABLE TB_CLASS_REVIEW ALTER COLUMN CLASS_REVIEW_SN SET DEFAULT NEXTVAL('SEQ_TB_CLASS_REVIEW_SN');</v>
      </c>
      <c r="AE162" s="125" t="str">
        <f t="shared" si="50"/>
        <v/>
      </c>
      <c r="AF162" s="125" t="str">
        <f t="shared" si="51"/>
        <v>COMMENT ON COLUMN TB_CLASS_REVIEW.CLASS_REVIEW_SN IS '클래스 후기 일련번호' ;</v>
      </c>
      <c r="AG162" s="125" t="str">
        <f t="shared" si="56"/>
        <v>ALTER TABLE TB_CLASS_REVIEW ALTER COLUMN CLASS_REVIEW_SN TYPE INTEGER;</v>
      </c>
      <c r="AH162" s="125" t="str">
        <f t="shared" si="57"/>
        <v>ALTER TABLE TB_CLASS_REVIEW ADD COLUMN CLASS_REVIEW_SN INTEGER NOT NULL;</v>
      </c>
      <c r="AI162" s="125" t="str">
        <f t="shared" si="58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9"/>
        <v>/* 테이블 : 클래스후기 */ CREATE TABLE TB_CLASS_REVIEW (</v>
      </c>
      <c r="AA163" s="125" t="str">
        <f t="shared" si="54"/>
        <v>CLASS_SN INTEGER NOT NULL,</v>
      </c>
      <c r="AB163" s="125" t="str">
        <f t="shared" si="52"/>
        <v>ALTER TABLE TB_CLASS_REVIEW ADD CONSTRAINT TB_CLASS_REVIEW_FKEY1 FOREIGN KEY(CLASS_SN) REFERENCES TB_CLASS(CLASS_SN) ON UPDATE CASCADE ON DELETE CASCADE;</v>
      </c>
      <c r="AC163" s="125" t="str">
        <f t="shared" si="53"/>
        <v/>
      </c>
      <c r="AD163" s="125" t="str">
        <f t="shared" si="55"/>
        <v/>
      </c>
      <c r="AE163" s="125" t="str">
        <f t="shared" si="50"/>
        <v/>
      </c>
      <c r="AF163" s="125" t="str">
        <f t="shared" si="51"/>
        <v>COMMENT ON COLUMN TB_CLASS_REVIEW.CLASS_SN IS '클래스 일련번호' ;</v>
      </c>
      <c r="AG163" s="125" t="str">
        <f t="shared" si="56"/>
        <v>ALTER TABLE TB_CLASS_REVIEW ALTER COLUMN CLASS_SN TYPE INTEGER;</v>
      </c>
      <c r="AH163" s="125" t="str">
        <f t="shared" si="57"/>
        <v>ALTER TABLE TB_CLASS_REVIEW ADD COLUMN CLASS_SN INTEGER NOT NULL;</v>
      </c>
      <c r="AI163" s="125" t="str">
        <f t="shared" si="58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718</v>
      </c>
      <c r="I164" s="95" t="s">
        <v>719</v>
      </c>
      <c r="J164" s="45" t="s">
        <v>191</v>
      </c>
      <c r="K164" s="45"/>
      <c r="L164" s="45">
        <v>2</v>
      </c>
      <c r="M164" s="78" t="s">
        <v>9</v>
      </c>
      <c r="N164" s="95" t="s">
        <v>718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9"/>
        <v>/* 테이블 : 클래스후기 */ CREATE TABLE TB_CLASS_REVIEW (</v>
      </c>
      <c r="AA164" s="125" t="str">
        <f t="shared" si="54"/>
        <v>USER_SN INTEGER NOT NULL,</v>
      </c>
      <c r="AB164" s="125" t="str">
        <f t="shared" si="52"/>
        <v>ALTER TABLE TB_CLASS_REVIEW ADD CONSTRAINT TB_CLASS_REVIEW_FKEY2 FOREIGN KEY(USER_SN) REFERENCES TB_USER(USER_SN) ON UPDATE CASCADE ON DELETE CASCADE;</v>
      </c>
      <c r="AC164" s="125" t="str">
        <f t="shared" si="53"/>
        <v/>
      </c>
      <c r="AD164" s="125" t="str">
        <f t="shared" si="55"/>
        <v/>
      </c>
      <c r="AE164" s="125" t="str">
        <f t="shared" si="50"/>
        <v/>
      </c>
      <c r="AF164" s="125" t="str">
        <f t="shared" si="51"/>
        <v>COMMENT ON COLUMN TB_CLASS_REVIEW.USER_SN IS '사용자 일련번호' ;</v>
      </c>
      <c r="AG164" s="125" t="str">
        <f t="shared" si="56"/>
        <v>ALTER TABLE TB_CLASS_REVIEW ALTER COLUMN USER_SN TYPE INTEGER;</v>
      </c>
      <c r="AH164" s="125" t="str">
        <f t="shared" si="57"/>
        <v>ALTER TABLE TB_CLASS_REVIEW ADD COLUMN USER_SN INTEGER NOT NULL;</v>
      </c>
      <c r="AI164" s="125" t="str">
        <f t="shared" si="58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838</v>
      </c>
      <c r="U165" s="78"/>
      <c r="V165" s="78"/>
      <c r="W165" s="116" t="s">
        <v>612</v>
      </c>
      <c r="X165" s="45"/>
      <c r="Y165" s="78"/>
      <c r="Z165" s="130" t="str">
        <f t="shared" si="49"/>
        <v>/* 테이블 : 클래스후기 */ CREATE TABLE TB_CLASS_REVIEW (</v>
      </c>
      <c r="AA165" s="125" t="str">
        <f t="shared" si="54"/>
        <v>STEP VARCHAR(2),</v>
      </c>
      <c r="AB165" s="125" t="str">
        <f t="shared" si="52"/>
        <v/>
      </c>
      <c r="AC165" s="125" t="str">
        <f t="shared" si="53"/>
        <v/>
      </c>
      <c r="AD165" s="125" t="str">
        <f t="shared" si="55"/>
        <v/>
      </c>
      <c r="AE165" s="125" t="str">
        <f t="shared" si="50"/>
        <v/>
      </c>
      <c r="AF165" s="125" t="str">
        <f t="shared" si="51"/>
        <v>COMMENT ON COLUMN TB_CLASS_REVIEW.STEP IS '계층 (원글 : 1 , 답글 : 2~ )' ;</v>
      </c>
      <c r="AG165" s="125" t="str">
        <f t="shared" si="56"/>
        <v>ALTER TABLE TB_CLASS_REVIEW ALTER COLUMN STEP TYPE VARCHAR(2);</v>
      </c>
      <c r="AH165" s="125" t="str">
        <f t="shared" si="57"/>
        <v>ALTER TABLE TB_CLASS_REVIEW ADD COLUMN STEP VARCHAR(2);</v>
      </c>
      <c r="AI165" s="125" t="str">
        <f t="shared" si="58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9"/>
        <v>/* 테이블 : 클래스후기 */ CREATE TABLE TB_CLASS_REVIEW (</v>
      </c>
      <c r="AA166" s="125" t="str">
        <f t="shared" si="54"/>
        <v>PARNTS_REVIEW_SN INTEGER,</v>
      </c>
      <c r="AB166" s="125" t="str">
        <f t="shared" si="52"/>
        <v/>
      </c>
      <c r="AC166" s="125" t="str">
        <f t="shared" si="53"/>
        <v/>
      </c>
      <c r="AD166" s="125" t="str">
        <f t="shared" si="55"/>
        <v/>
      </c>
      <c r="AE166" s="125" t="str">
        <f t="shared" si="50"/>
        <v/>
      </c>
      <c r="AF166" s="125" t="str">
        <f t="shared" si="51"/>
        <v>COMMENT ON COLUMN TB_CLASS_REVIEW.PARNTS_REVIEW_SN IS '부모 후기 일련번호' ;</v>
      </c>
      <c r="AG166" s="125" t="str">
        <f t="shared" si="56"/>
        <v>ALTER TABLE TB_CLASS_REVIEW ALTER COLUMN PARNTS_REVIEW_SN TYPE INTEGER;</v>
      </c>
      <c r="AH166" s="125" t="str">
        <f t="shared" si="57"/>
        <v>ALTER TABLE TB_CLASS_REVIEW ADD COLUMN PARNTS_REVIEW_SN INTEGER;</v>
      </c>
      <c r="AI166" s="125" t="str">
        <f t="shared" si="58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9"/>
        <v>/* 테이블 : 클래스후기 */ CREATE TABLE TB_CLASS_REVIEW (</v>
      </c>
      <c r="AA167" s="125" t="str">
        <f t="shared" si="54"/>
        <v>REVIEW_CN VARCHAR(2000) NOT NULL,</v>
      </c>
      <c r="AB167" s="125" t="str">
        <f t="shared" si="52"/>
        <v/>
      </c>
      <c r="AC167" s="125" t="str">
        <f t="shared" si="53"/>
        <v/>
      </c>
      <c r="AD167" s="125" t="str">
        <f t="shared" si="55"/>
        <v/>
      </c>
      <c r="AE167" s="125" t="str">
        <f t="shared" si="50"/>
        <v/>
      </c>
      <c r="AF167" s="125" t="str">
        <f t="shared" si="51"/>
        <v>COMMENT ON COLUMN TB_CLASS_REVIEW.REVIEW_CN IS '후기 내용' ;</v>
      </c>
      <c r="AG167" s="125" t="str">
        <f t="shared" si="56"/>
        <v>ALTER TABLE TB_CLASS_REVIEW ALTER COLUMN REVIEW_CN TYPE VARCHAR(2000);</v>
      </c>
      <c r="AH167" s="125" t="str">
        <f t="shared" si="57"/>
        <v>ALTER TABLE TB_CLASS_REVIEW ADD COLUMN REVIEW_CN VARCHAR(2000) NOT NULL;</v>
      </c>
      <c r="AI167" s="125" t="str">
        <f t="shared" si="58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9"/>
        <v>/* 테이블 : 클래스후기 */ CREATE TABLE TB_CLASS_REVIEW (</v>
      </c>
      <c r="AA168" s="125" t="str">
        <f t="shared" si="54"/>
        <v>REVIEW_GRADE VARCHAR(10) NOT NULL,</v>
      </c>
      <c r="AB168" s="125" t="str">
        <f t="shared" si="52"/>
        <v/>
      </c>
      <c r="AC168" s="125" t="str">
        <f t="shared" si="53"/>
        <v/>
      </c>
      <c r="AD168" s="125" t="str">
        <f t="shared" si="55"/>
        <v/>
      </c>
      <c r="AE168" s="125" t="str">
        <f t="shared" si="50"/>
        <v/>
      </c>
      <c r="AF168" s="125" t="str">
        <f t="shared" si="51"/>
        <v>COMMENT ON COLUMN TB_CLASS_REVIEW.REVIEW_GRADE IS '후기 등급(별점)' ;</v>
      </c>
      <c r="AG168" s="125" t="str">
        <f t="shared" si="56"/>
        <v>ALTER TABLE TB_CLASS_REVIEW ALTER COLUMN REVIEW_GRADE TYPE VARCHAR(10);</v>
      </c>
      <c r="AH168" s="125" t="str">
        <f t="shared" si="57"/>
        <v>ALTER TABLE TB_CLASS_REVIEW ADD COLUMN REVIEW_GRADE VARCHAR(10) NOT NULL;</v>
      </c>
      <c r="AI168" s="125" t="str">
        <f t="shared" si="58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9"/>
        <v>/* 테이블 : 클래스후기 */ CREATE TABLE TB_CLASS_REVIEW (</v>
      </c>
      <c r="AA169" s="125" t="str">
        <f t="shared" si="54"/>
        <v>ATCH_FILE_SN INTEGER,</v>
      </c>
      <c r="AB169" s="125" t="str">
        <f t="shared" si="52"/>
        <v>ALTER TABLE TB_CLASS_REVIEW ADD CONSTRAINT TB_CLASS_REVIEW_FKEY3 FOREIGN KEY(ATCH_FILE_SN) REFERENCES TB_ATCH_FILE(ATCH_FILE_SN) ON UPDATE CASCADE ON DELETE SET NULL;</v>
      </c>
      <c r="AC169" s="125" t="str">
        <f t="shared" si="53"/>
        <v/>
      </c>
      <c r="AD169" s="125" t="str">
        <f t="shared" si="55"/>
        <v/>
      </c>
      <c r="AE169" s="125" t="str">
        <f t="shared" si="50"/>
        <v/>
      </c>
      <c r="AF169" s="125" t="str">
        <f t="shared" si="51"/>
        <v>COMMENT ON COLUMN TB_CLASS_REVIEW.ATCH_FILE_SN IS '첨부 파일 일련번호' ;</v>
      </c>
      <c r="AG169" s="125" t="str">
        <f t="shared" si="56"/>
        <v>ALTER TABLE TB_CLASS_REVIEW ALTER COLUMN ATCH_FILE_SN TYPE INTEGER;</v>
      </c>
      <c r="AH169" s="125" t="str">
        <f t="shared" si="57"/>
        <v>ALTER TABLE TB_CLASS_REVIEW ADD COLUMN ATCH_FILE_SN INTEGER;</v>
      </c>
      <c r="AI169" s="125" t="str">
        <f t="shared" si="58"/>
        <v>ALTER TABLE TB_CLASS_REVIEW DROP COLUMN ATCH_FILE_SN;</v>
      </c>
    </row>
    <row r="170" spans="2:35" ht="20.100000000000001" customHeight="1">
      <c r="B170" s="55">
        <v>166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97" t="s">
        <v>107</v>
      </c>
      <c r="I170" s="51" t="s">
        <v>76</v>
      </c>
      <c r="J170" s="73" t="s">
        <v>72</v>
      </c>
      <c r="K170" s="67"/>
      <c r="L170" s="67"/>
      <c r="M170" s="77"/>
      <c r="N170" s="77"/>
      <c r="O170" s="77"/>
      <c r="P170" s="77"/>
      <c r="Q170" s="100" t="s">
        <v>521</v>
      </c>
      <c r="R170" s="119" t="s">
        <v>526</v>
      </c>
      <c r="S170" s="80"/>
      <c r="T170" s="107" t="s">
        <v>219</v>
      </c>
      <c r="U170" s="78"/>
      <c r="V170" s="78"/>
      <c r="W170" s="116" t="s">
        <v>496</v>
      </c>
      <c r="X170" s="45"/>
      <c r="Y170" s="78"/>
      <c r="Z170" s="130" t="str">
        <f t="shared" si="49"/>
        <v>/* 테이블 : 클래스후기 */ CREATE TABLE TB_CLASS_REVIEW (</v>
      </c>
      <c r="AA170" s="125" t="str">
        <f t="shared" si="54"/>
        <v>REGISTER_ID VARCHAR(50) NOT NULL,</v>
      </c>
      <c r="AB170" s="125" t="str">
        <f t="shared" si="52"/>
        <v/>
      </c>
      <c r="AC170" s="125" t="str">
        <f t="shared" si="53"/>
        <v/>
      </c>
      <c r="AD170" s="125" t="str">
        <f t="shared" si="55"/>
        <v/>
      </c>
      <c r="AE170" s="125" t="str">
        <f t="shared" si="50"/>
        <v/>
      </c>
      <c r="AF170" s="125" t="str">
        <f t="shared" si="51"/>
        <v>COMMENT ON COLUMN TB_CLASS_REVIEW.REGISTER_ID IS '등록자 ID' ;</v>
      </c>
      <c r="AG170" s="125" t="str">
        <f t="shared" si="56"/>
        <v>ALTER TABLE TB_CLASS_REVIEW ALTER COLUMN REGISTER_ID TYPE VARCHAR(50);</v>
      </c>
      <c r="AH170" s="125" t="str">
        <f t="shared" si="57"/>
        <v>ALTER TABLE TB_CLASS_REVIEW ADD COLUMN REGISTER_ID VARCHAR(50) NOT NULL;</v>
      </c>
      <c r="AI170" s="125" t="str">
        <f t="shared" si="58"/>
        <v>ALTER TABLE TB_CLASS_REVIEW DROP COLUMN REGISTER_ID;</v>
      </c>
    </row>
    <row r="171" spans="2:35" ht="20.100000000000001" customHeight="1">
      <c r="B171" s="55">
        <v>167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91</v>
      </c>
      <c r="I171" s="51" t="s">
        <v>77</v>
      </c>
      <c r="J171" s="73" t="s">
        <v>72</v>
      </c>
      <c r="K171" s="52"/>
      <c r="L171" s="52"/>
      <c r="M171" s="52"/>
      <c r="N171" s="52"/>
      <c r="O171" s="52"/>
      <c r="P171" s="52"/>
      <c r="Q171" s="56" t="s">
        <v>106</v>
      </c>
      <c r="R171" s="119" t="s">
        <v>527</v>
      </c>
      <c r="S171" s="80"/>
      <c r="T171" s="107" t="s">
        <v>218</v>
      </c>
      <c r="U171" s="78"/>
      <c r="V171" s="78"/>
      <c r="W171" s="101"/>
      <c r="X171" s="45"/>
      <c r="Y171" s="78"/>
      <c r="Z171" s="130" t="str">
        <f t="shared" si="49"/>
        <v>/* 테이블 : 클래스후기 */ CREATE TABLE TB_CLASS_REVIEW (</v>
      </c>
      <c r="AA171" s="125" t="str">
        <f t="shared" si="54"/>
        <v>REGISTER_IP VARCHAR(100) NOT NULL,</v>
      </c>
      <c r="AB171" s="125" t="str">
        <f t="shared" si="52"/>
        <v/>
      </c>
      <c r="AC171" s="125" t="str">
        <f t="shared" si="53"/>
        <v/>
      </c>
      <c r="AD171" s="125" t="str">
        <f t="shared" si="55"/>
        <v/>
      </c>
      <c r="AE171" s="125" t="str">
        <f t="shared" si="50"/>
        <v/>
      </c>
      <c r="AF171" s="125" t="str">
        <f t="shared" si="51"/>
        <v>COMMENT ON COLUMN TB_CLASS_REVIEW.REGISTER_IP IS '등록자 IP' ;</v>
      </c>
      <c r="AG171" s="125" t="str">
        <f t="shared" si="56"/>
        <v>ALTER TABLE TB_CLASS_REVIEW ALTER COLUMN REGISTER_IP TYPE VARCHAR(100);</v>
      </c>
      <c r="AH171" s="125" t="str">
        <f t="shared" si="57"/>
        <v>ALTER TABLE TB_CLASS_REVIEW ADD COLUMN REGISTER_IP VARCHAR(100) NOT NULL;</v>
      </c>
      <c r="AI171" s="125" t="str">
        <f t="shared" si="58"/>
        <v>ALTER TABLE TB_CLASS_REVIEW DROP COLUMN REGISTER_IP;</v>
      </c>
    </row>
    <row r="172" spans="2:35" ht="20.100000000000001" customHeight="1">
      <c r="B172" s="55">
        <v>168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92</v>
      </c>
      <c r="I172" s="96" t="s">
        <v>78</v>
      </c>
      <c r="J172" s="73" t="s">
        <v>72</v>
      </c>
      <c r="K172" s="52"/>
      <c r="L172" s="52"/>
      <c r="M172" s="52"/>
      <c r="N172" s="52"/>
      <c r="O172" s="52"/>
      <c r="P172" s="52"/>
      <c r="Q172" s="51" t="s">
        <v>706</v>
      </c>
      <c r="R172" s="119"/>
      <c r="S172" s="80"/>
      <c r="T172" s="107" t="s">
        <v>217</v>
      </c>
      <c r="U172" s="78"/>
      <c r="V172" s="78"/>
      <c r="W172" s="101"/>
      <c r="X172" s="45"/>
      <c r="Y172" s="78"/>
      <c r="Z172" s="130" t="str">
        <f t="shared" si="49"/>
        <v>/* 테이블 : 클래스후기 */ CREATE TABLE TB_CLASS_REVIEW (</v>
      </c>
      <c r="AA172" s="125" t="str">
        <f t="shared" si="54"/>
        <v>REG_DT TIMESTAMP NOT NULL,</v>
      </c>
      <c r="AB172" s="125" t="str">
        <f t="shared" si="52"/>
        <v/>
      </c>
      <c r="AC172" s="125" t="str">
        <f t="shared" si="53"/>
        <v/>
      </c>
      <c r="AD172" s="125" t="str">
        <f t="shared" si="55"/>
        <v/>
      </c>
      <c r="AE172" s="125" t="str">
        <f t="shared" si="50"/>
        <v/>
      </c>
      <c r="AF172" s="125" t="str">
        <f t="shared" si="51"/>
        <v>COMMENT ON COLUMN TB_CLASS_REVIEW.REG_DT IS '등록 일시' ;</v>
      </c>
      <c r="AG172" s="125" t="str">
        <f t="shared" si="56"/>
        <v>ALTER TABLE TB_CLASS_REVIEW ALTER COLUMN REG_DT TYPE TIMESTAMP;</v>
      </c>
      <c r="AH172" s="125" t="str">
        <f t="shared" si="57"/>
        <v>ALTER TABLE TB_CLASS_REVIEW ADD COLUMN REG_DT TIMESTAMP NOT NULL;</v>
      </c>
      <c r="AI172" s="125" t="str">
        <f t="shared" si="58"/>
        <v>ALTER TABLE TB_CLASS_REVIEW DROP COLUMN REG_DT;</v>
      </c>
    </row>
    <row r="173" spans="2:35" ht="20.100000000000001" customHeight="1">
      <c r="B173" s="135">
        <v>169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93</v>
      </c>
      <c r="I173" s="96" t="s">
        <v>80</v>
      </c>
      <c r="J173" s="52"/>
      <c r="K173" s="52"/>
      <c r="L173" s="52"/>
      <c r="M173" s="79"/>
      <c r="N173" s="79"/>
      <c r="O173" s="79"/>
      <c r="P173" s="79"/>
      <c r="Q173" s="100" t="s">
        <v>521</v>
      </c>
      <c r="R173" s="119" t="s">
        <v>526</v>
      </c>
      <c r="S173" s="80"/>
      <c r="T173" s="107" t="s">
        <v>216</v>
      </c>
      <c r="U173" s="78"/>
      <c r="V173" s="78"/>
      <c r="W173" s="116" t="s">
        <v>496</v>
      </c>
      <c r="X173" s="45"/>
      <c r="Y173" s="78"/>
      <c r="Z173" s="130" t="str">
        <f t="shared" si="49"/>
        <v>/* 테이블 : 클래스후기 */ CREATE TABLE TB_CLASS_REVIEW (</v>
      </c>
      <c r="AA173" s="125" t="str">
        <f t="shared" si="54"/>
        <v>UPDUSR_ID VARCHAR(50),</v>
      </c>
      <c r="AB173" s="125" t="str">
        <f t="shared" si="52"/>
        <v/>
      </c>
      <c r="AC173" s="125" t="str">
        <f t="shared" si="53"/>
        <v/>
      </c>
      <c r="AD173" s="125" t="str">
        <f t="shared" si="55"/>
        <v/>
      </c>
      <c r="AE173" s="125" t="str">
        <f t="shared" si="50"/>
        <v/>
      </c>
      <c r="AF173" s="125" t="str">
        <f t="shared" si="51"/>
        <v>COMMENT ON COLUMN TB_CLASS_REVIEW.UPDUSR_ID IS '수정자 ID' ;</v>
      </c>
      <c r="AG173" s="125" t="str">
        <f t="shared" si="56"/>
        <v>ALTER TABLE TB_CLASS_REVIEW ALTER COLUMN UPDUSR_ID TYPE VARCHAR(50);</v>
      </c>
      <c r="AH173" s="125" t="str">
        <f t="shared" si="57"/>
        <v>ALTER TABLE TB_CLASS_REVIEW ADD COLUMN UPDUSR_ID VARCHAR(50);</v>
      </c>
      <c r="AI173" s="125" t="str">
        <f t="shared" si="58"/>
        <v>ALTER TABLE TB_CLASS_REVIEW DROP COLUMN UPDUSR_ID;</v>
      </c>
    </row>
    <row r="174" spans="2:35" ht="20.100000000000001" customHeight="1">
      <c r="B174" s="55">
        <v>170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94</v>
      </c>
      <c r="I174" s="96" t="s">
        <v>79</v>
      </c>
      <c r="J174" s="52"/>
      <c r="K174" s="52"/>
      <c r="L174" s="52"/>
      <c r="M174" s="52"/>
      <c r="N174" s="52"/>
      <c r="O174" s="52"/>
      <c r="P174" s="52"/>
      <c r="Q174" s="56" t="s">
        <v>106</v>
      </c>
      <c r="R174" s="119" t="s">
        <v>527</v>
      </c>
      <c r="S174" s="80"/>
      <c r="T174" s="107" t="s">
        <v>215</v>
      </c>
      <c r="U174" s="78"/>
      <c r="V174" s="78"/>
      <c r="W174" s="101"/>
      <c r="X174" s="45"/>
      <c r="Y174" s="78"/>
      <c r="Z174" s="130" t="str">
        <f t="shared" si="49"/>
        <v>/* 테이블 : 클래스후기 */ CREATE TABLE TB_CLASS_REVIEW (</v>
      </c>
      <c r="AA174" s="125" t="str">
        <f t="shared" si="54"/>
        <v>UPDUSR_IP VARCHAR(100),</v>
      </c>
      <c r="AB174" s="125" t="str">
        <f t="shared" si="52"/>
        <v/>
      </c>
      <c r="AC174" s="125" t="str">
        <f t="shared" si="53"/>
        <v/>
      </c>
      <c r="AD174" s="125" t="str">
        <f t="shared" si="55"/>
        <v/>
      </c>
      <c r="AE174" s="125" t="str">
        <f t="shared" si="50"/>
        <v/>
      </c>
      <c r="AF174" s="125" t="str">
        <f t="shared" si="51"/>
        <v>COMMENT ON COLUMN TB_CLASS_REVIEW.UPDUSR_IP IS '수정자 IP' ;</v>
      </c>
      <c r="AG174" s="125" t="str">
        <f t="shared" si="56"/>
        <v>ALTER TABLE TB_CLASS_REVIEW ALTER COLUMN UPDUSR_IP TYPE VARCHAR(100);</v>
      </c>
      <c r="AH174" s="125" t="str">
        <f t="shared" si="57"/>
        <v>ALTER TABLE TB_CLASS_REVIEW ADD COLUMN UPDUSR_IP VARCHAR(100);</v>
      </c>
      <c r="AI174" s="125" t="str">
        <f t="shared" si="58"/>
        <v>ALTER TABLE TB_CLASS_REVIEW DROP COLUMN UPDUSR_IP;</v>
      </c>
    </row>
    <row r="175" spans="2:35" ht="20.100000000000001" customHeight="1">
      <c r="B175" s="55">
        <v>171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8" t="s">
        <v>95</v>
      </c>
      <c r="I175" s="97" t="s">
        <v>81</v>
      </c>
      <c r="J175" s="61"/>
      <c r="K175" s="61"/>
      <c r="L175" s="61"/>
      <c r="M175" s="61"/>
      <c r="N175" s="61"/>
      <c r="O175" s="61"/>
      <c r="P175" s="61"/>
      <c r="Q175" s="51" t="s">
        <v>706</v>
      </c>
      <c r="R175" s="119"/>
      <c r="S175" s="77"/>
      <c r="T175" s="107" t="s">
        <v>214</v>
      </c>
      <c r="U175" s="78"/>
      <c r="V175" s="78"/>
      <c r="W175" s="101"/>
      <c r="X175" s="45"/>
      <c r="Y175" s="78"/>
      <c r="Z175" s="130" t="str">
        <f t="shared" si="49"/>
        <v>/* 테이블 : 클래스후기 */ CREATE TABLE TB_CLASS_REVIEW (</v>
      </c>
      <c r="AA175" s="125" t="str">
        <f t="shared" si="54"/>
        <v>UPDT_DT TIMESTAMP,</v>
      </c>
      <c r="AB175" s="125" t="str">
        <f t="shared" si="52"/>
        <v/>
      </c>
      <c r="AC175" s="125" t="str">
        <f t="shared" si="53"/>
        <v/>
      </c>
      <c r="AD175" s="125" t="str">
        <f t="shared" si="55"/>
        <v/>
      </c>
      <c r="AE175" s="125" t="str">
        <f t="shared" si="50"/>
        <v/>
      </c>
      <c r="AF175" s="125" t="str">
        <f t="shared" si="51"/>
        <v>COMMENT ON COLUMN TB_CLASS_REVIEW.UPDT_DT IS '수정 일시' ;</v>
      </c>
      <c r="AG175" s="125" t="str">
        <f t="shared" si="56"/>
        <v>ALTER TABLE TB_CLASS_REVIEW ALTER COLUMN UPDT_DT TYPE TIMESTAMP;</v>
      </c>
      <c r="AH175" s="125" t="str">
        <f t="shared" si="57"/>
        <v>ALTER TABLE TB_CLASS_REVIEW ADD COLUMN UPDT_DT TIMESTAMP;</v>
      </c>
      <c r="AI175" s="125" t="str">
        <f t="shared" si="58"/>
        <v>ALTER TABLE TB_CLASS_REVIEW DROP COLUMN UPDT_DT;</v>
      </c>
    </row>
    <row r="176" spans="2:35" ht="20.100000000000001" customHeight="1">
      <c r="B176" s="55">
        <v>172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7" t="s">
        <v>96</v>
      </c>
      <c r="I176" s="97" t="s">
        <v>82</v>
      </c>
      <c r="J176" s="73" t="s">
        <v>72</v>
      </c>
      <c r="K176" s="61"/>
      <c r="L176" s="61"/>
      <c r="M176" s="61"/>
      <c r="N176" s="61"/>
      <c r="O176" s="61"/>
      <c r="P176" s="61"/>
      <c r="Q176" s="51" t="s">
        <v>804</v>
      </c>
      <c r="R176" s="119" t="s">
        <v>522</v>
      </c>
      <c r="S176" s="82" t="s">
        <v>803</v>
      </c>
      <c r="T176" s="107" t="s">
        <v>213</v>
      </c>
      <c r="U176" s="78"/>
      <c r="V176" s="78"/>
      <c r="W176" s="101"/>
      <c r="X176" s="45"/>
      <c r="Y176" s="78"/>
      <c r="Z176" s="130" t="str">
        <f t="shared" si="49"/>
        <v>/* 테이블 : 클래스후기 */ CREATE TABLE TB_CLASS_REVIEW (</v>
      </c>
      <c r="AA176" s="125" t="str">
        <f t="shared" si="54"/>
        <v>DEL_YN BPCHAR(1) NOT NULL,</v>
      </c>
      <c r="AB176" s="125" t="str">
        <f t="shared" si="52"/>
        <v/>
      </c>
      <c r="AC176" s="125" t="str">
        <f t="shared" si="53"/>
        <v/>
      </c>
      <c r="AD176" s="125" t="str">
        <f t="shared" si="55"/>
        <v/>
      </c>
      <c r="AE176" s="125" t="str">
        <f t="shared" si="50"/>
        <v>ALTER TABLE TB_CLASS_REVIEW ALTER COLUMN DEL_YN SET DEFAULT 'N'::bpchar;</v>
      </c>
      <c r="AF176" s="125" t="str">
        <f t="shared" si="51"/>
        <v>COMMENT ON COLUMN TB_CLASS_REVIEW.DEL_YN IS '삭제 여부' ;</v>
      </c>
      <c r="AG176" s="125" t="str">
        <f t="shared" si="56"/>
        <v>ALTER TABLE TB_CLASS_REVIEW ALTER COLUMN DEL_YN TYPE BPCHAR(1);</v>
      </c>
      <c r="AH176" s="125" t="str">
        <f t="shared" si="57"/>
        <v>ALTER TABLE TB_CLASS_REVIEW ADD COLUMN DEL_YN BPCHAR(1) NOT NULL DEFAULT ''N'::bpchar';</v>
      </c>
      <c r="AI176" s="125" t="str">
        <f t="shared" si="58"/>
        <v>ALTER TABLE TB_CLASS_REVIEW DROP COLUMN DEL_YN;</v>
      </c>
    </row>
    <row r="177" spans="2:35" ht="20.100000000000001" customHeight="1">
      <c r="B177" s="135">
        <v>173</v>
      </c>
      <c r="C177" s="26" t="s">
        <v>7</v>
      </c>
      <c r="D177" s="25" t="s">
        <v>11</v>
      </c>
      <c r="E177" s="10" t="s">
        <v>248</v>
      </c>
      <c r="F177" s="12" t="s">
        <v>249</v>
      </c>
      <c r="G177" s="92">
        <v>1</v>
      </c>
      <c r="H177" s="97" t="s">
        <v>265</v>
      </c>
      <c r="I177" s="97" t="s">
        <v>259</v>
      </c>
      <c r="J177" s="73" t="s">
        <v>72</v>
      </c>
      <c r="K177" s="69">
        <v>1</v>
      </c>
      <c r="L177" s="69"/>
      <c r="M177" s="69"/>
      <c r="N177" s="69"/>
      <c r="O177" s="69"/>
      <c r="P177" s="69"/>
      <c r="Q177" s="101" t="s">
        <v>172</v>
      </c>
      <c r="R177" s="83"/>
      <c r="S177" s="81"/>
      <c r="T177" s="107" t="s">
        <v>271</v>
      </c>
      <c r="U177" s="125" t="str">
        <f>"SEQ_"&amp;E177&amp;"_SN"</f>
        <v>SEQ_TB_CLASS_INQRY_SN</v>
      </c>
      <c r="V177" s="125"/>
      <c r="W177" s="101"/>
      <c r="X177" s="45"/>
      <c r="Y177" s="78"/>
      <c r="Z177" s="130" t="str">
        <f t="shared" si="49"/>
        <v>/* 테이블 : 클래스문의 */ CREATE TABLE TB_CLASS_INQRY (</v>
      </c>
      <c r="AA177" s="125" t="str">
        <f t="shared" si="54"/>
        <v>CLASS_INQRY_SN INTEGER PRIMARY KEY,</v>
      </c>
      <c r="AB177" s="125" t="str">
        <f t="shared" si="52"/>
        <v/>
      </c>
      <c r="AC177" s="125" t="str">
        <f t="shared" si="53"/>
        <v>CREATE SEQUENCE SEQ_TB_CLASS_INQRY_SN START 100000;</v>
      </c>
      <c r="AD177" s="125" t="str">
        <f t="shared" si="55"/>
        <v>ALTER TABLE TB_CLASS_INQRY ALTER COLUMN CLASS_INQRY_SN SET DEFAULT NEXTVAL('SEQ_TB_CLASS_INQRY_SN');</v>
      </c>
      <c r="AE177" s="125" t="str">
        <f t="shared" si="50"/>
        <v/>
      </c>
      <c r="AF177" s="125" t="str">
        <f t="shared" si="51"/>
        <v>COMMENT ON COLUMN TB_CLASS_INQRY.CLASS_INQRY_SN IS '클래스 문의 일련번호' ;</v>
      </c>
      <c r="AG177" s="125" t="str">
        <f t="shared" si="56"/>
        <v>ALTER TABLE TB_CLASS_INQRY ALTER COLUMN CLASS_INQRY_SN TYPE INTEGER;</v>
      </c>
      <c r="AH177" s="125" t="str">
        <f t="shared" si="57"/>
        <v>ALTER TABLE TB_CLASS_INQRY ADD COLUMN CLASS_INQRY_SN INTEGER NOT NULL;</v>
      </c>
      <c r="AI177" s="125" t="str">
        <f t="shared" si="58"/>
        <v>ALTER TABLE TB_CLASS_INQRY DROP COLUMN CLASS_INQRY_SN;</v>
      </c>
    </row>
    <row r="178" spans="2:35" ht="20.100000000000001" customHeight="1">
      <c r="B178" s="55">
        <v>174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2</v>
      </c>
      <c r="H178" s="97" t="s">
        <v>201</v>
      </c>
      <c r="I178" s="97" t="s">
        <v>187</v>
      </c>
      <c r="J178" s="73" t="s">
        <v>72</v>
      </c>
      <c r="K178" s="69"/>
      <c r="L178" s="69">
        <v>1</v>
      </c>
      <c r="M178" s="13" t="s">
        <v>22</v>
      </c>
      <c r="N178" s="101" t="s">
        <v>162</v>
      </c>
      <c r="O178" s="95" t="s">
        <v>539</v>
      </c>
      <c r="P178" s="95" t="s">
        <v>541</v>
      </c>
      <c r="Q178" s="101" t="s">
        <v>172</v>
      </c>
      <c r="R178" s="83"/>
      <c r="S178" s="81"/>
      <c r="T178" s="107" t="s">
        <v>175</v>
      </c>
      <c r="U178" s="78"/>
      <c r="V178" s="78"/>
      <c r="W178" s="101"/>
      <c r="X178" s="45"/>
      <c r="Y178" s="78"/>
      <c r="Z178" s="130" t="str">
        <f t="shared" si="49"/>
        <v>/* 테이블 : 클래스문의 */ CREATE TABLE TB_CLASS_INQRY (</v>
      </c>
      <c r="AA178" s="125" t="str">
        <f t="shared" si="54"/>
        <v>CLASS_SN INTEGER NOT NULL,</v>
      </c>
      <c r="AB178" s="125" t="str">
        <f t="shared" si="52"/>
        <v>ALTER TABLE TB_CLASS_INQRY ADD CONSTRAINT TB_CLASS_INQRY_FKEY1 FOREIGN KEY(CLASS_SN) REFERENCES TB_CLASS(CLASS_SN) ON UPDATE CASCADE ON DELETE CASCADE;</v>
      </c>
      <c r="AC178" s="125" t="str">
        <f t="shared" si="53"/>
        <v/>
      </c>
      <c r="AD178" s="125" t="str">
        <f t="shared" si="55"/>
        <v/>
      </c>
      <c r="AE178" s="125" t="str">
        <f t="shared" si="50"/>
        <v/>
      </c>
      <c r="AF178" s="125" t="str">
        <f t="shared" si="51"/>
        <v>COMMENT ON COLUMN TB_CLASS_INQRY.CLASS_SN IS '클래스 일련번호' ;</v>
      </c>
      <c r="AG178" s="125" t="str">
        <f t="shared" si="56"/>
        <v>ALTER TABLE TB_CLASS_INQRY ALTER COLUMN CLASS_SN TYPE INTEGER;</v>
      </c>
      <c r="AH178" s="125" t="str">
        <f t="shared" si="57"/>
        <v>ALTER TABLE TB_CLASS_INQRY ADD COLUMN CLASS_SN INTEGER NOT NULL;</v>
      </c>
      <c r="AI178" s="125" t="str">
        <f t="shared" si="58"/>
        <v>ALTER TABLE TB_CLASS_INQRY DROP COLUMN CLASS_SN;</v>
      </c>
    </row>
    <row r="179" spans="2:35" ht="20.100000000000001" customHeight="1">
      <c r="B179" s="55">
        <v>175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3</v>
      </c>
      <c r="H179" s="101" t="s">
        <v>628</v>
      </c>
      <c r="I179" s="101" t="s">
        <v>629</v>
      </c>
      <c r="J179" s="45"/>
      <c r="K179" s="45"/>
      <c r="L179" s="45"/>
      <c r="M179" s="78"/>
      <c r="N179" s="95"/>
      <c r="O179" s="95"/>
      <c r="P179" s="95"/>
      <c r="Q179" s="100" t="s">
        <v>106</v>
      </c>
      <c r="R179" s="119" t="s">
        <v>615</v>
      </c>
      <c r="S179" s="45"/>
      <c r="T179" s="101" t="s">
        <v>838</v>
      </c>
      <c r="U179" s="78"/>
      <c r="V179" s="78"/>
      <c r="W179" s="116" t="s">
        <v>612</v>
      </c>
      <c r="X179" s="45"/>
      <c r="Y179" s="78"/>
      <c r="Z179" s="130" t="str">
        <f t="shared" si="49"/>
        <v>/* 테이블 : 클래스문의 */ CREATE TABLE TB_CLASS_INQRY (</v>
      </c>
      <c r="AA179" s="125" t="str">
        <f t="shared" ref="AA179:AA180" si="59">H179&amp;" "&amp;Q179&amp;R179&amp;IF(ISBLANK(K179),""," PRIMARY KEY")&amp;IF(AND(ISBLANK(K179),J179="Y")," NOT NULL","")&amp;","</f>
        <v>STEP VARCHAR(2),</v>
      </c>
      <c r="AB179" s="125" t="str">
        <f t="shared" ref="AB179:AB180" si="60">IF(ISBLANK(L179),"","ALTER TABLE " &amp; E179 &amp; " ADD CONSTRAINT " &amp; E179 &amp; "_FKEY" &amp; L179 &amp;  " FOREIGN KEY(" &amp;H179 &amp; ") REFERENCES " &amp; M179 &amp; "(" &amp; N179 &amp; ") "&amp;O179&amp;" "&amp;P179&amp;";")</f>
        <v/>
      </c>
      <c r="AC179" s="125" t="str">
        <f t="shared" ref="AC179:AC180" si="61">IF(ISBLANK(U179),"","CREATE SEQUENCE "&amp;U179&amp;" START 100000;")</f>
        <v/>
      </c>
      <c r="AD179" s="125" t="str">
        <f t="shared" si="55"/>
        <v/>
      </c>
      <c r="AE179" s="125" t="str">
        <f t="shared" si="50"/>
        <v/>
      </c>
      <c r="AF179" s="125" t="str">
        <f t="shared" si="51"/>
        <v>COMMENT ON COLUMN TB_CLASS_INQRY.STEP IS '계층 (원글 : 1 , 답글 : 2~ )' ;</v>
      </c>
      <c r="AG179" s="125" t="str">
        <f t="shared" si="56"/>
        <v>ALTER TABLE TB_CLASS_INQRY ALTER COLUMN STEP TYPE VARCHAR(2);</v>
      </c>
      <c r="AH179" s="125" t="str">
        <f t="shared" si="57"/>
        <v>ALTER TABLE TB_CLASS_INQRY ADD COLUMN STEP VARCHAR(2);</v>
      </c>
      <c r="AI179" s="125" t="str">
        <f t="shared" si="58"/>
        <v>ALTER TABLE TB_CLASS_INQRY DROP COLUMN STEP;</v>
      </c>
    </row>
    <row r="180" spans="2:35" ht="20.100000000000001" customHeight="1">
      <c r="B180" s="55">
        <v>176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4</v>
      </c>
      <c r="H180" s="101" t="s">
        <v>630</v>
      </c>
      <c r="I180" s="101" t="s">
        <v>627</v>
      </c>
      <c r="J180" s="45"/>
      <c r="K180" s="45"/>
      <c r="L180" s="45"/>
      <c r="M180" s="78"/>
      <c r="N180" s="95"/>
      <c r="O180" s="95"/>
      <c r="P180" s="95"/>
      <c r="Q180" s="101" t="s">
        <v>229</v>
      </c>
      <c r="R180" s="119"/>
      <c r="S180" s="45"/>
      <c r="T180" s="101" t="s">
        <v>631</v>
      </c>
      <c r="U180" s="125"/>
      <c r="V180" s="78"/>
      <c r="W180" s="101"/>
      <c r="X180" s="45"/>
      <c r="Y180" s="78"/>
      <c r="Z180" s="130" t="str">
        <f t="shared" si="49"/>
        <v>/* 테이블 : 클래스문의 */ CREATE TABLE TB_CLASS_INQRY (</v>
      </c>
      <c r="AA180" s="125" t="str">
        <f t="shared" si="59"/>
        <v>PARNTS_INQRY_SN INTEGER,</v>
      </c>
      <c r="AB180" s="125" t="str">
        <f t="shared" si="60"/>
        <v/>
      </c>
      <c r="AC180" s="125" t="str">
        <f t="shared" si="61"/>
        <v/>
      </c>
      <c r="AD180" s="125" t="str">
        <f t="shared" si="55"/>
        <v/>
      </c>
      <c r="AE180" s="125" t="str">
        <f t="shared" si="50"/>
        <v/>
      </c>
      <c r="AF180" s="125" t="str">
        <f t="shared" si="51"/>
        <v>COMMENT ON COLUMN TB_CLASS_INQRY.PARNTS_INQRY_SN IS '부모 문의 일련번호' ;</v>
      </c>
      <c r="AG180" s="125" t="str">
        <f t="shared" si="56"/>
        <v>ALTER TABLE TB_CLASS_INQRY ALTER COLUMN PARNTS_INQRY_SN TYPE INTEGER;</v>
      </c>
      <c r="AH180" s="125" t="str">
        <f t="shared" si="57"/>
        <v>ALTER TABLE TB_CLASS_INQRY ADD COLUMN PARNTS_INQRY_SN INTEGER;</v>
      </c>
      <c r="AI180" s="125" t="str">
        <f t="shared" si="58"/>
        <v>ALTER TABLE TB_CLASS_INQRY DROP COLUMN PARNTS_INQRY_SN;</v>
      </c>
    </row>
    <row r="181" spans="2:35" ht="20.100000000000001" customHeight="1">
      <c r="B181" s="135">
        <v>177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5</v>
      </c>
      <c r="H181" s="95" t="s">
        <v>718</v>
      </c>
      <c r="I181" s="95" t="s">
        <v>719</v>
      </c>
      <c r="J181" s="73" t="s">
        <v>72</v>
      </c>
      <c r="K181" s="69"/>
      <c r="L181" s="69">
        <v>2</v>
      </c>
      <c r="M181" s="78" t="s">
        <v>9</v>
      </c>
      <c r="N181" s="95" t="s">
        <v>718</v>
      </c>
      <c r="O181" s="95" t="s">
        <v>539</v>
      </c>
      <c r="P181" s="95" t="s">
        <v>541</v>
      </c>
      <c r="Q181" s="100" t="s">
        <v>172</v>
      </c>
      <c r="R181" s="119"/>
      <c r="S181" s="81"/>
      <c r="T181" s="107" t="s">
        <v>109</v>
      </c>
      <c r="U181" s="78"/>
      <c r="V181" s="78"/>
      <c r="W181" s="116"/>
      <c r="X181" s="45"/>
      <c r="Y181" s="78"/>
      <c r="Z181" s="130" t="str">
        <f t="shared" si="49"/>
        <v>/* 테이블 : 클래스문의 */ CREATE TABLE TB_CLASS_INQRY (</v>
      </c>
      <c r="AA181" s="125" t="str">
        <f t="shared" si="54"/>
        <v>USER_SN INTEGER NOT NULL,</v>
      </c>
      <c r="AB181" s="125" t="str">
        <f t="shared" si="52"/>
        <v>ALTER TABLE TB_CLASS_INQRY ADD CONSTRAINT TB_CLASS_INQRY_FKEY2 FOREIGN KEY(USER_SN) REFERENCES TB_USER(USER_SN) ON UPDATE CASCADE ON DELETE CASCADE;</v>
      </c>
      <c r="AC181" s="125" t="str">
        <f t="shared" si="53"/>
        <v/>
      </c>
      <c r="AD181" s="125" t="str">
        <f t="shared" si="55"/>
        <v/>
      </c>
      <c r="AE181" s="125" t="str">
        <f t="shared" si="50"/>
        <v/>
      </c>
      <c r="AF181" s="125" t="str">
        <f t="shared" si="51"/>
        <v>COMMENT ON COLUMN TB_CLASS_INQRY.USER_SN IS '사용자 일련번호' ;</v>
      </c>
      <c r="AG181" s="125" t="str">
        <f t="shared" si="56"/>
        <v>ALTER TABLE TB_CLASS_INQRY ALTER COLUMN USER_SN TYPE INTEGER;</v>
      </c>
      <c r="AH181" s="125" t="str">
        <f t="shared" si="57"/>
        <v>ALTER TABLE TB_CLASS_INQRY ADD COLUMN USER_SN INTEGER NOT NULL;</v>
      </c>
      <c r="AI181" s="125" t="str">
        <f t="shared" si="58"/>
        <v>ALTER TABLE TB_CLASS_INQRY DROP COLUMN USER_SN;</v>
      </c>
    </row>
    <row r="182" spans="2:35" ht="20.100000000000001" customHeight="1">
      <c r="B182" s="55">
        <v>178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6</v>
      </c>
      <c r="H182" s="97" t="s">
        <v>266</v>
      </c>
      <c r="I182" s="97" t="s">
        <v>263</v>
      </c>
      <c r="J182" s="73" t="s">
        <v>72</v>
      </c>
      <c r="K182" s="69"/>
      <c r="L182" s="69"/>
      <c r="M182" s="69"/>
      <c r="N182" s="69"/>
      <c r="O182" s="69"/>
      <c r="P182" s="69"/>
      <c r="Q182" s="64" t="s">
        <v>170</v>
      </c>
      <c r="R182" s="119" t="s">
        <v>528</v>
      </c>
      <c r="S182" s="81"/>
      <c r="T182" s="107" t="s">
        <v>270</v>
      </c>
      <c r="U182" s="78"/>
      <c r="V182" s="78"/>
      <c r="W182" s="101"/>
      <c r="X182" s="45"/>
      <c r="Y182" s="78"/>
      <c r="Z182" s="130" t="str">
        <f t="shared" si="49"/>
        <v>/* 테이블 : 클래스문의 */ CREATE TABLE TB_CLASS_INQRY (</v>
      </c>
      <c r="AA182" s="125" t="str">
        <f t="shared" si="54"/>
        <v>INQRY_SJ VARCHAR(255) NOT NULL,</v>
      </c>
      <c r="AB182" s="125" t="str">
        <f t="shared" si="52"/>
        <v/>
      </c>
      <c r="AC182" s="125" t="str">
        <f t="shared" si="53"/>
        <v/>
      </c>
      <c r="AD182" s="125" t="str">
        <f t="shared" si="55"/>
        <v/>
      </c>
      <c r="AE182" s="125" t="str">
        <f t="shared" si="50"/>
        <v/>
      </c>
      <c r="AF182" s="125" t="str">
        <f t="shared" si="51"/>
        <v>COMMENT ON COLUMN TB_CLASS_INQRY.INQRY_SJ IS '문의 제목' ;</v>
      </c>
      <c r="AG182" s="125" t="str">
        <f t="shared" si="56"/>
        <v>ALTER TABLE TB_CLASS_INQRY ALTER COLUMN INQRY_SJ TYPE VARCHAR(255);</v>
      </c>
      <c r="AH182" s="125" t="str">
        <f t="shared" si="57"/>
        <v>ALTER TABLE TB_CLASS_INQRY ADD COLUMN INQRY_SJ VARCHAR(255) NOT NULL;</v>
      </c>
      <c r="AI182" s="125" t="str">
        <f t="shared" si="58"/>
        <v>ALTER TABLE TB_CLASS_INQRY DROP COLUMN INQRY_SJ;</v>
      </c>
    </row>
    <row r="183" spans="2:35" ht="20.100000000000001" customHeight="1">
      <c r="B183" s="55">
        <v>179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7</v>
      </c>
      <c r="H183" s="97" t="s">
        <v>267</v>
      </c>
      <c r="I183" s="97" t="s">
        <v>264</v>
      </c>
      <c r="J183" s="73"/>
      <c r="K183" s="69"/>
      <c r="L183" s="69"/>
      <c r="M183" s="69"/>
      <c r="N183" s="69"/>
      <c r="O183" s="69"/>
      <c r="P183" s="69"/>
      <c r="Q183" s="64" t="s">
        <v>170</v>
      </c>
      <c r="R183" s="119" t="s">
        <v>530</v>
      </c>
      <c r="S183" s="81"/>
      <c r="T183" s="107" t="s">
        <v>269</v>
      </c>
      <c r="U183" s="78"/>
      <c r="V183" s="78"/>
      <c r="W183" s="101"/>
      <c r="X183" s="45"/>
      <c r="Y183" s="78"/>
      <c r="Z183" s="130" t="str">
        <f t="shared" si="49"/>
        <v>/* 테이블 : 클래스문의 */ CREATE TABLE TB_CLASS_INQRY (</v>
      </c>
      <c r="AA183" s="125" t="str">
        <f t="shared" si="54"/>
        <v>INQRY_CN VARCHAR(2000),</v>
      </c>
      <c r="AB183" s="125" t="str">
        <f t="shared" si="52"/>
        <v/>
      </c>
      <c r="AC183" s="125" t="str">
        <f t="shared" si="53"/>
        <v/>
      </c>
      <c r="AD183" s="125" t="str">
        <f t="shared" si="55"/>
        <v/>
      </c>
      <c r="AE183" s="125" t="str">
        <f t="shared" si="50"/>
        <v/>
      </c>
      <c r="AF183" s="125" t="str">
        <f t="shared" si="51"/>
        <v>COMMENT ON COLUMN TB_CLASS_INQRY.INQRY_CN IS '문의 내용' ;</v>
      </c>
      <c r="AG183" s="125" t="str">
        <f t="shared" si="56"/>
        <v>ALTER TABLE TB_CLASS_INQRY ALTER COLUMN INQRY_CN TYPE VARCHAR(2000);</v>
      </c>
      <c r="AH183" s="125" t="str">
        <f t="shared" si="57"/>
        <v>ALTER TABLE TB_CLASS_INQRY ADD COLUMN INQRY_CN VARCHAR(2000);</v>
      </c>
      <c r="AI183" s="125" t="str">
        <f t="shared" si="58"/>
        <v>ALTER TABLE TB_CLASS_INQRY DROP COLUMN INQRY_CN;</v>
      </c>
    </row>
    <row r="184" spans="2:35" ht="20.100000000000001" customHeight="1">
      <c r="B184" s="55">
        <v>180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8</v>
      </c>
      <c r="H184" s="101" t="s">
        <v>328</v>
      </c>
      <c r="I184" s="101" t="s">
        <v>329</v>
      </c>
      <c r="J184" s="73" t="s">
        <v>72</v>
      </c>
      <c r="K184" s="69"/>
      <c r="L184" s="69"/>
      <c r="M184" s="69"/>
      <c r="N184" s="69"/>
      <c r="O184" s="69"/>
      <c r="P184" s="69"/>
      <c r="Q184" s="51" t="s">
        <v>804</v>
      </c>
      <c r="R184" s="119" t="s">
        <v>522</v>
      </c>
      <c r="S184" s="81"/>
      <c r="T184" s="107" t="s">
        <v>341</v>
      </c>
      <c r="U184" s="78"/>
      <c r="V184" s="78"/>
      <c r="W184" s="101"/>
      <c r="X184" s="45"/>
      <c r="Y184" s="78"/>
      <c r="Z184" s="130" t="str">
        <f t="shared" si="49"/>
        <v>/* 테이블 : 클래스문의 */ CREATE TABLE TB_CLASS_INQRY (</v>
      </c>
      <c r="AA184" s="125" t="str">
        <f t="shared" ref="AA184" si="62">H184&amp;" "&amp;Q184&amp;R184&amp;IF(ISBLANK(K184),""," PRIMARY KEY")&amp;IF(AND(ISBLANK(K184),J184="Y")," NOT NULL","")&amp;","</f>
        <v>OPEN_YN BPCHAR(1) NOT NULL,</v>
      </c>
      <c r="AB184" s="125" t="str">
        <f t="shared" ref="AB184" si="63">IF(ISBLANK(L184),"","ALTER TABLE " &amp; E184 &amp; " ADD CONSTRAINT " &amp; E184 &amp; "_FKEY" &amp; L184 &amp;  " FOREIGN KEY(" &amp;H184 &amp; ") REFERENCES " &amp; M184 &amp; "(" &amp; N184 &amp; ") "&amp;O184&amp;" "&amp;P184&amp;";")</f>
        <v/>
      </c>
      <c r="AC184" s="125" t="str">
        <f t="shared" ref="AC184" si="64">IF(ISBLANK(U184),"","CREATE SEQUENCE "&amp;U184&amp;" START 100000;")</f>
        <v/>
      </c>
      <c r="AD184" s="125" t="str">
        <f t="shared" si="55"/>
        <v/>
      </c>
      <c r="AE184" s="125" t="str">
        <f t="shared" si="50"/>
        <v/>
      </c>
      <c r="AF184" s="125" t="str">
        <f t="shared" si="51"/>
        <v>COMMENT ON COLUMN TB_CLASS_INQRY.OPEN_YN IS '공개 여부' ;</v>
      </c>
      <c r="AG184" s="125" t="str">
        <f t="shared" si="56"/>
        <v>ALTER TABLE TB_CLASS_INQRY ALTER COLUMN OPEN_YN TYPE BPCHAR(1);</v>
      </c>
      <c r="AH184" s="125" t="str">
        <f t="shared" si="57"/>
        <v>ALTER TABLE TB_CLASS_INQRY ADD COLUMN OPEN_YN BPCHAR(1) NOT NULL;</v>
      </c>
      <c r="AI184" s="125" t="str">
        <f t="shared" si="58"/>
        <v>ALTER TABLE TB_CLASS_INQRY DROP COLUMN OPEN_YN;</v>
      </c>
    </row>
    <row r="185" spans="2:35" ht="20.100000000000001" customHeight="1">
      <c r="B185" s="135">
        <v>181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9</v>
      </c>
      <c r="H185" s="97" t="s">
        <v>107</v>
      </c>
      <c r="I185" s="51" t="s">
        <v>76</v>
      </c>
      <c r="J185" s="73" t="s">
        <v>72</v>
      </c>
      <c r="K185" s="67"/>
      <c r="L185" s="67"/>
      <c r="M185" s="77"/>
      <c r="N185" s="77"/>
      <c r="O185" s="77"/>
      <c r="P185" s="77"/>
      <c r="Q185" s="100" t="s">
        <v>521</v>
      </c>
      <c r="R185" s="119" t="s">
        <v>526</v>
      </c>
      <c r="S185" s="80"/>
      <c r="T185" s="107" t="s">
        <v>219</v>
      </c>
      <c r="U185" s="78"/>
      <c r="V185" s="78"/>
      <c r="W185" s="116" t="s">
        <v>496</v>
      </c>
      <c r="X185" s="45"/>
      <c r="Y185" s="78"/>
      <c r="Z185" s="130" t="str">
        <f t="shared" si="49"/>
        <v>/* 테이블 : 클래스문의 */ CREATE TABLE TB_CLASS_INQRY (</v>
      </c>
      <c r="AA185" s="125" t="str">
        <f t="shared" si="54"/>
        <v>REGISTER_ID VARCHAR(50) NOT NULL,</v>
      </c>
      <c r="AB185" s="125" t="str">
        <f t="shared" si="52"/>
        <v/>
      </c>
      <c r="AC185" s="125" t="str">
        <f t="shared" si="53"/>
        <v/>
      </c>
      <c r="AD185" s="125" t="str">
        <f t="shared" si="55"/>
        <v/>
      </c>
      <c r="AE185" s="125" t="str">
        <f t="shared" si="50"/>
        <v/>
      </c>
      <c r="AF185" s="125" t="str">
        <f t="shared" si="51"/>
        <v>COMMENT ON COLUMN TB_CLASS_INQRY.REGISTER_ID IS '등록자 ID' ;</v>
      </c>
      <c r="AG185" s="125" t="str">
        <f t="shared" si="56"/>
        <v>ALTER TABLE TB_CLASS_INQRY ALTER COLUMN REGISTER_ID TYPE VARCHAR(50);</v>
      </c>
      <c r="AH185" s="125" t="str">
        <f t="shared" si="57"/>
        <v>ALTER TABLE TB_CLASS_INQRY ADD COLUMN REGISTER_ID VARCHAR(50) NOT NULL;</v>
      </c>
      <c r="AI185" s="125" t="str">
        <f t="shared" si="58"/>
        <v>ALTER TABLE TB_CLASS_INQRY DROP COLUMN REGISTER_ID;</v>
      </c>
    </row>
    <row r="186" spans="2:35" ht="20.100000000000001" customHeight="1">
      <c r="B186" s="55">
        <v>182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10</v>
      </c>
      <c r="H186" s="97" t="s">
        <v>91</v>
      </c>
      <c r="I186" s="51" t="s">
        <v>77</v>
      </c>
      <c r="J186" s="73" t="s">
        <v>72</v>
      </c>
      <c r="K186" s="52"/>
      <c r="L186" s="52"/>
      <c r="M186" s="52"/>
      <c r="N186" s="52"/>
      <c r="O186" s="52"/>
      <c r="P186" s="52"/>
      <c r="Q186" s="56" t="s">
        <v>106</v>
      </c>
      <c r="R186" s="119" t="s">
        <v>527</v>
      </c>
      <c r="S186" s="80"/>
      <c r="T186" s="107" t="s">
        <v>218</v>
      </c>
      <c r="U186" s="78"/>
      <c r="V186" s="78"/>
      <c r="W186" s="101"/>
      <c r="X186" s="45"/>
      <c r="Y186" s="78"/>
      <c r="Z186" s="130" t="str">
        <f t="shared" si="49"/>
        <v>/* 테이블 : 클래스문의 */ CREATE TABLE TB_CLASS_INQRY (</v>
      </c>
      <c r="AA186" s="125" t="str">
        <f t="shared" si="54"/>
        <v>REGISTER_IP VARCHAR(100) NOT NULL,</v>
      </c>
      <c r="AB186" s="125" t="str">
        <f t="shared" si="52"/>
        <v/>
      </c>
      <c r="AC186" s="125" t="str">
        <f t="shared" si="53"/>
        <v/>
      </c>
      <c r="AD186" s="125" t="str">
        <f t="shared" si="55"/>
        <v/>
      </c>
      <c r="AE186" s="125" t="str">
        <f t="shared" si="50"/>
        <v/>
      </c>
      <c r="AF186" s="125" t="str">
        <f t="shared" si="51"/>
        <v>COMMENT ON COLUMN TB_CLASS_INQRY.REGISTER_IP IS '등록자 IP' ;</v>
      </c>
      <c r="AG186" s="125" t="str">
        <f t="shared" si="56"/>
        <v>ALTER TABLE TB_CLASS_INQRY ALTER COLUMN REGISTER_IP TYPE VARCHAR(100);</v>
      </c>
      <c r="AH186" s="125" t="str">
        <f t="shared" si="57"/>
        <v>ALTER TABLE TB_CLASS_INQRY ADD COLUMN REGISTER_IP VARCHAR(100) NOT NULL;</v>
      </c>
      <c r="AI186" s="125" t="str">
        <f t="shared" si="58"/>
        <v>ALTER TABLE TB_CLASS_INQRY DROP COLUMN REGISTER_IP;</v>
      </c>
    </row>
    <row r="187" spans="2:35" ht="20.100000000000001" customHeight="1">
      <c r="B187" s="55">
        <v>183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11</v>
      </c>
      <c r="H187" s="97" t="s">
        <v>92</v>
      </c>
      <c r="I187" s="96" t="s">
        <v>78</v>
      </c>
      <c r="J187" s="73" t="s">
        <v>72</v>
      </c>
      <c r="K187" s="52"/>
      <c r="L187" s="52"/>
      <c r="M187" s="52"/>
      <c r="N187" s="52"/>
      <c r="O187" s="52"/>
      <c r="P187" s="52"/>
      <c r="Q187" s="51" t="s">
        <v>706</v>
      </c>
      <c r="R187" s="119"/>
      <c r="S187" s="80"/>
      <c r="T187" s="107" t="s">
        <v>217</v>
      </c>
      <c r="U187" s="78"/>
      <c r="V187" s="78"/>
      <c r="W187" s="101"/>
      <c r="X187" s="45"/>
      <c r="Y187" s="78"/>
      <c r="Z187" s="130" t="str">
        <f t="shared" si="49"/>
        <v>/* 테이블 : 클래스문의 */ CREATE TABLE TB_CLASS_INQRY (</v>
      </c>
      <c r="AA187" s="125" t="str">
        <f t="shared" si="54"/>
        <v>REG_DT TIMESTAMP NOT NULL,</v>
      </c>
      <c r="AB187" s="125" t="str">
        <f t="shared" si="52"/>
        <v/>
      </c>
      <c r="AC187" s="125" t="str">
        <f t="shared" si="53"/>
        <v/>
      </c>
      <c r="AD187" s="125" t="str">
        <f t="shared" si="55"/>
        <v/>
      </c>
      <c r="AE187" s="125" t="str">
        <f t="shared" si="50"/>
        <v/>
      </c>
      <c r="AF187" s="125" t="str">
        <f t="shared" si="51"/>
        <v>COMMENT ON COLUMN TB_CLASS_INQRY.REG_DT IS '등록 일시' ;</v>
      </c>
      <c r="AG187" s="125" t="str">
        <f t="shared" si="56"/>
        <v>ALTER TABLE TB_CLASS_INQRY ALTER COLUMN REG_DT TYPE TIMESTAMP;</v>
      </c>
      <c r="AH187" s="125" t="str">
        <f t="shared" si="57"/>
        <v>ALTER TABLE TB_CLASS_INQRY ADD COLUMN REG_DT TIMESTAMP NOT NULL;</v>
      </c>
      <c r="AI187" s="125" t="str">
        <f t="shared" si="58"/>
        <v>ALTER TABLE TB_CLASS_INQRY DROP COLUMN REG_DT;</v>
      </c>
    </row>
    <row r="188" spans="2:35" ht="20.100000000000001" customHeight="1">
      <c r="B188" s="55">
        <v>184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12</v>
      </c>
      <c r="H188" s="97" t="s">
        <v>93</v>
      </c>
      <c r="I188" s="96" t="s">
        <v>80</v>
      </c>
      <c r="J188" s="52"/>
      <c r="K188" s="52"/>
      <c r="L188" s="52"/>
      <c r="M188" s="79"/>
      <c r="N188" s="79"/>
      <c r="O188" s="79"/>
      <c r="P188" s="79"/>
      <c r="Q188" s="100" t="s">
        <v>521</v>
      </c>
      <c r="R188" s="119" t="s">
        <v>526</v>
      </c>
      <c r="S188" s="80"/>
      <c r="T188" s="107" t="s">
        <v>216</v>
      </c>
      <c r="U188" s="78"/>
      <c r="V188" s="78"/>
      <c r="W188" s="116" t="s">
        <v>496</v>
      </c>
      <c r="X188" s="45"/>
      <c r="Y188" s="78"/>
      <c r="Z188" s="130" t="str">
        <f t="shared" si="49"/>
        <v>/* 테이블 : 클래스문의 */ CREATE TABLE TB_CLASS_INQRY (</v>
      </c>
      <c r="AA188" s="125" t="str">
        <f t="shared" si="54"/>
        <v>UPDUSR_ID VARCHAR(50),</v>
      </c>
      <c r="AB188" s="125" t="str">
        <f t="shared" si="52"/>
        <v/>
      </c>
      <c r="AC188" s="125" t="str">
        <f t="shared" si="53"/>
        <v/>
      </c>
      <c r="AD188" s="125" t="str">
        <f t="shared" si="55"/>
        <v/>
      </c>
      <c r="AE188" s="125" t="str">
        <f t="shared" si="50"/>
        <v/>
      </c>
      <c r="AF188" s="125" t="str">
        <f t="shared" si="51"/>
        <v>COMMENT ON COLUMN TB_CLASS_INQRY.UPDUSR_ID IS '수정자 ID' ;</v>
      </c>
      <c r="AG188" s="125" t="str">
        <f t="shared" si="56"/>
        <v>ALTER TABLE TB_CLASS_INQRY ALTER COLUMN UPDUSR_ID TYPE VARCHAR(50);</v>
      </c>
      <c r="AH188" s="125" t="str">
        <f t="shared" si="57"/>
        <v>ALTER TABLE TB_CLASS_INQRY ADD COLUMN UPDUSR_ID VARCHAR(50);</v>
      </c>
      <c r="AI188" s="125" t="str">
        <f t="shared" si="58"/>
        <v>ALTER TABLE TB_CLASS_INQRY DROP COLUMN UPDUSR_ID;</v>
      </c>
    </row>
    <row r="189" spans="2:35" ht="20.100000000000001" customHeight="1">
      <c r="B189" s="135">
        <v>185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13</v>
      </c>
      <c r="H189" s="97" t="s">
        <v>94</v>
      </c>
      <c r="I189" s="96" t="s">
        <v>79</v>
      </c>
      <c r="J189" s="52"/>
      <c r="K189" s="52"/>
      <c r="L189" s="52"/>
      <c r="M189" s="52"/>
      <c r="N189" s="52"/>
      <c r="O189" s="52"/>
      <c r="P189" s="52"/>
      <c r="Q189" s="56" t="s">
        <v>106</v>
      </c>
      <c r="R189" s="119" t="s">
        <v>527</v>
      </c>
      <c r="S189" s="80"/>
      <c r="T189" s="107" t="s">
        <v>215</v>
      </c>
      <c r="U189" s="78"/>
      <c r="V189" s="78"/>
      <c r="W189" s="101"/>
      <c r="X189" s="45"/>
      <c r="Y189" s="78"/>
      <c r="Z189" s="130" t="str">
        <f t="shared" si="49"/>
        <v>/* 테이블 : 클래스문의 */ CREATE TABLE TB_CLASS_INQRY (</v>
      </c>
      <c r="AA189" s="125" t="str">
        <f t="shared" si="54"/>
        <v>UPDUSR_IP VARCHAR(100),</v>
      </c>
      <c r="AB189" s="125" t="str">
        <f t="shared" si="52"/>
        <v/>
      </c>
      <c r="AC189" s="125" t="str">
        <f t="shared" si="53"/>
        <v/>
      </c>
      <c r="AD189" s="125" t="str">
        <f t="shared" si="55"/>
        <v/>
      </c>
      <c r="AE189" s="125" t="str">
        <f t="shared" si="50"/>
        <v/>
      </c>
      <c r="AF189" s="125" t="str">
        <f t="shared" si="51"/>
        <v>COMMENT ON COLUMN TB_CLASS_INQRY.UPDUSR_IP IS '수정자 IP' ;</v>
      </c>
      <c r="AG189" s="125" t="str">
        <f t="shared" si="56"/>
        <v>ALTER TABLE TB_CLASS_INQRY ALTER COLUMN UPDUSR_IP TYPE VARCHAR(100);</v>
      </c>
      <c r="AH189" s="125" t="str">
        <f t="shared" si="57"/>
        <v>ALTER TABLE TB_CLASS_INQRY ADD COLUMN UPDUSR_IP VARCHAR(100);</v>
      </c>
      <c r="AI189" s="125" t="str">
        <f t="shared" si="58"/>
        <v>ALTER TABLE TB_CLASS_INQRY DROP COLUMN UPDUSR_IP;</v>
      </c>
    </row>
    <row r="190" spans="2:35" ht="20.100000000000001" customHeight="1">
      <c r="B190" s="55">
        <v>186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14</v>
      </c>
      <c r="H190" s="98" t="s">
        <v>95</v>
      </c>
      <c r="I190" s="97" t="s">
        <v>81</v>
      </c>
      <c r="J190" s="61"/>
      <c r="K190" s="61"/>
      <c r="L190" s="61"/>
      <c r="M190" s="61"/>
      <c r="N190" s="61"/>
      <c r="O190" s="61"/>
      <c r="P190" s="61"/>
      <c r="Q190" s="51" t="s">
        <v>706</v>
      </c>
      <c r="R190" s="119"/>
      <c r="S190" s="77"/>
      <c r="T190" s="107" t="s">
        <v>214</v>
      </c>
      <c r="U190" s="78"/>
      <c r="V190" s="78"/>
      <c r="W190" s="101"/>
      <c r="X190" s="45"/>
      <c r="Y190" s="78"/>
      <c r="Z190" s="130" t="str">
        <f t="shared" si="49"/>
        <v>/* 테이블 : 클래스문의 */ CREATE TABLE TB_CLASS_INQRY (</v>
      </c>
      <c r="AA190" s="125" t="str">
        <f t="shared" si="54"/>
        <v>UPDT_DT TIMESTAMP,</v>
      </c>
      <c r="AB190" s="125" t="str">
        <f t="shared" si="52"/>
        <v/>
      </c>
      <c r="AC190" s="125" t="str">
        <f t="shared" si="53"/>
        <v/>
      </c>
      <c r="AD190" s="125" t="str">
        <f t="shared" si="55"/>
        <v/>
      </c>
      <c r="AE190" s="125" t="str">
        <f t="shared" si="50"/>
        <v/>
      </c>
      <c r="AF190" s="125" t="str">
        <f t="shared" si="51"/>
        <v>COMMENT ON COLUMN TB_CLASS_INQRY.UPDT_DT IS '수정 일시' ;</v>
      </c>
      <c r="AG190" s="125" t="str">
        <f t="shared" si="56"/>
        <v>ALTER TABLE TB_CLASS_INQRY ALTER COLUMN UPDT_DT TYPE TIMESTAMP;</v>
      </c>
      <c r="AH190" s="125" t="str">
        <f t="shared" si="57"/>
        <v>ALTER TABLE TB_CLASS_INQRY ADD COLUMN UPDT_DT TIMESTAMP;</v>
      </c>
      <c r="AI190" s="125" t="str">
        <f t="shared" si="58"/>
        <v>ALTER TABLE TB_CLASS_INQRY DROP COLUMN UPDT_DT;</v>
      </c>
    </row>
    <row r="191" spans="2:35" ht="20.100000000000001" customHeight="1">
      <c r="B191" s="55">
        <v>187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15</v>
      </c>
      <c r="H191" s="97" t="s">
        <v>96</v>
      </c>
      <c r="I191" s="97" t="s">
        <v>82</v>
      </c>
      <c r="J191" s="73" t="s">
        <v>72</v>
      </c>
      <c r="K191" s="61"/>
      <c r="L191" s="61"/>
      <c r="M191" s="61"/>
      <c r="N191" s="61"/>
      <c r="O191" s="61"/>
      <c r="P191" s="61"/>
      <c r="Q191" s="51" t="s">
        <v>804</v>
      </c>
      <c r="R191" s="119" t="s">
        <v>522</v>
      </c>
      <c r="S191" s="82" t="s">
        <v>803</v>
      </c>
      <c r="T191" s="107" t="s">
        <v>213</v>
      </c>
      <c r="U191" s="78"/>
      <c r="V191" s="78"/>
      <c r="W191" s="101"/>
      <c r="X191" s="45"/>
      <c r="Y191" s="78"/>
      <c r="Z191" s="130" t="str">
        <f t="shared" si="49"/>
        <v>/* 테이블 : 클래스문의 */ CREATE TABLE TB_CLASS_INQRY (</v>
      </c>
      <c r="AA191" s="125" t="str">
        <f t="shared" si="54"/>
        <v>DEL_YN BPCHAR(1) NOT NULL,</v>
      </c>
      <c r="AB191" s="125" t="str">
        <f t="shared" si="52"/>
        <v/>
      </c>
      <c r="AC191" s="125" t="str">
        <f t="shared" si="53"/>
        <v/>
      </c>
      <c r="AD191" s="125" t="str">
        <f t="shared" si="55"/>
        <v/>
      </c>
      <c r="AE191" s="125" t="str">
        <f t="shared" si="50"/>
        <v>ALTER TABLE TB_CLASS_INQRY ALTER COLUMN DEL_YN SET DEFAULT 'N'::bpchar;</v>
      </c>
      <c r="AF191" s="125" t="str">
        <f t="shared" si="51"/>
        <v>COMMENT ON COLUMN TB_CLASS_INQRY.DEL_YN IS '삭제 여부' ;</v>
      </c>
      <c r="AG191" s="125" t="str">
        <f t="shared" si="56"/>
        <v>ALTER TABLE TB_CLASS_INQRY ALTER COLUMN DEL_YN TYPE BPCHAR(1);</v>
      </c>
      <c r="AH191" s="125" t="str">
        <f t="shared" si="57"/>
        <v>ALTER TABLE TB_CLASS_INQRY ADD COLUMN DEL_YN BPCHAR(1) NOT NULL DEFAULT ''N'::bpchar';</v>
      </c>
      <c r="AI191" s="125" t="str">
        <f t="shared" si="58"/>
        <v>ALTER TABLE TB_CLASS_INQRY DROP COLUMN DEL_YN;</v>
      </c>
    </row>
    <row r="192" spans="2:35" ht="20.100000000000001" customHeight="1">
      <c r="B192" s="55">
        <v>188</v>
      </c>
      <c r="C192" s="26" t="s">
        <v>7</v>
      </c>
      <c r="D192" s="25" t="s">
        <v>11</v>
      </c>
      <c r="E192" s="10" t="s">
        <v>50</v>
      </c>
      <c r="F192" s="10" t="s">
        <v>49</v>
      </c>
      <c r="G192" s="92">
        <v>1</v>
      </c>
      <c r="H192" s="101" t="s">
        <v>775</v>
      </c>
      <c r="I192" s="101" t="s">
        <v>776</v>
      </c>
      <c r="J192" s="73" t="s">
        <v>72</v>
      </c>
      <c r="K192" s="45">
        <v>1</v>
      </c>
      <c r="L192" s="45"/>
      <c r="M192" s="45"/>
      <c r="N192" s="45"/>
      <c r="O192" s="45"/>
      <c r="P192" s="45"/>
      <c r="Q192" s="101" t="s">
        <v>172</v>
      </c>
      <c r="R192" s="92"/>
      <c r="S192" s="45"/>
      <c r="T192" s="101" t="s">
        <v>777</v>
      </c>
      <c r="U192" s="125" t="str">
        <f>"SEQ_"&amp;E192&amp;"_SN"</f>
        <v>SEQ_TB_CLASS_REQST_SN</v>
      </c>
      <c r="V192" s="125"/>
      <c r="W192" s="101" t="s">
        <v>837</v>
      </c>
      <c r="X192" s="45"/>
      <c r="Y192" s="78"/>
      <c r="Z192" s="130" t="str">
        <f t="shared" si="49"/>
        <v>/* 테이블 : 클래스신청 */ CREATE TABLE TB_CLASS_REQST (</v>
      </c>
      <c r="AA192" s="125" t="str">
        <f t="shared" ref="AA192:AA201" si="65">H192&amp;" "&amp;Q192&amp;R192&amp;IF(ISBLANK(K192),""," PRIMARY KEY")&amp;IF(AND(ISBLANK(K192),J192="Y")," NOT NULL","")&amp;","</f>
        <v>CLASS_REQST_SN INTEGER PRIMARY KEY,</v>
      </c>
      <c r="AB192" s="125" t="str">
        <f t="shared" ref="AB192:AB201" si="66">IF(ISBLANK(L192),"","ALTER TABLE " &amp; E192 &amp; " ADD CONSTRAINT " &amp; E192 &amp; "_FKEY" &amp; L192 &amp;  " FOREIGN KEY(" &amp;H192 &amp; ") REFERENCES " &amp; M192 &amp; "(" &amp; N192 &amp; ") "&amp;O192&amp;" "&amp;P192&amp;";")</f>
        <v/>
      </c>
      <c r="AC192" s="125" t="str">
        <f t="shared" ref="AC192:AC201" si="67">IF(ISBLANK(U192),"","CREATE SEQUENCE "&amp;U192&amp;" START 100000;")</f>
        <v>CREATE SEQUENCE SEQ_TB_CLASS_REQST_SN START 100000;</v>
      </c>
      <c r="AD192" s="125" t="str">
        <f t="shared" ref="AD192:AD201" si="68">IF(ISBLANK(U192),"","ALTER TABLE "&amp;E192&amp;" ALTER COLUMN "&amp;H192&amp;" SET DEFAULT NEXTVAL('"&amp;U192&amp;"');")</f>
        <v>ALTER TABLE TB_CLASS_REQST ALTER COLUMN CLASS_REQST_SN SET DEFAULT NEXTVAL('SEQ_TB_CLASS_REQST_SN');</v>
      </c>
      <c r="AE192" s="125" t="str">
        <f t="shared" si="50"/>
        <v/>
      </c>
      <c r="AF192" s="125" t="str">
        <f t="shared" si="51"/>
        <v>COMMENT ON COLUMN TB_CLASS_REQST.CLASS_REQST_SN IS '클래스 신청 일련번호' ;</v>
      </c>
      <c r="AG192" s="125" t="str">
        <f t="shared" ref="AG192:AG201" si="69">"ALTER TABLE "&amp;$E192&amp;" ALTER COLUMN "&amp;$H192&amp;" TYPE "&amp;$Q192&amp;IF(ISBLANK(R192),"",R192)&amp;";"</f>
        <v>ALTER TABLE TB_CLASS_REQST ALTER COLUMN CLASS_REQST_SN TYPE INTEGER;</v>
      </c>
      <c r="AH192" s="125" t="str">
        <f t="shared" ref="AH192:AH201" si="70">"ALTER TABLE "&amp;$E192&amp;" ADD COLUMN "&amp;$H192&amp;" "&amp;$Q192&amp;IF(ISBLANK(R192),"",$R192)&amp;IF(ISBLANK($J192),""," NOT NULL")&amp;IF(ISBLANK($S192),""," DEFAULT '" &amp; $S192 &amp; "'") &amp; ";"</f>
        <v>ALTER TABLE TB_CLASS_REQST ADD COLUMN CLASS_REQST_SN INTEGER NOT NULL;</v>
      </c>
      <c r="AI192" s="125" t="str">
        <f t="shared" si="58"/>
        <v>ALTER TABLE TB_CLASS_REQST DROP COLUMN CLASS_REQST_SN;</v>
      </c>
    </row>
    <row r="193" spans="2:35" ht="20.100000000000001" customHeight="1">
      <c r="B193" s="135">
        <v>189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2</v>
      </c>
      <c r="H193" s="97" t="s">
        <v>162</v>
      </c>
      <c r="I193" s="97" t="s">
        <v>180</v>
      </c>
      <c r="J193" s="73" t="s">
        <v>131</v>
      </c>
      <c r="K193" s="69"/>
      <c r="L193" s="69">
        <v>1</v>
      </c>
      <c r="M193" s="13" t="s">
        <v>22</v>
      </c>
      <c r="N193" s="97" t="s">
        <v>162</v>
      </c>
      <c r="O193" s="95" t="s">
        <v>539</v>
      </c>
      <c r="P193" s="95" t="s">
        <v>541</v>
      </c>
      <c r="Q193" s="101" t="s">
        <v>172</v>
      </c>
      <c r="R193" s="83"/>
      <c r="S193" s="81"/>
      <c r="T193" s="107" t="s">
        <v>175</v>
      </c>
      <c r="U193" s="78"/>
      <c r="V193" s="78"/>
      <c r="W193" s="101"/>
      <c r="X193" s="45"/>
      <c r="Y193" s="78"/>
      <c r="Z193" s="130" t="str">
        <f t="shared" si="49"/>
        <v>/* 테이블 : 클래스신청 */ CREATE TABLE TB_CLASS_REQST (</v>
      </c>
      <c r="AA193" s="125" t="str">
        <f t="shared" si="65"/>
        <v>CLASS_SN INTEGER NOT NULL,</v>
      </c>
      <c r="AB193" s="125" t="str">
        <f t="shared" si="66"/>
        <v>ALTER TABLE TB_CLASS_REQST ADD CONSTRAINT TB_CLASS_REQST_FKEY1 FOREIGN KEY(CLASS_SN) REFERENCES TB_CLASS(CLASS_SN) ON UPDATE CASCADE ON DELETE CASCADE;</v>
      </c>
      <c r="AC193" s="125" t="str">
        <f t="shared" si="67"/>
        <v/>
      </c>
      <c r="AD193" s="125" t="str">
        <f t="shared" si="68"/>
        <v/>
      </c>
      <c r="AE193" s="125" t="str">
        <f t="shared" si="50"/>
        <v/>
      </c>
      <c r="AF193" s="125" t="str">
        <f t="shared" si="51"/>
        <v>COMMENT ON COLUMN TB_CLASS_REQST.CLASS_SN IS '클래스 일련번호' ;</v>
      </c>
      <c r="AG193" s="125" t="str">
        <f t="shared" si="69"/>
        <v>ALTER TABLE TB_CLASS_REQST ALTER COLUMN CLASS_SN TYPE INTEGER;</v>
      </c>
      <c r="AH193" s="125" t="str">
        <f t="shared" si="70"/>
        <v>ALTER TABLE TB_CLASS_REQST ADD COLUMN CLASS_SN INTEGER NOT NULL;</v>
      </c>
      <c r="AI193" s="125" t="str">
        <f t="shared" si="58"/>
        <v>ALTER TABLE TB_CLASS_REQST DROP COLUMN CLASS_SN;</v>
      </c>
    </row>
    <row r="194" spans="2:35" ht="20.100000000000001" customHeight="1">
      <c r="B194" s="55">
        <v>190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3</v>
      </c>
      <c r="H194" s="97" t="s">
        <v>108</v>
      </c>
      <c r="I194" s="97" t="s">
        <v>119</v>
      </c>
      <c r="J194" s="73" t="s">
        <v>131</v>
      </c>
      <c r="K194" s="69"/>
      <c r="L194" s="69">
        <v>2</v>
      </c>
      <c r="M194" s="13" t="s">
        <v>9</v>
      </c>
      <c r="N194" s="97" t="s">
        <v>108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109</v>
      </c>
      <c r="U194" s="78"/>
      <c r="V194" s="78"/>
      <c r="W194" s="101"/>
      <c r="X194" s="45"/>
      <c r="Y194" s="78"/>
      <c r="Z194" s="130" t="str">
        <f t="shared" si="49"/>
        <v>/* 테이블 : 클래스신청 */ CREATE TABLE TB_CLASS_REQST (</v>
      </c>
      <c r="AA194" s="125" t="str">
        <f t="shared" ref="AA194" si="71">H194&amp;" "&amp;Q194&amp;R194&amp;IF(ISBLANK(K194),""," PRIMARY KEY")&amp;IF(AND(ISBLANK(K194),J194="Y")," NOT NULL","")&amp;","</f>
        <v>USER_SN INTEGER NOT NULL,</v>
      </c>
      <c r="AB194" s="125" t="str">
        <f t="shared" ref="AB194" si="72">IF(ISBLANK(L194),"","ALTER TABLE " &amp; E194 &amp; " ADD CONSTRAINT " &amp; E194 &amp; "_FKEY" &amp; L194 &amp;  " FOREIGN KEY(" &amp;H194 &amp; ") REFERENCES " &amp; M194 &amp; "(" &amp; N194 &amp; ") "&amp;O194&amp;" "&amp;P194&amp;";")</f>
        <v>ALTER TABLE TB_CLASS_REQST ADD CONSTRAINT TB_CLASS_REQST_FKEY2 FOREIGN KEY(USER_SN) REFERENCES TB_USER(USER_SN) ON UPDATE CASCADE ON DELETE CASCADE;</v>
      </c>
      <c r="AC194" s="125" t="str">
        <f t="shared" ref="AC194" si="73">IF(ISBLANK(U194),"","CREATE SEQUENCE "&amp;U194&amp;" START 100000;")</f>
        <v/>
      </c>
      <c r="AD194" s="125" t="str">
        <f t="shared" ref="AD194" si="74">IF(ISBLANK(U194),"","ALTER TABLE "&amp;E194&amp;" ALTER COLUMN "&amp;H194&amp;" SET DEFAULT NEXTVAL('"&amp;U194&amp;"');")</f>
        <v/>
      </c>
      <c r="AE194" s="125" t="str">
        <f t="shared" si="50"/>
        <v/>
      </c>
      <c r="AF194" s="125" t="str">
        <f t="shared" si="51"/>
        <v>COMMENT ON COLUMN TB_CLASS_REQST.USER_SN IS '사용자 일련번호' ;</v>
      </c>
      <c r="AG194" s="125" t="str">
        <f t="shared" ref="AG194" si="75">"ALTER TABLE "&amp;$E194&amp;" ALTER COLUMN "&amp;$H194&amp;" TYPE "&amp;$Q194&amp;IF(ISBLANK(R194),"",R194)&amp;";"</f>
        <v>ALTER TABLE TB_CLASS_REQST ALTER COLUMN USER_SN TYPE INTEGER;</v>
      </c>
      <c r="AH194" s="125" t="str">
        <f t="shared" ref="AH194" si="76">"ALTER TABLE "&amp;$E194&amp;" ADD COLUMN "&amp;$H194&amp;" "&amp;$Q194&amp;IF(ISBLANK(R194),"",$R194)&amp;IF(ISBLANK($J194),""," NOT NULL")&amp;IF(ISBLANK($S194),""," DEFAULT '" &amp; $S194 &amp; "'") &amp; ";"</f>
        <v>ALTER TABLE TB_CLASS_REQST ADD COLUMN USER_SN INTEGER NOT NULL;</v>
      </c>
      <c r="AI194" s="125" t="str">
        <f t="shared" si="58"/>
        <v>ALTER TABLE TB_CLASS_REQST DROP COLUMN USER_SN;</v>
      </c>
    </row>
    <row r="195" spans="2:35" ht="20.100000000000001" customHeight="1">
      <c r="B195" s="55">
        <v>191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4</v>
      </c>
      <c r="H195" s="97" t="s">
        <v>107</v>
      </c>
      <c r="I195" s="51" t="s">
        <v>76</v>
      </c>
      <c r="J195" s="73" t="s">
        <v>72</v>
      </c>
      <c r="K195" s="67"/>
      <c r="L195" s="67"/>
      <c r="M195" s="77"/>
      <c r="N195" s="77"/>
      <c r="O195" s="77"/>
      <c r="P195" s="77"/>
      <c r="Q195" s="100" t="s">
        <v>521</v>
      </c>
      <c r="R195" s="119" t="s">
        <v>526</v>
      </c>
      <c r="S195" s="80"/>
      <c r="T195" s="107" t="s">
        <v>219</v>
      </c>
      <c r="U195" s="78"/>
      <c r="V195" s="78"/>
      <c r="W195" s="116" t="s">
        <v>496</v>
      </c>
      <c r="X195" s="45"/>
      <c r="Y195" s="78"/>
      <c r="Z195" s="130" t="str">
        <f t="shared" si="49"/>
        <v>/* 테이블 : 클래스신청 */ CREATE TABLE TB_CLASS_REQST (</v>
      </c>
      <c r="AA195" s="125" t="str">
        <f t="shared" si="65"/>
        <v>REGISTER_ID VARCHAR(50) NOT NULL,</v>
      </c>
      <c r="AB195" s="125" t="str">
        <f t="shared" si="66"/>
        <v/>
      </c>
      <c r="AC195" s="125" t="str">
        <f t="shared" si="67"/>
        <v/>
      </c>
      <c r="AD195" s="125" t="str">
        <f t="shared" si="68"/>
        <v/>
      </c>
      <c r="AE195" s="125" t="str">
        <f t="shared" si="50"/>
        <v/>
      </c>
      <c r="AF195" s="125" t="str">
        <f t="shared" si="51"/>
        <v>COMMENT ON COLUMN TB_CLASS_REQST.REGISTER_ID IS '등록자 ID' ;</v>
      </c>
      <c r="AG195" s="125" t="str">
        <f t="shared" si="69"/>
        <v>ALTER TABLE TB_CLASS_REQST ALTER COLUMN REGISTER_ID TYPE VARCHAR(50);</v>
      </c>
      <c r="AH195" s="125" t="str">
        <f t="shared" si="70"/>
        <v>ALTER TABLE TB_CLASS_REQST ADD COLUMN REGISTER_ID VARCHAR(50) NOT NULL;</v>
      </c>
      <c r="AI195" s="125" t="str">
        <f t="shared" si="58"/>
        <v>ALTER TABLE TB_CLASS_REQST DROP COLUMN REGISTER_ID;</v>
      </c>
    </row>
    <row r="196" spans="2:35" ht="20.100000000000001" customHeight="1">
      <c r="B196" s="55">
        <v>192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5</v>
      </c>
      <c r="H196" s="97" t="s">
        <v>91</v>
      </c>
      <c r="I196" s="51" t="s">
        <v>77</v>
      </c>
      <c r="J196" s="73" t="s">
        <v>72</v>
      </c>
      <c r="K196" s="52"/>
      <c r="L196" s="52"/>
      <c r="M196" s="52"/>
      <c r="N196" s="52"/>
      <c r="O196" s="52"/>
      <c r="P196" s="52"/>
      <c r="Q196" s="56" t="s">
        <v>106</v>
      </c>
      <c r="R196" s="119" t="s">
        <v>527</v>
      </c>
      <c r="S196" s="80"/>
      <c r="T196" s="107" t="s">
        <v>218</v>
      </c>
      <c r="U196" s="78"/>
      <c r="V196" s="78"/>
      <c r="W196" s="101"/>
      <c r="X196" s="45"/>
      <c r="Y196" s="78"/>
      <c r="Z196" s="130" t="str">
        <f t="shared" si="49"/>
        <v>/* 테이블 : 클래스신청 */ CREATE TABLE TB_CLASS_REQST (</v>
      </c>
      <c r="AA196" s="125" t="str">
        <f t="shared" si="65"/>
        <v>REGISTER_IP VARCHAR(100) NOT NULL,</v>
      </c>
      <c r="AB196" s="125" t="str">
        <f t="shared" si="66"/>
        <v/>
      </c>
      <c r="AC196" s="125" t="str">
        <f t="shared" si="67"/>
        <v/>
      </c>
      <c r="AD196" s="125" t="str">
        <f t="shared" si="68"/>
        <v/>
      </c>
      <c r="AE196" s="125" t="str">
        <f t="shared" si="50"/>
        <v/>
      </c>
      <c r="AF196" s="125" t="str">
        <f t="shared" si="51"/>
        <v>COMMENT ON COLUMN TB_CLASS_REQST.REGISTER_IP IS '등록자 IP' ;</v>
      </c>
      <c r="AG196" s="125" t="str">
        <f t="shared" si="69"/>
        <v>ALTER TABLE TB_CLASS_REQST ALTER COLUMN REGISTER_IP TYPE VARCHAR(100);</v>
      </c>
      <c r="AH196" s="125" t="str">
        <f t="shared" si="70"/>
        <v>ALTER TABLE TB_CLASS_REQST ADD COLUMN REGISTER_IP VARCHAR(100) NOT NULL;</v>
      </c>
      <c r="AI196" s="125" t="str">
        <f t="shared" si="58"/>
        <v>ALTER TABLE TB_CLASS_REQST DROP COLUMN REGISTER_IP;</v>
      </c>
    </row>
    <row r="197" spans="2:35" ht="20.100000000000001" customHeight="1">
      <c r="B197" s="135">
        <v>193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6</v>
      </c>
      <c r="H197" s="97" t="s">
        <v>92</v>
      </c>
      <c r="I197" s="96" t="s">
        <v>78</v>
      </c>
      <c r="J197" s="73" t="s">
        <v>72</v>
      </c>
      <c r="K197" s="52"/>
      <c r="L197" s="52"/>
      <c r="M197" s="52"/>
      <c r="N197" s="52"/>
      <c r="O197" s="52"/>
      <c r="P197" s="52"/>
      <c r="Q197" s="51" t="s">
        <v>706</v>
      </c>
      <c r="R197" s="119"/>
      <c r="S197" s="80"/>
      <c r="T197" s="107" t="s">
        <v>217</v>
      </c>
      <c r="U197" s="78"/>
      <c r="V197" s="78"/>
      <c r="W197" s="101"/>
      <c r="X197" s="45"/>
      <c r="Y197" s="78"/>
      <c r="Z197" s="130" t="str">
        <f t="shared" si="49"/>
        <v>/* 테이블 : 클래스신청 */ CREATE TABLE TB_CLASS_REQST (</v>
      </c>
      <c r="AA197" s="125" t="str">
        <f t="shared" si="65"/>
        <v>REG_DT TIMESTAMP NOT NULL,</v>
      </c>
      <c r="AB197" s="125" t="str">
        <f t="shared" si="66"/>
        <v/>
      </c>
      <c r="AC197" s="125" t="str">
        <f t="shared" si="67"/>
        <v/>
      </c>
      <c r="AD197" s="125" t="str">
        <f t="shared" si="68"/>
        <v/>
      </c>
      <c r="AE197" s="125" t="str">
        <f t="shared" si="50"/>
        <v/>
      </c>
      <c r="AF197" s="125" t="str">
        <f t="shared" si="51"/>
        <v>COMMENT ON COLUMN TB_CLASS_REQST.REG_DT IS '등록 일시' ;</v>
      </c>
      <c r="AG197" s="125" t="str">
        <f t="shared" si="69"/>
        <v>ALTER TABLE TB_CLASS_REQST ALTER COLUMN REG_DT TYPE TIMESTAMP;</v>
      </c>
      <c r="AH197" s="125" t="str">
        <f t="shared" si="70"/>
        <v>ALTER TABLE TB_CLASS_REQST ADD COLUMN REG_DT TIMESTAMP NOT NULL;</v>
      </c>
      <c r="AI197" s="125" t="str">
        <f t="shared" si="58"/>
        <v>ALTER TABLE TB_CLASS_REQST DROP COLUMN REG_DT;</v>
      </c>
    </row>
    <row r="198" spans="2:35" ht="20.100000000000001" customHeight="1">
      <c r="B198" s="55">
        <v>194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7</v>
      </c>
      <c r="H198" s="97" t="s">
        <v>93</v>
      </c>
      <c r="I198" s="96" t="s">
        <v>80</v>
      </c>
      <c r="J198" s="52"/>
      <c r="K198" s="52"/>
      <c r="L198" s="52"/>
      <c r="M198" s="79"/>
      <c r="N198" s="79"/>
      <c r="O198" s="79"/>
      <c r="P198" s="79"/>
      <c r="Q198" s="100" t="s">
        <v>521</v>
      </c>
      <c r="R198" s="119" t="s">
        <v>526</v>
      </c>
      <c r="S198" s="80"/>
      <c r="T198" s="107" t="s">
        <v>216</v>
      </c>
      <c r="U198" s="78"/>
      <c r="V198" s="78"/>
      <c r="W198" s="116" t="s">
        <v>496</v>
      </c>
      <c r="X198" s="45"/>
      <c r="Y198" s="78"/>
      <c r="Z198" s="130" t="str">
        <f t="shared" si="49"/>
        <v>/* 테이블 : 클래스신청 */ CREATE TABLE TB_CLASS_REQST (</v>
      </c>
      <c r="AA198" s="125" t="str">
        <f t="shared" si="65"/>
        <v>UPDUSR_ID VARCHAR(50),</v>
      </c>
      <c r="AB198" s="125" t="str">
        <f t="shared" si="66"/>
        <v/>
      </c>
      <c r="AC198" s="125" t="str">
        <f t="shared" si="67"/>
        <v/>
      </c>
      <c r="AD198" s="125" t="str">
        <f t="shared" si="68"/>
        <v/>
      </c>
      <c r="AE198" s="125" t="str">
        <f t="shared" si="50"/>
        <v/>
      </c>
      <c r="AF198" s="125" t="str">
        <f t="shared" si="51"/>
        <v>COMMENT ON COLUMN TB_CLASS_REQST.UPDUSR_ID IS '수정자 ID' ;</v>
      </c>
      <c r="AG198" s="125" t="str">
        <f t="shared" si="69"/>
        <v>ALTER TABLE TB_CLASS_REQST ALTER COLUMN UPDUSR_ID TYPE VARCHAR(50);</v>
      </c>
      <c r="AH198" s="125" t="str">
        <f t="shared" si="70"/>
        <v>ALTER TABLE TB_CLASS_REQST ADD COLUMN UPDUSR_ID VARCHAR(50);</v>
      </c>
      <c r="AI198" s="125" t="str">
        <f t="shared" si="58"/>
        <v>ALTER TABLE TB_CLASS_REQST DROP COLUMN UPDUSR_ID;</v>
      </c>
    </row>
    <row r="199" spans="2:35" ht="20.100000000000001" customHeight="1">
      <c r="B199" s="55">
        <v>195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8</v>
      </c>
      <c r="H199" s="97" t="s">
        <v>94</v>
      </c>
      <c r="I199" s="96" t="s">
        <v>79</v>
      </c>
      <c r="J199" s="52"/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215</v>
      </c>
      <c r="U199" s="78"/>
      <c r="V199" s="78"/>
      <c r="W199" s="101"/>
      <c r="X199" s="45"/>
      <c r="Y199" s="78"/>
      <c r="Z199" s="130" t="str">
        <f t="shared" si="49"/>
        <v>/* 테이블 : 클래스신청 */ CREATE TABLE TB_CLASS_REQST (</v>
      </c>
      <c r="AA199" s="125" t="str">
        <f t="shared" si="65"/>
        <v>UPDUSR_IP VARCHAR(100),</v>
      </c>
      <c r="AB199" s="125" t="str">
        <f t="shared" si="66"/>
        <v/>
      </c>
      <c r="AC199" s="125" t="str">
        <f t="shared" si="67"/>
        <v/>
      </c>
      <c r="AD199" s="125" t="str">
        <f t="shared" si="68"/>
        <v/>
      </c>
      <c r="AE199" s="125" t="str">
        <f t="shared" si="50"/>
        <v/>
      </c>
      <c r="AF199" s="125" t="str">
        <f t="shared" si="51"/>
        <v>COMMENT ON COLUMN TB_CLASS_REQST.UPDUSR_IP IS '수정자 IP' ;</v>
      </c>
      <c r="AG199" s="125" t="str">
        <f t="shared" si="69"/>
        <v>ALTER TABLE TB_CLASS_REQST ALTER COLUMN UPDUSR_IP TYPE VARCHAR(100);</v>
      </c>
      <c r="AH199" s="125" t="str">
        <f t="shared" si="70"/>
        <v>ALTER TABLE TB_CLASS_REQST ADD COLUMN UPDUSR_IP VARCHAR(100);</v>
      </c>
      <c r="AI199" s="125" t="str">
        <f t="shared" si="58"/>
        <v>ALTER TABLE TB_CLASS_REQST DROP COLUMN UPDUSR_IP;</v>
      </c>
    </row>
    <row r="200" spans="2:35" ht="20.100000000000001" customHeight="1">
      <c r="B200" s="55">
        <v>196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9</v>
      </c>
      <c r="H200" s="98" t="s">
        <v>95</v>
      </c>
      <c r="I200" s="97" t="s">
        <v>81</v>
      </c>
      <c r="J200" s="61"/>
      <c r="K200" s="61"/>
      <c r="L200" s="61"/>
      <c r="M200" s="61"/>
      <c r="N200" s="61"/>
      <c r="O200" s="61"/>
      <c r="P200" s="61"/>
      <c r="Q200" s="51" t="s">
        <v>706</v>
      </c>
      <c r="R200" s="119"/>
      <c r="S200" s="77"/>
      <c r="T200" s="107" t="s">
        <v>214</v>
      </c>
      <c r="U200" s="78"/>
      <c r="V200" s="78"/>
      <c r="W200" s="101"/>
      <c r="X200" s="45"/>
      <c r="Y200" s="78"/>
      <c r="Z200" s="130" t="str">
        <f t="shared" si="49"/>
        <v>/* 테이블 : 클래스신청 */ CREATE TABLE TB_CLASS_REQST (</v>
      </c>
      <c r="AA200" s="125" t="str">
        <f t="shared" si="65"/>
        <v>UPDT_DT TIMESTAMP,</v>
      </c>
      <c r="AB200" s="125" t="str">
        <f t="shared" si="66"/>
        <v/>
      </c>
      <c r="AC200" s="125" t="str">
        <f t="shared" si="67"/>
        <v/>
      </c>
      <c r="AD200" s="125" t="str">
        <f t="shared" si="68"/>
        <v/>
      </c>
      <c r="AE200" s="125" t="str">
        <f t="shared" si="50"/>
        <v/>
      </c>
      <c r="AF200" s="125" t="str">
        <f t="shared" si="51"/>
        <v>COMMENT ON COLUMN TB_CLASS_REQST.UPDT_DT IS '수정 일시' ;</v>
      </c>
      <c r="AG200" s="125" t="str">
        <f t="shared" si="69"/>
        <v>ALTER TABLE TB_CLASS_REQST ALTER COLUMN UPDT_DT TYPE TIMESTAMP;</v>
      </c>
      <c r="AH200" s="125" t="str">
        <f t="shared" si="70"/>
        <v>ALTER TABLE TB_CLASS_REQST ADD COLUMN UPDT_DT TIMESTAMP;</v>
      </c>
      <c r="AI200" s="125" t="str">
        <f t="shared" si="58"/>
        <v>ALTER TABLE TB_CLASS_REQST DROP COLUMN UPDT_DT;</v>
      </c>
    </row>
    <row r="201" spans="2:35" ht="20.100000000000001" customHeight="1">
      <c r="B201" s="135">
        <v>197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10</v>
      </c>
      <c r="H201" s="97" t="s">
        <v>96</v>
      </c>
      <c r="I201" s="97" t="s">
        <v>82</v>
      </c>
      <c r="J201" s="73" t="s">
        <v>72</v>
      </c>
      <c r="K201" s="61"/>
      <c r="L201" s="61"/>
      <c r="M201" s="61"/>
      <c r="N201" s="61"/>
      <c r="O201" s="61"/>
      <c r="P201" s="61"/>
      <c r="Q201" s="51" t="s">
        <v>804</v>
      </c>
      <c r="R201" s="119" t="s">
        <v>522</v>
      </c>
      <c r="S201" s="82" t="s">
        <v>803</v>
      </c>
      <c r="T201" s="107" t="s">
        <v>213</v>
      </c>
      <c r="U201" s="78"/>
      <c r="V201" s="78"/>
      <c r="W201" s="101"/>
      <c r="X201" s="45"/>
      <c r="Y201" s="78"/>
      <c r="Z201" s="130" t="str">
        <f t="shared" si="49"/>
        <v>/* 테이블 : 클래스신청 */ CREATE TABLE TB_CLASS_REQST (</v>
      </c>
      <c r="AA201" s="125" t="str">
        <f t="shared" si="65"/>
        <v>DEL_YN BPCHAR(1) NOT NULL,</v>
      </c>
      <c r="AB201" s="125" t="str">
        <f t="shared" si="66"/>
        <v/>
      </c>
      <c r="AC201" s="125" t="str">
        <f t="shared" si="67"/>
        <v/>
      </c>
      <c r="AD201" s="125" t="str">
        <f t="shared" si="68"/>
        <v/>
      </c>
      <c r="AE201" s="125" t="str">
        <f t="shared" si="50"/>
        <v>ALTER TABLE TB_CLASS_REQST ALTER COLUMN DEL_YN SET DEFAULT 'N'::bpchar;</v>
      </c>
      <c r="AF201" s="125" t="str">
        <f t="shared" si="51"/>
        <v>COMMENT ON COLUMN TB_CLASS_REQST.DEL_YN IS '삭제 여부' ;</v>
      </c>
      <c r="AG201" s="125" t="str">
        <f t="shared" si="69"/>
        <v>ALTER TABLE TB_CLASS_REQST ALTER COLUMN DEL_YN TYPE BPCHAR(1);</v>
      </c>
      <c r="AH201" s="125" t="str">
        <f t="shared" si="70"/>
        <v>ALTER TABLE TB_CLASS_REQST ADD COLUMN DEL_YN BPCHAR(1) NOT NULL DEFAULT ''N'::bpchar';</v>
      </c>
      <c r="AI201" s="125" t="str">
        <f t="shared" si="58"/>
        <v>ALTER TABLE TB_CLASS_REQST DROP COLUMN DEL_YN;</v>
      </c>
    </row>
    <row r="202" spans="2:35" ht="20.100000000000001" customHeight="1">
      <c r="B202" s="55">
        <v>198</v>
      </c>
      <c r="C202" s="26" t="s">
        <v>7</v>
      </c>
      <c r="D202" s="25" t="s">
        <v>11</v>
      </c>
      <c r="E202" s="13" t="s">
        <v>254</v>
      </c>
      <c r="F202" s="13" t="s">
        <v>255</v>
      </c>
      <c r="G202" s="92">
        <v>1</v>
      </c>
      <c r="H202" s="97" t="s">
        <v>253</v>
      </c>
      <c r="I202" s="97" t="s">
        <v>257</v>
      </c>
      <c r="J202" s="73" t="s">
        <v>191</v>
      </c>
      <c r="K202" s="69">
        <v>1</v>
      </c>
      <c r="L202" s="69"/>
      <c r="M202" s="69"/>
      <c r="N202" s="69"/>
      <c r="O202" s="69"/>
      <c r="P202" s="69"/>
      <c r="Q202" s="101" t="s">
        <v>172</v>
      </c>
      <c r="R202" s="83"/>
      <c r="S202" s="81"/>
      <c r="T202" s="107" t="s">
        <v>256</v>
      </c>
      <c r="U202" s="125" t="str">
        <f>"SEQ_"&amp;E202&amp;"_SN"</f>
        <v>SEQ_TB_LCTRE_SN</v>
      </c>
      <c r="V202" s="125"/>
      <c r="W202" s="101"/>
      <c r="X202" s="45"/>
      <c r="Y202" s="78"/>
      <c r="Z202" s="130" t="str">
        <f t="shared" si="49"/>
        <v>/* 테이블 : 수업 */ CREATE TABLE TB_LCTRE (</v>
      </c>
      <c r="AA202" s="125" t="str">
        <f t="shared" si="54"/>
        <v>LCTRE_SN INTEGER PRIMARY KEY,</v>
      </c>
      <c r="AB202" s="125" t="str">
        <f t="shared" si="52"/>
        <v/>
      </c>
      <c r="AC202" s="125" t="str">
        <f t="shared" si="53"/>
        <v>CREATE SEQUENCE SEQ_TB_LCTRE_SN START 100000;</v>
      </c>
      <c r="AD202" s="125" t="str">
        <f t="shared" si="55"/>
        <v>ALTER TABLE TB_LCTRE ALTER COLUMN LCTRE_SN SET DEFAULT NEXTVAL('SEQ_TB_LCTRE_SN');</v>
      </c>
      <c r="AE202" s="125" t="str">
        <f t="shared" si="50"/>
        <v/>
      </c>
      <c r="AF202" s="125" t="str">
        <f t="shared" si="51"/>
        <v>COMMENT ON COLUMN TB_LCTRE.LCTRE_SN IS '수업 일련번호' ;</v>
      </c>
      <c r="AG202" s="125" t="str">
        <f t="shared" si="56"/>
        <v>ALTER TABLE TB_LCTRE ALTER COLUMN LCTRE_SN TYPE INTEGER;</v>
      </c>
      <c r="AH202" s="125" t="str">
        <f t="shared" si="57"/>
        <v>ALTER TABLE TB_LCTRE ADD COLUMN LCTRE_SN INTEGER NOT NULL;</v>
      </c>
      <c r="AI202" s="125" t="str">
        <f t="shared" si="58"/>
        <v>ALTER TABLE TB_LCTRE DROP COLUMN LCTRE_SN;</v>
      </c>
    </row>
    <row r="203" spans="2:35" ht="20.100000000000001" customHeight="1">
      <c r="B203" s="55">
        <v>199</v>
      </c>
      <c r="C203" s="26" t="s">
        <v>7</v>
      </c>
      <c r="D203" s="25" t="s">
        <v>11</v>
      </c>
      <c r="E203" s="13" t="s">
        <v>254</v>
      </c>
      <c r="F203" s="13" t="s">
        <v>255</v>
      </c>
      <c r="G203" s="92">
        <v>2</v>
      </c>
      <c r="H203" s="101" t="s">
        <v>162</v>
      </c>
      <c r="I203" s="97" t="s">
        <v>187</v>
      </c>
      <c r="J203" s="73" t="s">
        <v>191</v>
      </c>
      <c r="K203" s="69"/>
      <c r="L203" s="69">
        <v>1</v>
      </c>
      <c r="M203" s="13" t="s">
        <v>22</v>
      </c>
      <c r="N203" s="101" t="s">
        <v>162</v>
      </c>
      <c r="O203" s="95" t="s">
        <v>539</v>
      </c>
      <c r="P203" s="95" t="s">
        <v>541</v>
      </c>
      <c r="Q203" s="101" t="s">
        <v>172</v>
      </c>
      <c r="R203" s="83"/>
      <c r="S203" s="81"/>
      <c r="T203" s="107" t="s">
        <v>175</v>
      </c>
      <c r="U203" s="78"/>
      <c r="V203" s="78"/>
      <c r="W203" s="101"/>
      <c r="X203" s="45"/>
      <c r="Y203" s="78"/>
      <c r="Z203" s="130" t="str">
        <f t="shared" si="49"/>
        <v>/* 테이블 : 수업 */ CREATE TABLE TB_LCTRE (</v>
      </c>
      <c r="AA203" s="125" t="str">
        <f t="shared" si="54"/>
        <v>CLASS_SN INTEGER NOT NULL,</v>
      </c>
      <c r="AB203" s="125" t="str">
        <f t="shared" si="52"/>
        <v>ALTER TABLE TB_LCTRE ADD CONSTRAINT TB_LCTRE_FKEY1 FOREIGN KEY(CLASS_SN) REFERENCES TB_CLASS(CLASS_SN) ON UPDATE CASCADE ON DELETE CASCADE;</v>
      </c>
      <c r="AC203" s="125" t="str">
        <f t="shared" si="53"/>
        <v/>
      </c>
      <c r="AD203" s="125" t="str">
        <f t="shared" si="55"/>
        <v/>
      </c>
      <c r="AE203" s="125" t="str">
        <f t="shared" si="50"/>
        <v/>
      </c>
      <c r="AF203" s="125" t="str">
        <f t="shared" si="51"/>
        <v>COMMENT ON COLUMN TB_LCTRE.CLASS_SN IS '클래스 일련번호' ;</v>
      </c>
      <c r="AG203" s="125" t="str">
        <f t="shared" si="56"/>
        <v>ALTER TABLE TB_LCTRE ALTER COLUMN CLASS_SN TYPE INTEGER;</v>
      </c>
      <c r="AH203" s="125" t="str">
        <f t="shared" si="57"/>
        <v>ALTER TABLE TB_LCTRE ADD COLUMN CLASS_SN INTEGER NOT NULL;</v>
      </c>
      <c r="AI203" s="125" t="str">
        <f t="shared" si="58"/>
        <v>ALTER TABLE TB_LCTRE DROP COLUMN CLASS_SN;</v>
      </c>
    </row>
    <row r="204" spans="2:35" ht="20.100000000000001" customHeight="1">
      <c r="B204" s="55">
        <v>200</v>
      </c>
      <c r="C204" s="26" t="s">
        <v>7</v>
      </c>
      <c r="D204" s="25" t="s">
        <v>11</v>
      </c>
      <c r="E204" s="13" t="s">
        <v>254</v>
      </c>
      <c r="F204" s="13" t="s">
        <v>255</v>
      </c>
      <c r="G204" s="92">
        <v>3</v>
      </c>
      <c r="H204" s="101" t="s">
        <v>204</v>
      </c>
      <c r="I204" s="97" t="s">
        <v>205</v>
      </c>
      <c r="J204" s="73" t="s">
        <v>191</v>
      </c>
      <c r="K204" s="69"/>
      <c r="L204" s="69"/>
      <c r="M204" s="13"/>
      <c r="N204" s="101"/>
      <c r="O204" s="95"/>
      <c r="P204" s="95"/>
      <c r="Q204" s="101" t="s">
        <v>106</v>
      </c>
      <c r="R204" s="119" t="s">
        <v>526</v>
      </c>
      <c r="S204" s="81"/>
      <c r="T204" s="107" t="s">
        <v>207</v>
      </c>
      <c r="U204" s="78"/>
      <c r="V204" s="78"/>
      <c r="W204" s="101"/>
      <c r="X204" s="45"/>
      <c r="Y204" s="78"/>
      <c r="Z204" s="130" t="str">
        <f t="shared" ref="Z204:Z267" si="77">"/* 테이블 : "&amp; $F204 &amp;" */ CREATE TABLE "&amp;$E204&amp;" ("</f>
        <v>/* 테이블 : 수업 */ CREATE TABLE TB_LCTRE (</v>
      </c>
      <c r="AA204" s="125" t="str">
        <f t="shared" si="54"/>
        <v>CLASS_DAY_CD VARCHAR(50) NOT NULL,</v>
      </c>
      <c r="AB204" s="125" t="str">
        <f t="shared" si="52"/>
        <v/>
      </c>
      <c r="AC204" s="125" t="str">
        <f t="shared" si="53"/>
        <v/>
      </c>
      <c r="AD204" s="125" t="str">
        <f t="shared" si="55"/>
        <v/>
      </c>
      <c r="AE204" s="125" t="str">
        <f t="shared" ref="AE204:AE267" si="78">IF(ISBLANK($S204),"","ALTER TABLE " &amp; $E204 &amp; " ALTER COLUMN " &amp; $H204 &amp; " SET DEFAULT " &amp; $S204 &amp; ";")</f>
        <v/>
      </c>
      <c r="AF204" s="125" t="str">
        <f t="shared" ref="AF204:AF267" si="79">"COMMENT ON COLUMN "&amp;$E204&amp;"."&amp;$H204&amp;" IS '"&amp;$T204&amp;"' ;"</f>
        <v>COMMENT ON COLUMN TB_LCTRE.CLASS_DAY_CD IS '클래스 요일 코드' ;</v>
      </c>
      <c r="AG204" s="125" t="str">
        <f t="shared" si="56"/>
        <v>ALTER TABLE TB_LCTRE ALTER COLUMN CLASS_DAY_CD TYPE VARCHAR(50);</v>
      </c>
      <c r="AH204" s="125" t="str">
        <f t="shared" si="57"/>
        <v>ALTER TABLE TB_LCTRE ADD COLUMN CLASS_DAY_CD VARCHAR(50) NOT NULL;</v>
      </c>
      <c r="AI204" s="125" t="str">
        <f t="shared" si="58"/>
        <v>ALTER TABLE TB_LCTRE DROP COLUMN CLASS_DAY_CD;</v>
      </c>
    </row>
    <row r="205" spans="2:35" ht="20.100000000000001" customHeight="1">
      <c r="B205" s="135">
        <v>201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4</v>
      </c>
      <c r="H205" s="97" t="s">
        <v>211</v>
      </c>
      <c r="I205" s="97" t="s">
        <v>210</v>
      </c>
      <c r="J205" s="73" t="s">
        <v>191</v>
      </c>
      <c r="K205" s="69"/>
      <c r="L205" s="69"/>
      <c r="M205" s="69"/>
      <c r="N205" s="69"/>
      <c r="O205" s="69"/>
      <c r="P205" s="69"/>
      <c r="Q205" s="104" t="s">
        <v>229</v>
      </c>
      <c r="R205" s="47"/>
      <c r="S205" s="81"/>
      <c r="T205" s="107" t="s">
        <v>220</v>
      </c>
      <c r="U205" s="125"/>
      <c r="V205" s="125"/>
      <c r="W205" s="101"/>
      <c r="X205" s="45"/>
      <c r="Y205" s="78"/>
      <c r="Z205" s="130" t="str">
        <f t="shared" si="77"/>
        <v>/* 테이블 : 수업 */ CREATE TABLE TB_LCTRE (</v>
      </c>
      <c r="AA205" s="125" t="str">
        <f t="shared" si="54"/>
        <v>LCTRE_SEQ INTEGER NOT NULL,</v>
      </c>
      <c r="AB205" s="125" t="str">
        <f t="shared" si="52"/>
        <v/>
      </c>
      <c r="AC205" s="125" t="str">
        <f t="shared" si="53"/>
        <v/>
      </c>
      <c r="AD205" s="125" t="str">
        <f t="shared" si="55"/>
        <v/>
      </c>
      <c r="AE205" s="125" t="str">
        <f t="shared" si="78"/>
        <v/>
      </c>
      <c r="AF205" s="125" t="str">
        <f t="shared" si="79"/>
        <v>COMMENT ON COLUMN TB_LCTRE.LCTRE_SEQ IS '수업 순번' ;</v>
      </c>
      <c r="AG205" s="125" t="str">
        <f t="shared" si="56"/>
        <v>ALTER TABLE TB_LCTRE ALTER COLUMN LCTRE_SEQ TYPE INTEGER;</v>
      </c>
      <c r="AH205" s="125" t="str">
        <f t="shared" si="57"/>
        <v>ALTER TABLE TB_LCTRE ADD COLUMN LCTRE_SEQ INTEGER NOT NULL;</v>
      </c>
      <c r="AI205" s="125" t="str">
        <f t="shared" si="58"/>
        <v>ALTER TABLE TB_LCTRE DROP COLUMN LCTRE_SEQ;</v>
      </c>
    </row>
    <row r="206" spans="2:35" ht="20.100000000000001" customHeight="1">
      <c r="B206" s="55">
        <v>202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5</v>
      </c>
      <c r="H206" s="97" t="s">
        <v>617</v>
      </c>
      <c r="I206" s="97" t="s">
        <v>618</v>
      </c>
      <c r="J206" s="73"/>
      <c r="K206" s="69"/>
      <c r="L206" s="69"/>
      <c r="M206" s="69"/>
      <c r="N206" s="69"/>
      <c r="O206" s="69"/>
      <c r="P206" s="69"/>
      <c r="Q206" s="64" t="s">
        <v>170</v>
      </c>
      <c r="R206" s="119" t="s">
        <v>528</v>
      </c>
      <c r="S206" s="81"/>
      <c r="T206" s="107" t="s">
        <v>619</v>
      </c>
      <c r="U206" s="78"/>
      <c r="V206" s="78"/>
      <c r="W206" s="101"/>
      <c r="X206" s="45"/>
      <c r="Y206" s="78"/>
      <c r="Z206" s="130" t="str">
        <f t="shared" si="77"/>
        <v>/* 테이블 : 수업 */ CREATE TABLE TB_LCTRE (</v>
      </c>
      <c r="AA206" s="125" t="str">
        <f t="shared" si="54"/>
        <v>LCTRE_SJ VARCHAR(255),</v>
      </c>
      <c r="AB206" s="125" t="str">
        <f t="shared" si="52"/>
        <v/>
      </c>
      <c r="AC206" s="125" t="str">
        <f t="shared" si="53"/>
        <v/>
      </c>
      <c r="AD206" s="125" t="str">
        <f t="shared" si="55"/>
        <v/>
      </c>
      <c r="AE206" s="125" t="str">
        <f t="shared" si="78"/>
        <v/>
      </c>
      <c r="AF206" s="125" t="str">
        <f t="shared" si="79"/>
        <v>COMMENT ON COLUMN TB_LCTRE.LCTRE_SJ IS '수업 제목' ;</v>
      </c>
      <c r="AG206" s="125" t="str">
        <f t="shared" si="56"/>
        <v>ALTER TABLE TB_LCTRE ALTER COLUMN LCTRE_SJ TYPE VARCHAR(255);</v>
      </c>
      <c r="AH206" s="125" t="str">
        <f t="shared" si="57"/>
        <v>ALTER TABLE TB_LCTRE ADD COLUMN LCTRE_SJ VARCHAR(255);</v>
      </c>
      <c r="AI206" s="125" t="str">
        <f t="shared" si="58"/>
        <v>ALTER TABLE TB_LCTRE DROP COLUMN LCTRE_SJ;</v>
      </c>
    </row>
    <row r="207" spans="2:35" ht="20.100000000000001" customHeight="1">
      <c r="B207" s="55">
        <v>202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6</v>
      </c>
      <c r="H207" s="97" t="s">
        <v>841</v>
      </c>
      <c r="I207" s="97" t="s">
        <v>839</v>
      </c>
      <c r="J207" s="73"/>
      <c r="K207" s="69"/>
      <c r="L207" s="69"/>
      <c r="M207" s="69"/>
      <c r="N207" s="69"/>
      <c r="O207" s="69"/>
      <c r="P207" s="69"/>
      <c r="Q207" s="51" t="s">
        <v>106</v>
      </c>
      <c r="R207" s="120" t="s">
        <v>753</v>
      </c>
      <c r="S207" s="81"/>
      <c r="T207" s="107" t="s">
        <v>840</v>
      </c>
      <c r="U207" s="78"/>
      <c r="V207" s="78"/>
      <c r="W207" s="101"/>
      <c r="X207" s="45"/>
      <c r="Y207" s="78"/>
      <c r="Z207" s="130" t="str">
        <f t="shared" si="77"/>
        <v>/* 테이블 : 수업 */ CREATE TABLE TB_LCTRE (</v>
      </c>
      <c r="AA207" s="125" t="str">
        <f t="shared" ref="AA207" si="80">H207&amp;" "&amp;Q207&amp;R207&amp;IF(ISBLANK(K207),""," PRIMARY KEY")&amp;IF(AND(ISBLANK(K207),J207="Y")," NOT NULL","")&amp;","</f>
        <v>LCTRE_DT VARCHAR(16),</v>
      </c>
      <c r="AB207" s="125" t="str">
        <f t="shared" ref="AB207" si="81">IF(ISBLANK(L207),"","ALTER TABLE " &amp; E207 &amp; " ADD CONSTRAINT " &amp; E207 &amp; "_FKEY" &amp; L207 &amp;  " FOREIGN KEY(" &amp;H207 &amp; ") REFERENCES " &amp; M207 &amp; "(" &amp; N207 &amp; ") "&amp;O207&amp;" "&amp;P207&amp;";")</f>
        <v/>
      </c>
      <c r="AC207" s="125" t="str">
        <f t="shared" ref="AC207" si="82">IF(ISBLANK(U207),"","CREATE SEQUENCE "&amp;U207&amp;" START 100000;")</f>
        <v/>
      </c>
      <c r="AD207" s="125" t="str">
        <f t="shared" ref="AD207" si="83">IF(ISBLANK(U207),"","ALTER TABLE "&amp;E207&amp;" ALTER COLUMN "&amp;H207&amp;" SET DEFAULT NEXTVAL('"&amp;U207&amp;"');")</f>
        <v/>
      </c>
      <c r="AE207" s="125" t="str">
        <f t="shared" si="78"/>
        <v/>
      </c>
      <c r="AF207" s="125" t="str">
        <f t="shared" si="79"/>
        <v>COMMENT ON COLUMN TB_LCTRE.LCTRE_DT IS '수업 일시' ;</v>
      </c>
      <c r="AG207" s="125" t="str">
        <f t="shared" ref="AG207" si="84">"ALTER TABLE "&amp;$E207&amp;" ALTER COLUMN "&amp;$H207&amp;" TYPE "&amp;$Q207&amp;IF(ISBLANK(R207),"",R207)&amp;";"</f>
        <v>ALTER TABLE TB_LCTRE ALTER COLUMN LCTRE_DT TYPE VARCHAR(16);</v>
      </c>
      <c r="AH207" s="125" t="str">
        <f t="shared" ref="AH207" si="85">"ALTER TABLE "&amp;$E207&amp;" ADD COLUMN "&amp;$H207&amp;" "&amp;$Q207&amp;IF(ISBLANK(R207),"",$R207)&amp;IF(ISBLANK($J207),""," NOT NULL")&amp;IF(ISBLANK($S207),""," DEFAULT '" &amp; $S207 &amp; "'") &amp; ";"</f>
        <v>ALTER TABLE TB_LCTRE ADD COLUMN LCTRE_DT VARCHAR(16);</v>
      </c>
      <c r="AI207" s="125" t="str">
        <f t="shared" si="58"/>
        <v>ALTER TABLE TB_LCTRE DROP COLUMN LCTRE_DT;</v>
      </c>
    </row>
    <row r="208" spans="2:35" ht="20.100000000000001" customHeight="1">
      <c r="B208" s="55">
        <v>203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7</v>
      </c>
      <c r="H208" s="97" t="s">
        <v>782</v>
      </c>
      <c r="I208" s="97" t="s">
        <v>784</v>
      </c>
      <c r="J208" s="73"/>
      <c r="K208" s="69"/>
      <c r="L208" s="69"/>
      <c r="M208" s="69"/>
      <c r="N208" s="69"/>
      <c r="O208" s="69"/>
      <c r="P208" s="69"/>
      <c r="Q208" s="101" t="s">
        <v>173</v>
      </c>
      <c r="R208" s="92" t="s">
        <v>174</v>
      </c>
      <c r="S208" s="45"/>
      <c r="T208" s="101" t="s">
        <v>783</v>
      </c>
      <c r="U208" s="78"/>
      <c r="V208" s="78"/>
      <c r="W208" s="101"/>
      <c r="X208" s="45"/>
      <c r="Y208" s="78"/>
      <c r="Z208" s="130" t="str">
        <f t="shared" si="77"/>
        <v>/* 테이블 : 수업 */ CREATE TABLE TB_LCTRE (</v>
      </c>
      <c r="AA208" s="125" t="str">
        <f t="shared" ref="AA208" si="86">H208&amp;" "&amp;Q208&amp;R208&amp;IF(ISBLANK(K208),""," PRIMARY KEY")&amp;IF(AND(ISBLANK(K208),J208="Y")," NOT NULL","")&amp;","</f>
        <v>LCTRE_AMT NUMERIC(21,3),</v>
      </c>
      <c r="AB208" s="125" t="str">
        <f t="shared" ref="AB208" si="87">IF(ISBLANK(L208),"","ALTER TABLE " &amp; E208 &amp; " ADD CONSTRAINT " &amp; E208 &amp; "_FKEY" &amp; L208 &amp;  " FOREIGN KEY(" &amp;H208 &amp; ") REFERENCES " &amp; M208 &amp; "(" &amp; N208 &amp; ") "&amp;O208&amp;" "&amp;P208&amp;";")</f>
        <v/>
      </c>
      <c r="AC208" s="125" t="str">
        <f t="shared" ref="AC208" si="88">IF(ISBLANK(U208),"","CREATE SEQUENCE "&amp;U208&amp;" START 100000;")</f>
        <v/>
      </c>
      <c r="AD208" s="125" t="str">
        <f t="shared" ref="AD208" si="89">IF(ISBLANK(U208),"","ALTER TABLE "&amp;E208&amp;" ALTER COLUMN "&amp;H208&amp;" SET DEFAULT NEXTVAL('"&amp;U208&amp;"');")</f>
        <v/>
      </c>
      <c r="AE208" s="125" t="str">
        <f t="shared" si="78"/>
        <v/>
      </c>
      <c r="AF208" s="125" t="str">
        <f t="shared" si="79"/>
        <v>COMMENT ON COLUMN TB_LCTRE.LCTRE_AMT IS '수업 금액' ;</v>
      </c>
      <c r="AG208" s="125" t="str">
        <f t="shared" ref="AG208" si="90">"ALTER TABLE "&amp;$E208&amp;" ALTER COLUMN "&amp;$H208&amp;" TYPE "&amp;$Q208&amp;IF(ISBLANK(R208),"",R208)&amp;";"</f>
        <v>ALTER TABLE TB_LCTRE ALTER COLUMN LCTRE_AMT TYPE NUMERIC(21,3);</v>
      </c>
      <c r="AH208" s="125" t="str">
        <f t="shared" ref="AH208" si="91">"ALTER TABLE "&amp;$E208&amp;" ADD COLUMN "&amp;$H208&amp;" "&amp;$Q208&amp;IF(ISBLANK(R208),"",$R208)&amp;IF(ISBLANK($J208),""," NOT NULL")&amp;IF(ISBLANK($S208),""," DEFAULT '" &amp; $S208 &amp; "'") &amp; ";"</f>
        <v>ALTER TABLE TB_LCTRE ADD COLUMN LCTRE_AMT NUMERIC(21,3);</v>
      </c>
      <c r="AI208" s="125" t="str">
        <f t="shared" si="58"/>
        <v>ALTER TABLE TB_LCTRE DROP COLUMN LCTRE_AMT;</v>
      </c>
    </row>
    <row r="209" spans="2:35" ht="20.100000000000001" customHeight="1">
      <c r="B209" s="55">
        <v>204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8</v>
      </c>
      <c r="H209" s="97" t="s">
        <v>212</v>
      </c>
      <c r="I209" s="97" t="s">
        <v>209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221</v>
      </c>
      <c r="U209" s="78"/>
      <c r="V209" s="78"/>
      <c r="W209" s="101"/>
      <c r="X209" s="45"/>
      <c r="Y209" s="78"/>
      <c r="Z209" s="130" t="str">
        <f t="shared" si="77"/>
        <v>/* 테이블 : 수업 */ CREATE TABLE TB_LCTRE (</v>
      </c>
      <c r="AA209" s="125" t="str">
        <f t="shared" si="54"/>
        <v>LCTRE_DC VARCHAR(255),</v>
      </c>
      <c r="AB209" s="125" t="str">
        <f t="shared" si="52"/>
        <v/>
      </c>
      <c r="AC209" s="125" t="str">
        <f t="shared" si="53"/>
        <v/>
      </c>
      <c r="AD209" s="125" t="str">
        <f t="shared" si="55"/>
        <v/>
      </c>
      <c r="AE209" s="125" t="str">
        <f t="shared" si="78"/>
        <v/>
      </c>
      <c r="AF209" s="125" t="str">
        <f t="shared" si="79"/>
        <v>COMMENT ON COLUMN TB_LCTRE.LCTRE_DC IS '수업 설명' ;</v>
      </c>
      <c r="AG209" s="125" t="str">
        <f t="shared" si="56"/>
        <v>ALTER TABLE TB_LCTRE ALTER COLUMN LCTRE_DC TYPE VARCHAR(255);</v>
      </c>
      <c r="AH209" s="125" t="str">
        <f t="shared" si="57"/>
        <v>ALTER TABLE TB_LCTRE ADD COLUMN LCTRE_DC VARCHAR(255);</v>
      </c>
      <c r="AI209" s="125" t="str">
        <f t="shared" si="58"/>
        <v>ALTER TABLE TB_LCTRE DROP COLUMN LCTRE_DC;</v>
      </c>
    </row>
    <row r="210" spans="2:35" ht="20.100000000000001" customHeight="1">
      <c r="B210" s="135">
        <v>205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9</v>
      </c>
      <c r="H210" s="97" t="s">
        <v>623</v>
      </c>
      <c r="I210" s="97" t="s">
        <v>624</v>
      </c>
      <c r="J210" s="73"/>
      <c r="K210" s="69"/>
      <c r="L210" s="69"/>
      <c r="M210" s="69"/>
      <c r="N210" s="69"/>
      <c r="O210" s="69"/>
      <c r="P210" s="69"/>
      <c r="Q210" s="101" t="s">
        <v>171</v>
      </c>
      <c r="R210" s="119"/>
      <c r="S210" s="81"/>
      <c r="T210" s="107" t="s">
        <v>625</v>
      </c>
      <c r="U210" s="78"/>
      <c r="V210" s="78"/>
      <c r="W210" s="101" t="s">
        <v>626</v>
      </c>
      <c r="X210" s="45"/>
      <c r="Y210" s="78"/>
      <c r="Z210" s="130" t="str">
        <f t="shared" si="77"/>
        <v>/* 테이블 : 수업 */ CREATE TABLE TB_LCTRE (</v>
      </c>
      <c r="AA210" s="125" t="str">
        <f t="shared" ref="AA210" si="92">H210&amp;" "&amp;Q210&amp;R210&amp;IF(ISBLANK(K210),""," PRIMARY KEY")&amp;IF(AND(ISBLANK(K210),J210="Y")," NOT NULL","")&amp;","</f>
        <v>LCTRE_APPLCNT_GUIDANCE TEXT,</v>
      </c>
      <c r="AB210" s="125" t="str">
        <f t="shared" ref="AB210" si="93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94">IF(ISBLANK(U210),"","CREATE SEQUENCE "&amp;U210&amp;" START 100000;")</f>
        <v/>
      </c>
      <c r="AD210" s="125" t="str">
        <f t="shared" si="55"/>
        <v/>
      </c>
      <c r="AE210" s="125" t="str">
        <f t="shared" si="78"/>
        <v/>
      </c>
      <c r="AF210" s="125" t="str">
        <f t="shared" si="79"/>
        <v>COMMENT ON COLUMN TB_LCTRE.LCTRE_APPLCNT_GUIDANCE IS '수업 신청자 안내' ;</v>
      </c>
      <c r="AG210" s="125" t="str">
        <f t="shared" si="56"/>
        <v>ALTER TABLE TB_LCTRE ALTER COLUMN LCTRE_APPLCNT_GUIDANCE TYPE TEXT;</v>
      </c>
      <c r="AH210" s="125" t="str">
        <f t="shared" si="57"/>
        <v>ALTER TABLE TB_LCTRE ADD COLUMN LCTRE_APPLCNT_GUIDANCE TEXT;</v>
      </c>
      <c r="AI210" s="125" t="str">
        <f t="shared" si="58"/>
        <v>ALTER TABLE TB_LCTRE DROP COLUMN LCTRE_APPLCNT_GUIDANCE;</v>
      </c>
    </row>
    <row r="211" spans="2:35" ht="20.100000000000001" customHeight="1">
      <c r="B211" s="55">
        <v>206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10</v>
      </c>
      <c r="H211" s="103" t="s">
        <v>202</v>
      </c>
      <c r="I211" s="97" t="s">
        <v>203</v>
      </c>
      <c r="J211" s="73" t="s">
        <v>191</v>
      </c>
      <c r="K211" s="69"/>
      <c r="L211" s="69"/>
      <c r="M211" s="69"/>
      <c r="N211" s="69"/>
      <c r="O211" s="69"/>
      <c r="P211" s="69"/>
      <c r="Q211" s="51" t="s">
        <v>804</v>
      </c>
      <c r="R211" s="119" t="s">
        <v>522</v>
      </c>
      <c r="S211" s="81"/>
      <c r="T211" s="107" t="s">
        <v>242</v>
      </c>
      <c r="U211" s="78"/>
      <c r="V211" s="78"/>
      <c r="W211" s="101"/>
      <c r="X211" s="45"/>
      <c r="Y211" s="78"/>
      <c r="Z211" s="130" t="str">
        <f t="shared" si="77"/>
        <v>/* 테이블 : 수업 */ CREATE TABLE TB_LCTRE (</v>
      </c>
      <c r="AA211" s="125" t="str">
        <f t="shared" si="54"/>
        <v>RCRIT_NMPR_SET_YN BPCHAR(1) NOT NULL,</v>
      </c>
      <c r="AB211" s="125" t="str">
        <f t="shared" si="52"/>
        <v/>
      </c>
      <c r="AC211" s="125" t="str">
        <f t="shared" si="53"/>
        <v/>
      </c>
      <c r="AD211" s="125" t="str">
        <f t="shared" si="55"/>
        <v/>
      </c>
      <c r="AE211" s="125" t="str">
        <f t="shared" si="78"/>
        <v/>
      </c>
      <c r="AF211" s="125" t="str">
        <f t="shared" si="79"/>
        <v>COMMENT ON COLUMN TB_LCTRE.RCRIT_NMPR_SET_YN IS '모집 인원 설정 여부' ;</v>
      </c>
      <c r="AG211" s="125" t="str">
        <f t="shared" si="56"/>
        <v>ALTER TABLE TB_LCTRE ALTER COLUMN RCRIT_NMPR_SET_YN TYPE BPCHAR(1);</v>
      </c>
      <c r="AH211" s="125" t="str">
        <f t="shared" si="57"/>
        <v>ALTER TABLE TB_LCTRE ADD COLUMN RCRIT_NMPR_SET_YN BPCHAR(1) NOT NULL;</v>
      </c>
      <c r="AI211" s="125" t="str">
        <f t="shared" si="58"/>
        <v>ALTER TABLE TB_LCTRE DROP COLUMN RCRIT_NMPR_SET_YN;</v>
      </c>
    </row>
    <row r="212" spans="2:35" ht="20.100000000000001" customHeight="1">
      <c r="B212" s="55">
        <v>207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11</v>
      </c>
      <c r="H212" s="103" t="s">
        <v>236</v>
      </c>
      <c r="I212" s="97" t="s">
        <v>237</v>
      </c>
      <c r="J212" s="73"/>
      <c r="K212" s="69"/>
      <c r="L212" s="69"/>
      <c r="M212" s="69"/>
      <c r="N212" s="69"/>
      <c r="O212" s="69"/>
      <c r="P212" s="69"/>
      <c r="Q212" s="104" t="s">
        <v>229</v>
      </c>
      <c r="R212" s="47"/>
      <c r="S212" s="81"/>
      <c r="T212" s="107" t="s">
        <v>243</v>
      </c>
      <c r="U212" s="78"/>
      <c r="V212" s="78"/>
      <c r="W212" s="101"/>
      <c r="X212" s="45"/>
      <c r="Y212" s="78"/>
      <c r="Z212" s="130" t="str">
        <f t="shared" si="77"/>
        <v>/* 테이블 : 수업 */ CREATE TABLE TB_LCTRE (</v>
      </c>
      <c r="AA212" s="125" t="str">
        <f t="shared" si="54"/>
        <v>RCRIT_NMPR_CO INTEGER,</v>
      </c>
      <c r="AB212" s="125" t="str">
        <f t="shared" si="52"/>
        <v/>
      </c>
      <c r="AC212" s="125" t="str">
        <f t="shared" si="53"/>
        <v/>
      </c>
      <c r="AD212" s="125" t="str">
        <f t="shared" si="55"/>
        <v/>
      </c>
      <c r="AE212" s="125" t="str">
        <f t="shared" si="78"/>
        <v/>
      </c>
      <c r="AF212" s="125" t="str">
        <f t="shared" si="79"/>
        <v>COMMENT ON COLUMN TB_LCTRE.RCRIT_NMPR_CO IS '모집 인원 수' ;</v>
      </c>
      <c r="AG212" s="125" t="str">
        <f t="shared" si="56"/>
        <v>ALTER TABLE TB_LCTRE ALTER COLUMN RCRIT_NMPR_CO TYPE INTEGER;</v>
      </c>
      <c r="AH212" s="125" t="str">
        <f t="shared" si="57"/>
        <v>ALTER TABLE TB_LCTRE ADD COLUMN RCRIT_NMPR_CO INTEGER;</v>
      </c>
      <c r="AI212" s="125" t="str">
        <f t="shared" si="58"/>
        <v>ALTER TABLE TB_LCTRE DROP COLUMN RCRIT_NMPR_CO;</v>
      </c>
    </row>
    <row r="213" spans="2:35" ht="20.100000000000001" customHeight="1">
      <c r="B213" s="55">
        <v>208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12</v>
      </c>
      <c r="H213" s="97" t="s">
        <v>239</v>
      </c>
      <c r="I213" s="97" t="s">
        <v>238</v>
      </c>
      <c r="J213" s="73" t="s">
        <v>191</v>
      </c>
      <c r="K213" s="69"/>
      <c r="L213" s="69"/>
      <c r="M213" s="69"/>
      <c r="N213" s="69"/>
      <c r="O213" s="69"/>
      <c r="P213" s="69"/>
      <c r="Q213" s="51" t="s">
        <v>804</v>
      </c>
      <c r="R213" s="119" t="s">
        <v>522</v>
      </c>
      <c r="S213" s="81"/>
      <c r="T213" s="107" t="s">
        <v>244</v>
      </c>
      <c r="U213" s="78"/>
      <c r="V213" s="78"/>
      <c r="W213" s="101"/>
      <c r="X213" s="45"/>
      <c r="Y213" s="78"/>
      <c r="Z213" s="130" t="str">
        <f t="shared" si="77"/>
        <v>/* 테이블 : 수업 */ CREATE TABLE TB_LCTRE (</v>
      </c>
      <c r="AA213" s="125" t="str">
        <f t="shared" si="54"/>
        <v>PREPAR_RCRIT_NMPR_SET_YN BPCHAR(1) NOT NULL,</v>
      </c>
      <c r="AB213" s="125" t="str">
        <f t="shared" si="52"/>
        <v/>
      </c>
      <c r="AC213" s="125" t="str">
        <f t="shared" si="53"/>
        <v/>
      </c>
      <c r="AD213" s="125" t="str">
        <f t="shared" si="55"/>
        <v/>
      </c>
      <c r="AE213" s="125" t="str">
        <f t="shared" si="78"/>
        <v/>
      </c>
      <c r="AF213" s="125" t="str">
        <f t="shared" si="79"/>
        <v>COMMENT ON COLUMN TB_LCTRE.PREPAR_RCRIT_NMPR_SET_YN IS '예비 모집 인원 설정 여부' ;</v>
      </c>
      <c r="AG213" s="125" t="str">
        <f t="shared" si="56"/>
        <v>ALTER TABLE TB_LCTRE ALTER COLUMN PREPAR_RCRIT_NMPR_SET_YN TYPE BPCHAR(1);</v>
      </c>
      <c r="AH213" s="125" t="str">
        <f t="shared" si="57"/>
        <v>ALTER TABLE TB_LCTRE ADD COLUMN PREPAR_RCRIT_NMPR_SET_YN BPCHAR(1) NOT NULL;</v>
      </c>
      <c r="AI213" s="125" t="str">
        <f t="shared" si="58"/>
        <v>ALTER TABLE TB_LCTRE DROP COLUMN PREPAR_RCRIT_NMPR_SET_YN;</v>
      </c>
    </row>
    <row r="214" spans="2:35" ht="20.100000000000001" customHeight="1">
      <c r="B214" s="135">
        <v>209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13</v>
      </c>
      <c r="H214" s="97" t="s">
        <v>240</v>
      </c>
      <c r="I214" s="97" t="s">
        <v>241</v>
      </c>
      <c r="J214" s="73"/>
      <c r="K214" s="69"/>
      <c r="L214" s="69"/>
      <c r="M214" s="69"/>
      <c r="N214" s="69"/>
      <c r="O214" s="69"/>
      <c r="P214" s="69"/>
      <c r="Q214" s="104" t="s">
        <v>229</v>
      </c>
      <c r="R214" s="47"/>
      <c r="S214" s="81"/>
      <c r="T214" s="107" t="s">
        <v>245</v>
      </c>
      <c r="U214" s="78"/>
      <c r="V214" s="78"/>
      <c r="W214" s="101"/>
      <c r="X214" s="45"/>
      <c r="Y214" s="78"/>
      <c r="Z214" s="130" t="str">
        <f t="shared" si="77"/>
        <v>/* 테이블 : 수업 */ CREATE TABLE TB_LCTRE (</v>
      </c>
      <c r="AA214" s="125" t="str">
        <f t="shared" si="54"/>
        <v>PREPAR_RCRIT_NMPR_CO INTEGER,</v>
      </c>
      <c r="AB214" s="125" t="str">
        <f t="shared" si="52"/>
        <v/>
      </c>
      <c r="AC214" s="125" t="str">
        <f t="shared" si="53"/>
        <v/>
      </c>
      <c r="AD214" s="125" t="str">
        <f t="shared" si="55"/>
        <v/>
      </c>
      <c r="AE214" s="125" t="str">
        <f t="shared" si="78"/>
        <v/>
      </c>
      <c r="AF214" s="125" t="str">
        <f t="shared" si="79"/>
        <v>COMMENT ON COLUMN TB_LCTRE.PREPAR_RCRIT_NMPR_CO IS '예비 모집 인원 수' ;</v>
      </c>
      <c r="AG214" s="125" t="str">
        <f t="shared" si="56"/>
        <v>ALTER TABLE TB_LCTRE ALTER COLUMN PREPAR_RCRIT_NMPR_CO TYPE INTEGER;</v>
      </c>
      <c r="AH214" s="125" t="str">
        <f t="shared" si="57"/>
        <v>ALTER TABLE TB_LCTRE ADD COLUMN PREPAR_RCRIT_NMPR_CO INTEGER;</v>
      </c>
      <c r="AI214" s="125" t="str">
        <f t="shared" si="58"/>
        <v>ALTER TABLE TB_LCTRE DROP COLUMN PREPAR_RCRIT_NMPR_CO;</v>
      </c>
    </row>
    <row r="215" spans="2:35" ht="20.100000000000001" customHeight="1">
      <c r="B215" s="55">
        <v>210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14</v>
      </c>
      <c r="H215" s="97" t="s">
        <v>107</v>
      </c>
      <c r="I215" s="51" t="s">
        <v>76</v>
      </c>
      <c r="J215" s="73" t="s">
        <v>72</v>
      </c>
      <c r="K215" s="67"/>
      <c r="L215" s="67"/>
      <c r="M215" s="77"/>
      <c r="N215" s="77"/>
      <c r="O215" s="77"/>
      <c r="P215" s="77"/>
      <c r="Q215" s="100" t="s">
        <v>521</v>
      </c>
      <c r="R215" s="119" t="s">
        <v>526</v>
      </c>
      <c r="S215" s="80"/>
      <c r="T215" s="107" t="s">
        <v>219</v>
      </c>
      <c r="U215" s="78"/>
      <c r="V215" s="78"/>
      <c r="W215" s="116" t="s">
        <v>496</v>
      </c>
      <c r="X215" s="45"/>
      <c r="Y215" s="78"/>
      <c r="Z215" s="130" t="str">
        <f t="shared" si="77"/>
        <v>/* 테이블 : 수업 */ CREATE TABLE TB_LCTRE (</v>
      </c>
      <c r="AA215" s="125" t="str">
        <f t="shared" si="54"/>
        <v>REGISTER_ID VARCHAR(50) NOT NULL,</v>
      </c>
      <c r="AB215" s="125" t="str">
        <f t="shared" si="52"/>
        <v/>
      </c>
      <c r="AC215" s="125" t="str">
        <f t="shared" si="53"/>
        <v/>
      </c>
      <c r="AD215" s="125" t="str">
        <f t="shared" si="55"/>
        <v/>
      </c>
      <c r="AE215" s="125" t="str">
        <f t="shared" si="78"/>
        <v/>
      </c>
      <c r="AF215" s="125" t="str">
        <f t="shared" si="79"/>
        <v>COMMENT ON COLUMN TB_LCTRE.REGISTER_ID IS '등록자 ID' ;</v>
      </c>
      <c r="AG215" s="125" t="str">
        <f t="shared" si="56"/>
        <v>ALTER TABLE TB_LCTRE ALTER COLUMN REGISTER_ID TYPE VARCHAR(50);</v>
      </c>
      <c r="AH215" s="125" t="str">
        <f t="shared" si="57"/>
        <v>ALTER TABLE TB_LCTRE ADD COLUMN REGISTER_ID VARCHAR(50) NOT NULL;</v>
      </c>
      <c r="AI215" s="125" t="str">
        <f t="shared" si="58"/>
        <v>ALTER TABLE TB_LCTRE DROP COLUMN REGISTER_ID;</v>
      </c>
    </row>
    <row r="216" spans="2:35" ht="20.100000000000001" customHeight="1">
      <c r="B216" s="55">
        <v>211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15</v>
      </c>
      <c r="H216" s="97" t="s">
        <v>91</v>
      </c>
      <c r="I216" s="51" t="s">
        <v>77</v>
      </c>
      <c r="J216" s="73" t="s">
        <v>72</v>
      </c>
      <c r="K216" s="52"/>
      <c r="L216" s="52"/>
      <c r="M216" s="52"/>
      <c r="N216" s="52"/>
      <c r="O216" s="52"/>
      <c r="P216" s="52"/>
      <c r="Q216" s="56" t="s">
        <v>106</v>
      </c>
      <c r="R216" s="119" t="s">
        <v>527</v>
      </c>
      <c r="S216" s="80"/>
      <c r="T216" s="107" t="s">
        <v>218</v>
      </c>
      <c r="U216" s="78"/>
      <c r="V216" s="78"/>
      <c r="W216" s="101"/>
      <c r="X216" s="45"/>
      <c r="Y216" s="78"/>
      <c r="Z216" s="130" t="str">
        <f t="shared" si="77"/>
        <v>/* 테이블 : 수업 */ CREATE TABLE TB_LCTRE (</v>
      </c>
      <c r="AA216" s="125" t="str">
        <f t="shared" si="54"/>
        <v>REGISTER_IP VARCHAR(100) NOT NULL,</v>
      </c>
      <c r="AB216" s="125" t="str">
        <f t="shared" si="52"/>
        <v/>
      </c>
      <c r="AC216" s="125" t="str">
        <f t="shared" si="53"/>
        <v/>
      </c>
      <c r="AD216" s="125" t="str">
        <f t="shared" si="55"/>
        <v/>
      </c>
      <c r="AE216" s="125" t="str">
        <f t="shared" si="78"/>
        <v/>
      </c>
      <c r="AF216" s="125" t="str">
        <f t="shared" si="79"/>
        <v>COMMENT ON COLUMN TB_LCTRE.REGISTER_IP IS '등록자 IP' ;</v>
      </c>
      <c r="AG216" s="125" t="str">
        <f t="shared" si="56"/>
        <v>ALTER TABLE TB_LCTRE ALTER COLUMN REGISTER_IP TYPE VARCHAR(100);</v>
      </c>
      <c r="AH216" s="125" t="str">
        <f t="shared" si="57"/>
        <v>ALTER TABLE TB_LCTRE ADD COLUMN REGISTER_IP VARCHAR(100) NOT NULL;</v>
      </c>
      <c r="AI216" s="125" t="str">
        <f t="shared" si="58"/>
        <v>ALTER TABLE TB_LCTRE DROP COLUMN REGISTER_IP;</v>
      </c>
    </row>
    <row r="217" spans="2:35" ht="20.100000000000001" customHeight="1">
      <c r="B217" s="55">
        <v>212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16</v>
      </c>
      <c r="H217" s="97" t="s">
        <v>92</v>
      </c>
      <c r="I217" s="96" t="s">
        <v>78</v>
      </c>
      <c r="J217" s="73" t="s">
        <v>72</v>
      </c>
      <c r="K217" s="52"/>
      <c r="L217" s="52"/>
      <c r="M217" s="52"/>
      <c r="N217" s="52"/>
      <c r="O217" s="52"/>
      <c r="P217" s="52"/>
      <c r="Q217" s="51" t="s">
        <v>706</v>
      </c>
      <c r="R217" s="120"/>
      <c r="S217" s="80"/>
      <c r="T217" s="107" t="s">
        <v>217</v>
      </c>
      <c r="U217" s="78"/>
      <c r="V217" s="78"/>
      <c r="W217" s="101"/>
      <c r="X217" s="45"/>
      <c r="Y217" s="78"/>
      <c r="Z217" s="130" t="str">
        <f t="shared" si="77"/>
        <v>/* 테이블 : 수업 */ CREATE TABLE TB_LCTRE (</v>
      </c>
      <c r="AA217" s="125" t="str">
        <f t="shared" si="54"/>
        <v>REG_DT TIMESTAMP NOT NULL,</v>
      </c>
      <c r="AB217" s="125" t="str">
        <f t="shared" si="52"/>
        <v/>
      </c>
      <c r="AC217" s="125" t="str">
        <f t="shared" si="53"/>
        <v/>
      </c>
      <c r="AD217" s="125" t="str">
        <f t="shared" si="55"/>
        <v/>
      </c>
      <c r="AE217" s="125" t="str">
        <f t="shared" si="78"/>
        <v/>
      </c>
      <c r="AF217" s="125" t="str">
        <f t="shared" si="79"/>
        <v>COMMENT ON COLUMN TB_LCTRE.REG_DT IS '등록 일시' ;</v>
      </c>
      <c r="AG217" s="125" t="str">
        <f t="shared" si="56"/>
        <v>ALTER TABLE TB_LCTRE ALTER COLUMN REG_DT TYPE TIMESTAMP;</v>
      </c>
      <c r="AH217" s="125" t="str">
        <f t="shared" si="57"/>
        <v>ALTER TABLE TB_LCTRE ADD COLUMN REG_DT TIMESTAMP NOT NULL;</v>
      </c>
      <c r="AI217" s="125" t="str">
        <f t="shared" si="58"/>
        <v>ALTER TABLE TB_LCTRE DROP COLUMN REG_DT;</v>
      </c>
    </row>
    <row r="218" spans="2:35" ht="20.100000000000001" customHeight="1">
      <c r="B218" s="135">
        <v>213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17</v>
      </c>
      <c r="H218" s="97" t="s">
        <v>93</v>
      </c>
      <c r="I218" s="96" t="s">
        <v>80</v>
      </c>
      <c r="J218" s="52"/>
      <c r="K218" s="52"/>
      <c r="L218" s="52"/>
      <c r="M218" s="79"/>
      <c r="N218" s="79"/>
      <c r="O218" s="79"/>
      <c r="P218" s="79"/>
      <c r="Q218" s="100" t="s">
        <v>521</v>
      </c>
      <c r="R218" s="119" t="s">
        <v>526</v>
      </c>
      <c r="S218" s="80"/>
      <c r="T218" s="107" t="s">
        <v>216</v>
      </c>
      <c r="U218" s="78"/>
      <c r="V218" s="78"/>
      <c r="W218" s="116" t="s">
        <v>496</v>
      </c>
      <c r="X218" s="45"/>
      <c r="Y218" s="78"/>
      <c r="Z218" s="130" t="str">
        <f t="shared" si="77"/>
        <v>/* 테이블 : 수업 */ CREATE TABLE TB_LCTRE (</v>
      </c>
      <c r="AA218" s="125" t="str">
        <f t="shared" si="54"/>
        <v>UPDUSR_ID VARCHAR(50),</v>
      </c>
      <c r="AB218" s="125" t="str">
        <f t="shared" si="52"/>
        <v/>
      </c>
      <c r="AC218" s="125" t="str">
        <f t="shared" si="53"/>
        <v/>
      </c>
      <c r="AD218" s="125" t="str">
        <f t="shared" si="55"/>
        <v/>
      </c>
      <c r="AE218" s="125" t="str">
        <f t="shared" si="78"/>
        <v/>
      </c>
      <c r="AF218" s="125" t="str">
        <f t="shared" si="79"/>
        <v>COMMENT ON COLUMN TB_LCTRE.UPDUSR_ID IS '수정자 ID' ;</v>
      </c>
      <c r="AG218" s="125" t="str">
        <f t="shared" si="56"/>
        <v>ALTER TABLE TB_LCTRE ALTER COLUMN UPDUSR_ID TYPE VARCHAR(50);</v>
      </c>
      <c r="AH218" s="125" t="str">
        <f t="shared" si="57"/>
        <v>ALTER TABLE TB_LCTRE ADD COLUMN UPDUSR_ID VARCHAR(50);</v>
      </c>
      <c r="AI218" s="125" t="str">
        <f t="shared" si="58"/>
        <v>ALTER TABLE TB_LCTRE DROP COLUMN UPDUSR_ID;</v>
      </c>
    </row>
    <row r="219" spans="2:35" ht="20.100000000000001" customHeight="1">
      <c r="B219" s="55">
        <v>214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18</v>
      </c>
      <c r="H219" s="97" t="s">
        <v>94</v>
      </c>
      <c r="I219" s="96" t="s">
        <v>79</v>
      </c>
      <c r="J219" s="52"/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215</v>
      </c>
      <c r="U219" s="78"/>
      <c r="V219" s="78"/>
      <c r="W219" s="101"/>
      <c r="X219" s="45"/>
      <c r="Y219" s="78"/>
      <c r="Z219" s="130" t="str">
        <f t="shared" si="77"/>
        <v>/* 테이블 : 수업 */ CREATE TABLE TB_LCTRE (</v>
      </c>
      <c r="AA219" s="125" t="str">
        <f t="shared" si="54"/>
        <v>UPDUSR_IP VARCHAR(100),</v>
      </c>
      <c r="AB219" s="125" t="str">
        <f t="shared" si="52"/>
        <v/>
      </c>
      <c r="AC219" s="125" t="str">
        <f t="shared" si="53"/>
        <v/>
      </c>
      <c r="AD219" s="125" t="str">
        <f t="shared" si="55"/>
        <v/>
      </c>
      <c r="AE219" s="125" t="str">
        <f t="shared" si="78"/>
        <v/>
      </c>
      <c r="AF219" s="125" t="str">
        <f t="shared" si="79"/>
        <v>COMMENT ON COLUMN TB_LCTRE.UPDUSR_IP IS '수정자 IP' ;</v>
      </c>
      <c r="AG219" s="125" t="str">
        <f t="shared" si="56"/>
        <v>ALTER TABLE TB_LCTRE ALTER COLUMN UPDUSR_IP TYPE VARCHAR(100);</v>
      </c>
      <c r="AH219" s="125" t="str">
        <f t="shared" si="57"/>
        <v>ALTER TABLE TB_LCTRE ADD COLUMN UPDUSR_IP VARCHAR(100);</v>
      </c>
      <c r="AI219" s="125" t="str">
        <f t="shared" si="58"/>
        <v>ALTER TABLE TB_LCTRE DROP COLUMN UPDUSR_IP;</v>
      </c>
    </row>
    <row r="220" spans="2:35" ht="20.100000000000001" customHeight="1">
      <c r="B220" s="55">
        <v>215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19</v>
      </c>
      <c r="H220" s="98" t="s">
        <v>95</v>
      </c>
      <c r="I220" s="97" t="s">
        <v>81</v>
      </c>
      <c r="J220" s="61"/>
      <c r="K220" s="61"/>
      <c r="L220" s="61"/>
      <c r="M220" s="61"/>
      <c r="N220" s="61"/>
      <c r="O220" s="61"/>
      <c r="P220" s="61"/>
      <c r="Q220" s="51" t="s">
        <v>706</v>
      </c>
      <c r="R220" s="120"/>
      <c r="S220" s="77"/>
      <c r="T220" s="107" t="s">
        <v>214</v>
      </c>
      <c r="U220" s="78"/>
      <c r="V220" s="78"/>
      <c r="W220" s="101"/>
      <c r="X220" s="45"/>
      <c r="Y220" s="78"/>
      <c r="Z220" s="130" t="str">
        <f t="shared" si="77"/>
        <v>/* 테이블 : 수업 */ CREATE TABLE TB_LCTRE (</v>
      </c>
      <c r="AA220" s="125" t="str">
        <f t="shared" si="54"/>
        <v>UPDT_DT TIMESTAMP,</v>
      </c>
      <c r="AB220" s="125" t="str">
        <f t="shared" si="52"/>
        <v/>
      </c>
      <c r="AC220" s="125" t="str">
        <f t="shared" si="53"/>
        <v/>
      </c>
      <c r="AD220" s="125" t="str">
        <f t="shared" si="55"/>
        <v/>
      </c>
      <c r="AE220" s="125" t="str">
        <f t="shared" si="78"/>
        <v/>
      </c>
      <c r="AF220" s="125" t="str">
        <f t="shared" si="79"/>
        <v>COMMENT ON COLUMN TB_LCTRE.UPDT_DT IS '수정 일시' ;</v>
      </c>
      <c r="AG220" s="125" t="str">
        <f t="shared" si="56"/>
        <v>ALTER TABLE TB_LCTRE ALTER COLUMN UPDT_DT TYPE TIMESTAMP;</v>
      </c>
      <c r="AH220" s="125" t="str">
        <f t="shared" si="57"/>
        <v>ALTER TABLE TB_LCTRE ADD COLUMN UPDT_DT TIMESTAMP;</v>
      </c>
      <c r="AI220" s="125" t="str">
        <f t="shared" si="58"/>
        <v>ALTER TABLE TB_LCTRE DROP COLUMN UPDT_DT;</v>
      </c>
    </row>
    <row r="221" spans="2:35" ht="20.100000000000001" customHeight="1">
      <c r="B221" s="55">
        <v>216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20</v>
      </c>
      <c r="H221" s="97" t="s">
        <v>96</v>
      </c>
      <c r="I221" s="97" t="s">
        <v>82</v>
      </c>
      <c r="J221" s="73" t="s">
        <v>72</v>
      </c>
      <c r="K221" s="61"/>
      <c r="L221" s="61"/>
      <c r="M221" s="61"/>
      <c r="N221" s="61"/>
      <c r="O221" s="61"/>
      <c r="P221" s="61"/>
      <c r="Q221" s="51" t="s">
        <v>804</v>
      </c>
      <c r="R221" s="119" t="s">
        <v>522</v>
      </c>
      <c r="S221" s="82" t="s">
        <v>803</v>
      </c>
      <c r="T221" s="107" t="s">
        <v>213</v>
      </c>
      <c r="U221" s="78"/>
      <c r="V221" s="78"/>
      <c r="W221" s="101"/>
      <c r="X221" s="45"/>
      <c r="Y221" s="78"/>
      <c r="Z221" s="130" t="str">
        <f t="shared" si="77"/>
        <v>/* 테이블 : 수업 */ CREATE TABLE TB_LCTRE (</v>
      </c>
      <c r="AA221" s="125" t="str">
        <f t="shared" si="54"/>
        <v>DEL_YN BPCHAR(1) NOT NULL,</v>
      </c>
      <c r="AB221" s="125" t="str">
        <f t="shared" si="52"/>
        <v/>
      </c>
      <c r="AC221" s="125" t="str">
        <f t="shared" si="53"/>
        <v/>
      </c>
      <c r="AD221" s="125" t="str">
        <f t="shared" si="55"/>
        <v/>
      </c>
      <c r="AE221" s="125" t="str">
        <f t="shared" si="78"/>
        <v>ALTER TABLE TB_LCTRE ALTER COLUMN DEL_YN SET DEFAULT 'N'::bpchar;</v>
      </c>
      <c r="AF221" s="125" t="str">
        <f t="shared" si="79"/>
        <v>COMMENT ON COLUMN TB_LCTRE.DEL_YN IS '삭제 여부' ;</v>
      </c>
      <c r="AG221" s="125" t="str">
        <f t="shared" si="56"/>
        <v>ALTER TABLE TB_LCTRE ALTER COLUMN DEL_YN TYPE BPCHAR(1);</v>
      </c>
      <c r="AH221" s="125" t="str">
        <f t="shared" si="57"/>
        <v>ALTER TABLE TB_LCTRE ADD COLUMN DEL_YN BPCHAR(1) NOT NULL DEFAULT ''N'::bpchar';</v>
      </c>
      <c r="AI221" s="125" t="str">
        <f t="shared" si="58"/>
        <v>ALTER TABLE TB_LCTRE DROP COLUMN DEL_YN;</v>
      </c>
    </row>
    <row r="222" spans="2:35" ht="20.100000000000001" customHeight="1">
      <c r="B222" s="135">
        <v>217</v>
      </c>
      <c r="C222" s="26" t="s">
        <v>7</v>
      </c>
      <c r="D222" s="25" t="s">
        <v>11</v>
      </c>
      <c r="E222" s="10" t="s">
        <v>258</v>
      </c>
      <c r="F222" s="10" t="s">
        <v>247</v>
      </c>
      <c r="G222" s="92">
        <v>1</v>
      </c>
      <c r="H222" s="101" t="s">
        <v>273</v>
      </c>
      <c r="I222" s="101" t="s">
        <v>272</v>
      </c>
      <c r="J222" s="73" t="s">
        <v>72</v>
      </c>
      <c r="K222" s="45">
        <v>1</v>
      </c>
      <c r="L222" s="45"/>
      <c r="M222" s="45"/>
      <c r="N222" s="45"/>
      <c r="O222" s="45"/>
      <c r="P222" s="45"/>
      <c r="Q222" s="101" t="s">
        <v>172</v>
      </c>
      <c r="R222" s="92"/>
      <c r="S222" s="45"/>
      <c r="T222" s="101" t="s">
        <v>318</v>
      </c>
      <c r="U222" s="125" t="str">
        <f>"SEQ_"&amp;E222&amp;"_SN"</f>
        <v>SEQ_TB_LCTRE_REQST_SN</v>
      </c>
      <c r="V222" s="125"/>
      <c r="W222" s="101"/>
      <c r="X222" s="45"/>
      <c r="Y222" s="78"/>
      <c r="Z222" s="130" t="str">
        <f t="shared" si="77"/>
        <v>/* 테이블 : 수업신청 */ CREATE TABLE TB_LCTRE_REQST (</v>
      </c>
      <c r="AA222" s="125" t="str">
        <f t="shared" ref="AA222:AA225" si="95">H222&amp;" "&amp;Q222&amp;R222&amp;IF(ISBLANK(K222),""," PRIMARY KEY")&amp;IF(AND(ISBLANK(K222),J222="Y")," NOT NULL","")&amp;","</f>
        <v>LCTRE_REQST_SN INTEGER PRIMARY KEY,</v>
      </c>
      <c r="AB222" s="125" t="str">
        <f t="shared" ref="AB222:AB225" si="96">IF(ISBLANK(L222),"","ALTER TABLE " &amp; E222 &amp; " ADD CONSTRAINT " &amp; E222 &amp; "_FKEY" &amp; L222 &amp;  " FOREIGN KEY(" &amp;H222 &amp; ") REFERENCES " &amp; M222 &amp; "(" &amp; N222 &amp; ") "&amp;O222&amp;" "&amp;P222&amp;";")</f>
        <v/>
      </c>
      <c r="AC222" s="125" t="str">
        <f t="shared" ref="AC222:AC225" si="97">IF(ISBLANK(U222),"","CREATE SEQUENCE "&amp;U222&amp;" START 100000;")</f>
        <v>CREATE SEQUENCE SEQ_TB_LCTRE_REQST_SN START 100000;</v>
      </c>
      <c r="AD222" s="125" t="str">
        <f t="shared" ref="AD222:AD296" si="98">IF(ISBLANK(U222),"","ALTER TABLE "&amp;E222&amp;" ALTER COLUMN "&amp;H222&amp;" SET DEFAULT NEXTVAL('"&amp;U222&amp;"');")</f>
        <v>ALTER TABLE TB_LCTRE_REQST ALTER COLUMN LCTRE_REQST_SN SET DEFAULT NEXTVAL('SEQ_TB_LCTRE_REQST_SN');</v>
      </c>
      <c r="AE222" s="125" t="str">
        <f t="shared" si="78"/>
        <v/>
      </c>
      <c r="AF222" s="125" t="str">
        <f t="shared" si="79"/>
        <v>COMMENT ON COLUMN TB_LCTRE_REQST.LCTRE_REQST_SN IS '수업 신청 일련번호' ;</v>
      </c>
      <c r="AG222" s="125" t="str">
        <f t="shared" ref="AG222:AG304" si="99">"ALTER TABLE "&amp;$E222&amp;" ALTER COLUMN "&amp;$H222&amp;" TYPE "&amp;$Q222&amp;IF(ISBLANK(R222),"",R222)&amp;";"</f>
        <v>ALTER TABLE TB_LCTRE_REQST ALTER COLUMN LCTRE_REQST_SN TYPE INTEGER;</v>
      </c>
      <c r="AH222" s="125" t="str">
        <f t="shared" ref="AH222:AH304" si="100">"ALTER TABLE "&amp;$E222&amp;" ADD COLUMN "&amp;$H222&amp;" "&amp;$Q222&amp;IF(ISBLANK(R222),"",$R222)&amp;IF(ISBLANK($J222),""," NOT NULL")&amp;IF(ISBLANK($S222),""," DEFAULT '" &amp; $S222 &amp; "'") &amp; ";"</f>
        <v>ALTER TABLE TB_LCTRE_REQST ADD COLUMN LCTRE_REQST_SN INTEGER NOT NULL;</v>
      </c>
      <c r="AI222" s="125" t="str">
        <f t="shared" ref="AI222:AI304" si="101">"ALTER TABLE "&amp;$E222&amp;" DROP COLUMN "&amp;$H222&amp;";"</f>
        <v>ALTER TABLE TB_LCTRE_REQST DROP COLUMN LCTRE_REQST_SN;</v>
      </c>
    </row>
    <row r="223" spans="2:35" ht="20.100000000000001" customHeight="1">
      <c r="B223" s="55">
        <v>218</v>
      </c>
      <c r="C223" s="26" t="s">
        <v>7</v>
      </c>
      <c r="D223" s="25" t="s">
        <v>11</v>
      </c>
      <c r="E223" s="10" t="s">
        <v>258</v>
      </c>
      <c r="F223" s="10" t="s">
        <v>247</v>
      </c>
      <c r="G223" s="92">
        <v>2</v>
      </c>
      <c r="H223" s="101" t="s">
        <v>775</v>
      </c>
      <c r="I223" s="101" t="s">
        <v>776</v>
      </c>
      <c r="J223" s="73" t="s">
        <v>131</v>
      </c>
      <c r="K223" s="69"/>
      <c r="L223" s="69">
        <v>1</v>
      </c>
      <c r="M223" s="10" t="s">
        <v>50</v>
      </c>
      <c r="N223" s="101" t="s">
        <v>775</v>
      </c>
      <c r="O223" s="95" t="s">
        <v>539</v>
      </c>
      <c r="P223" s="95" t="s">
        <v>541</v>
      </c>
      <c r="Q223" s="101" t="s">
        <v>172</v>
      </c>
      <c r="R223" s="83"/>
      <c r="S223" s="81"/>
      <c r="T223" s="107" t="s">
        <v>777</v>
      </c>
      <c r="U223" s="78"/>
      <c r="V223" s="78"/>
      <c r="W223" s="101"/>
      <c r="X223" s="45"/>
      <c r="Y223" s="78"/>
      <c r="Z223" s="130" t="str">
        <f t="shared" si="77"/>
        <v>/* 테이블 : 수업신청 */ CREATE TABLE TB_LCTRE_REQST (</v>
      </c>
      <c r="AA223" s="125" t="str">
        <f t="shared" si="95"/>
        <v>CLASS_REQST_SN INTEGER NOT NULL,</v>
      </c>
      <c r="AB223" s="125" t="str">
        <f t="shared" si="96"/>
        <v>ALTER TABLE TB_LCTRE_REQST ADD CONSTRAINT TB_LCTRE_REQST_FKEY1 FOREIGN KEY(CLASS_REQST_SN) REFERENCES TB_CLASS_REQST(CLASS_REQST_SN) ON UPDATE CASCADE ON DELETE CASCADE;</v>
      </c>
      <c r="AC223" s="125" t="str">
        <f t="shared" si="97"/>
        <v/>
      </c>
      <c r="AD223" s="125" t="str">
        <f t="shared" si="98"/>
        <v/>
      </c>
      <c r="AE223" s="125" t="str">
        <f t="shared" si="78"/>
        <v/>
      </c>
      <c r="AF223" s="125" t="str">
        <f t="shared" si="79"/>
        <v>COMMENT ON COLUMN TB_LCTRE_REQST.CLASS_REQST_SN IS '클래스 신청 일련번호' ;</v>
      </c>
      <c r="AG223" s="125" t="str">
        <f t="shared" si="99"/>
        <v>ALTER TABLE TB_LCTRE_REQST ALTER COLUMN CLASS_REQST_SN TYPE INTEGER;</v>
      </c>
      <c r="AH223" s="125" t="str">
        <f t="shared" si="100"/>
        <v>ALTER TABLE TB_LCTRE_REQST ADD COLUMN CLASS_REQST_SN INTEGER NOT NULL;</v>
      </c>
      <c r="AI223" s="125" t="str">
        <f t="shared" si="101"/>
        <v>ALTER TABLE TB_LCTRE_REQST DROP COLUMN CLASS_REQST_SN;</v>
      </c>
    </row>
    <row r="224" spans="2:35" ht="20.100000000000001" customHeight="1">
      <c r="B224" s="55">
        <v>219</v>
      </c>
      <c r="C224" s="26" t="s">
        <v>7</v>
      </c>
      <c r="D224" s="25" t="s">
        <v>11</v>
      </c>
      <c r="E224" s="10" t="s">
        <v>258</v>
      </c>
      <c r="F224" s="10" t="s">
        <v>247</v>
      </c>
      <c r="G224" s="92">
        <v>3</v>
      </c>
      <c r="H224" s="97" t="s">
        <v>253</v>
      </c>
      <c r="I224" s="97" t="s">
        <v>257</v>
      </c>
      <c r="J224" s="73" t="s">
        <v>131</v>
      </c>
      <c r="K224" s="69"/>
      <c r="L224" s="69">
        <v>2</v>
      </c>
      <c r="M224" s="13" t="s">
        <v>254</v>
      </c>
      <c r="N224" s="97" t="s">
        <v>253</v>
      </c>
      <c r="O224" s="95" t="s">
        <v>539</v>
      </c>
      <c r="P224" s="95" t="s">
        <v>541</v>
      </c>
      <c r="Q224" s="101" t="s">
        <v>172</v>
      </c>
      <c r="R224" s="83"/>
      <c r="S224" s="81"/>
      <c r="T224" s="107" t="s">
        <v>778</v>
      </c>
      <c r="U224" s="78"/>
      <c r="V224" s="78"/>
      <c r="W224" s="101"/>
      <c r="X224" s="45"/>
      <c r="Y224" s="78"/>
      <c r="Z224" s="130" t="str">
        <f t="shared" si="77"/>
        <v>/* 테이블 : 수업신청 */ CREATE TABLE TB_LCTRE_REQST (</v>
      </c>
      <c r="AA224" s="125" t="str">
        <f t="shared" ref="AA224" si="102">H224&amp;" "&amp;Q224&amp;R224&amp;IF(ISBLANK(K224),""," PRIMARY KEY")&amp;IF(AND(ISBLANK(K224),J224="Y")," NOT NULL","")&amp;","</f>
        <v>LCTRE_SN INTEGER NOT NULL,</v>
      </c>
      <c r="AB224" s="125" t="str">
        <f t="shared" ref="AB224" si="103">IF(ISBLANK(L224),"","ALTER TABLE " &amp; E224 &amp; " ADD CONSTRAINT " &amp; E224 &amp; "_FKEY" &amp; L224 &amp;  " FOREIGN KEY(" &amp;H224 &amp; ") REFERENCES " &amp; M224 &amp; "(" &amp; N224 &amp; ") "&amp;O224&amp;" "&amp;P224&amp;";")</f>
        <v>ALTER TABLE TB_LCTRE_REQST ADD CONSTRAINT TB_LCTRE_REQST_FKEY2 FOREIGN KEY(LCTRE_SN) REFERENCES TB_LCTRE(LCTRE_SN) ON UPDATE CASCADE ON DELETE CASCADE;</v>
      </c>
      <c r="AC224" s="125" t="str">
        <f t="shared" si="97"/>
        <v/>
      </c>
      <c r="AD224" s="125" t="str">
        <f t="shared" si="98"/>
        <v/>
      </c>
      <c r="AE224" s="125" t="str">
        <f t="shared" si="78"/>
        <v/>
      </c>
      <c r="AF224" s="125" t="str">
        <f t="shared" si="79"/>
        <v>COMMENT ON COLUMN TB_LCTRE_REQST.LCTRE_SN IS '수업 일련번호' ;</v>
      </c>
      <c r="AG224" s="125" t="str">
        <f t="shared" si="99"/>
        <v>ALTER TABLE TB_LCTRE_REQST ALTER COLUMN LCTRE_SN TYPE INTEGER;</v>
      </c>
      <c r="AH224" s="125" t="str">
        <f t="shared" si="100"/>
        <v>ALTER TABLE TB_LCTRE_REQST ADD COLUMN LCTRE_SN INTEGER NOT NULL;</v>
      </c>
      <c r="AI224" s="125" t="str">
        <f t="shared" si="101"/>
        <v>ALTER TABLE TB_LCTRE_REQST DROP COLUMN LCTRE_SN;</v>
      </c>
    </row>
    <row r="225" spans="2:35" ht="20.100000000000001" customHeight="1">
      <c r="B225" s="55">
        <v>220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4</v>
      </c>
      <c r="H225" s="98" t="s">
        <v>121</v>
      </c>
      <c r="I225" s="97" t="s">
        <v>120</v>
      </c>
      <c r="J225" s="73"/>
      <c r="K225" s="61"/>
      <c r="L225" s="61">
        <v>4</v>
      </c>
      <c r="M225" s="12" t="s">
        <v>114</v>
      </c>
      <c r="N225" s="98" t="s">
        <v>121</v>
      </c>
      <c r="O225" s="95" t="s">
        <v>539</v>
      </c>
      <c r="P225" s="95" t="s">
        <v>541</v>
      </c>
      <c r="Q225" s="100" t="s">
        <v>172</v>
      </c>
      <c r="R225" s="47"/>
      <c r="S225" s="77"/>
      <c r="T225" s="107" t="s">
        <v>268</v>
      </c>
      <c r="U225" s="78"/>
      <c r="V225" s="78"/>
      <c r="W225" s="101"/>
      <c r="X225" s="45"/>
      <c r="Y225" s="78"/>
      <c r="Z225" s="130" t="str">
        <f t="shared" si="77"/>
        <v>/* 테이블 : 수업신청 */ CREATE TABLE TB_LCTRE_REQST (</v>
      </c>
      <c r="AA225" s="125" t="str">
        <f t="shared" si="95"/>
        <v>CHLDRN_SN INTEGER,</v>
      </c>
      <c r="AB225" s="125" t="str">
        <f t="shared" si="96"/>
        <v>ALTER TABLE TB_LCTRE_REQST ADD CONSTRAINT TB_LCTRE_REQST_FKEY4 FOREIGN KEY(CHLDRN_SN) REFERENCES TB_USER_CHLDRN(CHLDRN_SN) ON UPDATE CASCADE ON DELETE CASCADE;</v>
      </c>
      <c r="AC225" s="125" t="str">
        <f t="shared" si="97"/>
        <v/>
      </c>
      <c r="AD225" s="125" t="str">
        <f t="shared" si="98"/>
        <v/>
      </c>
      <c r="AE225" s="125" t="str">
        <f t="shared" si="78"/>
        <v/>
      </c>
      <c r="AF225" s="125" t="str">
        <f t="shared" si="79"/>
        <v>COMMENT ON COLUMN TB_LCTRE_REQST.CHLDRN_SN IS '자녀 일련번호' ;</v>
      </c>
      <c r="AG225" s="125" t="str">
        <f t="shared" si="99"/>
        <v>ALTER TABLE TB_LCTRE_REQST ALTER COLUMN CHLDRN_SN TYPE INTEGER;</v>
      </c>
      <c r="AH225" s="125" t="str">
        <f t="shared" si="100"/>
        <v>ALTER TABLE TB_LCTRE_REQST ADD COLUMN CHLDRN_SN INTEGER;</v>
      </c>
      <c r="AI225" s="125" t="str">
        <f t="shared" si="101"/>
        <v>ALTER TABLE TB_LCTRE_REQST DROP COLUMN CHLDRN_SN;</v>
      </c>
    </row>
    <row r="226" spans="2:35" ht="20.100000000000001" customHeight="1">
      <c r="B226" s="135">
        <v>221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5</v>
      </c>
      <c r="H226" s="97" t="s">
        <v>107</v>
      </c>
      <c r="I226" s="51" t="s">
        <v>76</v>
      </c>
      <c r="J226" s="73" t="s">
        <v>72</v>
      </c>
      <c r="K226" s="67"/>
      <c r="L226" s="67"/>
      <c r="M226" s="77"/>
      <c r="N226" s="77"/>
      <c r="O226" s="77"/>
      <c r="P226" s="77"/>
      <c r="Q226" s="100" t="s">
        <v>521</v>
      </c>
      <c r="R226" s="119" t="s">
        <v>526</v>
      </c>
      <c r="S226" s="80"/>
      <c r="T226" s="107" t="s">
        <v>219</v>
      </c>
      <c r="U226" s="78"/>
      <c r="V226" s="78"/>
      <c r="W226" s="116" t="s">
        <v>496</v>
      </c>
      <c r="X226" s="45"/>
      <c r="Y226" s="78"/>
      <c r="Z226" s="130" t="str">
        <f t="shared" si="77"/>
        <v>/* 테이블 : 수업신청 */ CREATE TABLE TB_LCTRE_REQST (</v>
      </c>
      <c r="AA226" s="125" t="str">
        <f t="shared" ref="AA226:AA237" si="104">H226&amp;" "&amp;Q226&amp;R226&amp;IF(ISBLANK(K226),""," PRIMARY KEY")&amp;IF(AND(ISBLANK(K226),J226="Y")," NOT NULL","")&amp;","</f>
        <v>REGISTER_ID VARCHAR(50) NOT NULL,</v>
      </c>
      <c r="AB226" s="125" t="str">
        <f t="shared" ref="AB226:AB237" si="105">IF(ISBLANK(L226),"","ALTER TABLE " &amp; E226 &amp; " ADD CONSTRAINT " &amp; E226 &amp; "_FKEY" &amp; L226 &amp;  " FOREIGN KEY(" &amp;H226 &amp; ") REFERENCES " &amp; M226 &amp; "(" &amp; N226 &amp; ") "&amp;O226&amp;" "&amp;P226&amp;";")</f>
        <v/>
      </c>
      <c r="AC226" s="125" t="str">
        <f t="shared" ref="AC226:AC237" si="106">IF(ISBLANK(U226),"","CREATE SEQUENCE "&amp;U226&amp;" START 100000;")</f>
        <v/>
      </c>
      <c r="AD226" s="125" t="str">
        <f t="shared" si="98"/>
        <v/>
      </c>
      <c r="AE226" s="125" t="str">
        <f t="shared" si="78"/>
        <v/>
      </c>
      <c r="AF226" s="125" t="str">
        <f t="shared" si="79"/>
        <v>COMMENT ON COLUMN TB_LCTRE_REQST.REGISTER_ID IS '등록자 ID' ;</v>
      </c>
      <c r="AG226" s="125" t="str">
        <f t="shared" si="99"/>
        <v>ALTER TABLE TB_LCTRE_REQST ALTER COLUMN REGISTER_ID TYPE VARCHAR(50);</v>
      </c>
      <c r="AH226" s="125" t="str">
        <f t="shared" si="100"/>
        <v>ALTER TABLE TB_LCTRE_REQST ADD COLUMN REGISTER_ID VARCHAR(50) NOT NULL;</v>
      </c>
      <c r="AI226" s="125" t="str">
        <f t="shared" si="101"/>
        <v>ALTER TABLE TB_LCTRE_REQST DROP COLUMN REGISTER_ID;</v>
      </c>
    </row>
    <row r="227" spans="2:35" ht="20.100000000000001" customHeight="1">
      <c r="B227" s="55">
        <v>222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6</v>
      </c>
      <c r="H227" s="97" t="s">
        <v>91</v>
      </c>
      <c r="I227" s="51" t="s">
        <v>77</v>
      </c>
      <c r="J227" s="73" t="s">
        <v>72</v>
      </c>
      <c r="K227" s="52"/>
      <c r="L227" s="52"/>
      <c r="M227" s="52"/>
      <c r="N227" s="52"/>
      <c r="O227" s="52"/>
      <c r="P227" s="52"/>
      <c r="Q227" s="56" t="s">
        <v>106</v>
      </c>
      <c r="R227" s="119" t="s">
        <v>527</v>
      </c>
      <c r="S227" s="80"/>
      <c r="T227" s="107" t="s">
        <v>218</v>
      </c>
      <c r="U227" s="78"/>
      <c r="V227" s="78"/>
      <c r="W227" s="101"/>
      <c r="X227" s="45"/>
      <c r="Y227" s="78"/>
      <c r="Z227" s="130" t="str">
        <f t="shared" si="77"/>
        <v>/* 테이블 : 수업신청 */ CREATE TABLE TB_LCTRE_REQST (</v>
      </c>
      <c r="AA227" s="125" t="str">
        <f t="shared" si="104"/>
        <v>REGISTER_IP VARCHAR(100) NOT NULL,</v>
      </c>
      <c r="AB227" s="125" t="str">
        <f t="shared" si="105"/>
        <v/>
      </c>
      <c r="AC227" s="125" t="str">
        <f t="shared" si="106"/>
        <v/>
      </c>
      <c r="AD227" s="125" t="str">
        <f t="shared" si="98"/>
        <v/>
      </c>
      <c r="AE227" s="125" t="str">
        <f t="shared" si="78"/>
        <v/>
      </c>
      <c r="AF227" s="125" t="str">
        <f t="shared" si="79"/>
        <v>COMMENT ON COLUMN TB_LCTRE_REQST.REGISTER_IP IS '등록자 IP' ;</v>
      </c>
      <c r="AG227" s="125" t="str">
        <f t="shared" si="99"/>
        <v>ALTER TABLE TB_LCTRE_REQST ALTER COLUMN REGISTER_IP TYPE VARCHAR(100);</v>
      </c>
      <c r="AH227" s="125" t="str">
        <f t="shared" si="100"/>
        <v>ALTER TABLE TB_LCTRE_REQST ADD COLUMN REGISTER_IP VARCHAR(100) NOT NULL;</v>
      </c>
      <c r="AI227" s="125" t="str">
        <f t="shared" si="101"/>
        <v>ALTER TABLE TB_LCTRE_REQST DROP COLUMN REGISTER_IP;</v>
      </c>
    </row>
    <row r="228" spans="2:35" ht="20.100000000000001" customHeight="1">
      <c r="B228" s="55">
        <v>223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7</v>
      </c>
      <c r="H228" s="97" t="s">
        <v>92</v>
      </c>
      <c r="I228" s="96" t="s">
        <v>78</v>
      </c>
      <c r="J228" s="73" t="s">
        <v>72</v>
      </c>
      <c r="K228" s="52"/>
      <c r="L228" s="52"/>
      <c r="M228" s="52"/>
      <c r="N228" s="52"/>
      <c r="O228" s="52"/>
      <c r="P228" s="52"/>
      <c r="Q228" s="51" t="s">
        <v>706</v>
      </c>
      <c r="R228" s="119"/>
      <c r="S228" s="80"/>
      <c r="T228" s="107" t="s">
        <v>217</v>
      </c>
      <c r="U228" s="78"/>
      <c r="V228" s="78"/>
      <c r="W228" s="101"/>
      <c r="X228" s="45"/>
      <c r="Y228" s="78"/>
      <c r="Z228" s="130" t="str">
        <f t="shared" si="77"/>
        <v>/* 테이블 : 수업신청 */ CREATE TABLE TB_LCTRE_REQST (</v>
      </c>
      <c r="AA228" s="125" t="str">
        <f t="shared" si="104"/>
        <v>REG_DT TIMESTAMP NOT NULL,</v>
      </c>
      <c r="AB228" s="125" t="str">
        <f t="shared" si="105"/>
        <v/>
      </c>
      <c r="AC228" s="125" t="str">
        <f t="shared" si="106"/>
        <v/>
      </c>
      <c r="AD228" s="125" t="str">
        <f t="shared" si="98"/>
        <v/>
      </c>
      <c r="AE228" s="125" t="str">
        <f t="shared" si="78"/>
        <v/>
      </c>
      <c r="AF228" s="125" t="str">
        <f t="shared" si="79"/>
        <v>COMMENT ON COLUMN TB_LCTRE_REQST.REG_DT IS '등록 일시' ;</v>
      </c>
      <c r="AG228" s="125" t="str">
        <f t="shared" si="99"/>
        <v>ALTER TABLE TB_LCTRE_REQST ALTER COLUMN REG_DT TYPE TIMESTAMP;</v>
      </c>
      <c r="AH228" s="125" t="str">
        <f t="shared" si="100"/>
        <v>ALTER TABLE TB_LCTRE_REQST ADD COLUMN REG_DT TIMESTAMP NOT NULL;</v>
      </c>
      <c r="AI228" s="125" t="str">
        <f t="shared" si="101"/>
        <v>ALTER TABLE TB_LCTRE_REQST DROP COLUMN REG_DT;</v>
      </c>
    </row>
    <row r="229" spans="2:35" ht="20.100000000000001" customHeight="1">
      <c r="B229" s="55">
        <v>224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8</v>
      </c>
      <c r="H229" s="97" t="s">
        <v>93</v>
      </c>
      <c r="I229" s="96" t="s">
        <v>80</v>
      </c>
      <c r="J229" s="52"/>
      <c r="K229" s="52"/>
      <c r="L229" s="52"/>
      <c r="M229" s="79"/>
      <c r="N229" s="79"/>
      <c r="O229" s="79"/>
      <c r="P229" s="79"/>
      <c r="Q229" s="100" t="s">
        <v>521</v>
      </c>
      <c r="R229" s="119" t="s">
        <v>526</v>
      </c>
      <c r="S229" s="80"/>
      <c r="T229" s="107" t="s">
        <v>216</v>
      </c>
      <c r="U229" s="78"/>
      <c r="V229" s="78"/>
      <c r="W229" s="116" t="s">
        <v>496</v>
      </c>
      <c r="X229" s="45"/>
      <c r="Y229" s="78"/>
      <c r="Z229" s="130" t="str">
        <f t="shared" si="77"/>
        <v>/* 테이블 : 수업신청 */ CREATE TABLE TB_LCTRE_REQST (</v>
      </c>
      <c r="AA229" s="125" t="str">
        <f t="shared" si="104"/>
        <v>UPDUSR_ID VARCHAR(50),</v>
      </c>
      <c r="AB229" s="125" t="str">
        <f t="shared" si="105"/>
        <v/>
      </c>
      <c r="AC229" s="125" t="str">
        <f t="shared" si="106"/>
        <v/>
      </c>
      <c r="AD229" s="125" t="str">
        <f t="shared" si="98"/>
        <v/>
      </c>
      <c r="AE229" s="125" t="str">
        <f t="shared" si="78"/>
        <v/>
      </c>
      <c r="AF229" s="125" t="str">
        <f t="shared" si="79"/>
        <v>COMMENT ON COLUMN TB_LCTRE_REQST.UPDUSR_ID IS '수정자 ID' ;</v>
      </c>
      <c r="AG229" s="125" t="str">
        <f t="shared" si="99"/>
        <v>ALTER TABLE TB_LCTRE_REQST ALTER COLUMN UPDUSR_ID TYPE VARCHAR(50);</v>
      </c>
      <c r="AH229" s="125" t="str">
        <f t="shared" si="100"/>
        <v>ALTER TABLE TB_LCTRE_REQST ADD COLUMN UPDUSR_ID VARCHAR(50);</v>
      </c>
      <c r="AI229" s="125" t="str">
        <f t="shared" si="101"/>
        <v>ALTER TABLE TB_LCTRE_REQST DROP COLUMN UPDUSR_ID;</v>
      </c>
    </row>
    <row r="230" spans="2:35" ht="20.100000000000001" customHeight="1">
      <c r="B230" s="135">
        <v>225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9</v>
      </c>
      <c r="H230" s="97" t="s">
        <v>94</v>
      </c>
      <c r="I230" s="96" t="s">
        <v>79</v>
      </c>
      <c r="J230" s="52"/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215</v>
      </c>
      <c r="U230" s="78"/>
      <c r="V230" s="78"/>
      <c r="W230" s="101"/>
      <c r="X230" s="45"/>
      <c r="Y230" s="78"/>
      <c r="Z230" s="130" t="str">
        <f t="shared" si="77"/>
        <v>/* 테이블 : 수업신청 */ CREATE TABLE TB_LCTRE_REQST (</v>
      </c>
      <c r="AA230" s="125" t="str">
        <f t="shared" si="104"/>
        <v>UPDUSR_IP VARCHAR(100),</v>
      </c>
      <c r="AB230" s="125" t="str">
        <f t="shared" si="105"/>
        <v/>
      </c>
      <c r="AC230" s="125" t="str">
        <f t="shared" si="106"/>
        <v/>
      </c>
      <c r="AD230" s="125" t="str">
        <f t="shared" ref="AD230:AD241" si="107">IF(ISBLANK(U230),"","ALTER TABLE "&amp;E230&amp;" ALTER COLUMN "&amp;H230&amp;" SET DEFAULT NEXTVAL('"&amp;U230&amp;"');")</f>
        <v/>
      </c>
      <c r="AE230" s="125" t="str">
        <f t="shared" si="78"/>
        <v/>
      </c>
      <c r="AF230" s="125" t="str">
        <f t="shared" si="79"/>
        <v>COMMENT ON COLUMN TB_LCTRE_REQST.UPDUSR_IP IS '수정자 IP' ;</v>
      </c>
      <c r="AG230" s="125" t="str">
        <f t="shared" ref="AG230:AG241" si="108">"ALTER TABLE "&amp;$E230&amp;" ALTER COLUMN "&amp;$H230&amp;" TYPE "&amp;$Q230&amp;IF(ISBLANK(R230),"",R230)&amp;";"</f>
        <v>ALTER TABLE TB_LCTRE_REQST ALTER COLUMN UPDUSR_IP TYPE VARCHAR(100);</v>
      </c>
      <c r="AH230" s="125" t="str">
        <f t="shared" ref="AH230:AH241" si="109">"ALTER TABLE "&amp;$E230&amp;" ADD COLUMN "&amp;$H230&amp;" "&amp;$Q230&amp;IF(ISBLANK(R230),"",$R230)&amp;IF(ISBLANK($J230),""," NOT NULL")&amp;IF(ISBLANK($S230),""," DEFAULT '" &amp; $S230 &amp; "'") &amp; ";"</f>
        <v>ALTER TABLE TB_LCTRE_REQST ADD COLUMN UPDUSR_IP VARCHAR(100);</v>
      </c>
      <c r="AI230" s="125" t="str">
        <f t="shared" si="101"/>
        <v>ALTER TABLE TB_LCTRE_REQST DROP COLUMN UPDUSR_IP;</v>
      </c>
    </row>
    <row r="231" spans="2:35" ht="20.100000000000001" customHeight="1">
      <c r="B231" s="55">
        <v>226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10</v>
      </c>
      <c r="H231" s="98" t="s">
        <v>95</v>
      </c>
      <c r="I231" s="97" t="s">
        <v>81</v>
      </c>
      <c r="J231" s="61"/>
      <c r="K231" s="61"/>
      <c r="L231" s="61"/>
      <c r="M231" s="61"/>
      <c r="N231" s="61"/>
      <c r="O231" s="61"/>
      <c r="P231" s="61"/>
      <c r="Q231" s="51" t="s">
        <v>706</v>
      </c>
      <c r="R231" s="119"/>
      <c r="S231" s="77"/>
      <c r="T231" s="107" t="s">
        <v>214</v>
      </c>
      <c r="U231" s="78"/>
      <c r="V231" s="78"/>
      <c r="W231" s="101"/>
      <c r="X231" s="45"/>
      <c r="Y231" s="78"/>
      <c r="Z231" s="130" t="str">
        <f t="shared" si="77"/>
        <v>/* 테이블 : 수업신청 */ CREATE TABLE TB_LCTRE_REQST (</v>
      </c>
      <c r="AA231" s="125" t="str">
        <f t="shared" si="104"/>
        <v>UPDT_DT TIMESTAMP,</v>
      </c>
      <c r="AB231" s="125" t="str">
        <f t="shared" si="105"/>
        <v/>
      </c>
      <c r="AC231" s="125" t="str">
        <f t="shared" si="106"/>
        <v/>
      </c>
      <c r="AD231" s="125" t="str">
        <f t="shared" si="107"/>
        <v/>
      </c>
      <c r="AE231" s="125" t="str">
        <f t="shared" si="78"/>
        <v/>
      </c>
      <c r="AF231" s="125" t="str">
        <f t="shared" si="79"/>
        <v>COMMENT ON COLUMN TB_LCTRE_REQST.UPDT_DT IS '수정 일시' ;</v>
      </c>
      <c r="AG231" s="125" t="str">
        <f t="shared" si="108"/>
        <v>ALTER TABLE TB_LCTRE_REQST ALTER COLUMN UPDT_DT TYPE TIMESTAMP;</v>
      </c>
      <c r="AH231" s="125" t="str">
        <f t="shared" si="109"/>
        <v>ALTER TABLE TB_LCTRE_REQST ADD COLUMN UPDT_DT TIMESTAMP;</v>
      </c>
      <c r="AI231" s="125" t="str">
        <f t="shared" si="101"/>
        <v>ALTER TABLE TB_LCTRE_REQST DROP COLUMN UPDT_DT;</v>
      </c>
    </row>
    <row r="232" spans="2:35" ht="20.100000000000001" customHeight="1">
      <c r="B232" s="55">
        <v>227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11</v>
      </c>
      <c r="H232" s="97" t="s">
        <v>96</v>
      </c>
      <c r="I232" s="97" t="s">
        <v>82</v>
      </c>
      <c r="J232" s="73" t="s">
        <v>72</v>
      </c>
      <c r="K232" s="61"/>
      <c r="L232" s="61"/>
      <c r="M232" s="61"/>
      <c r="N232" s="61"/>
      <c r="O232" s="61"/>
      <c r="P232" s="61"/>
      <c r="Q232" s="51" t="s">
        <v>804</v>
      </c>
      <c r="R232" s="119" t="s">
        <v>522</v>
      </c>
      <c r="S232" s="82" t="s">
        <v>803</v>
      </c>
      <c r="T232" s="107" t="s">
        <v>213</v>
      </c>
      <c r="U232" s="78"/>
      <c r="V232" s="78"/>
      <c r="W232" s="101"/>
      <c r="X232" s="45"/>
      <c r="Y232" s="78"/>
      <c r="Z232" s="130" t="str">
        <f t="shared" si="77"/>
        <v>/* 테이블 : 수업신청 */ CREATE TABLE TB_LCTRE_REQST (</v>
      </c>
      <c r="AA232" s="125" t="str">
        <f t="shared" si="104"/>
        <v>DEL_YN BPCHAR(1) NOT NULL,</v>
      </c>
      <c r="AB232" s="125" t="str">
        <f t="shared" si="105"/>
        <v/>
      </c>
      <c r="AC232" s="125" t="str">
        <f t="shared" si="106"/>
        <v/>
      </c>
      <c r="AD232" s="125" t="str">
        <f t="shared" si="107"/>
        <v/>
      </c>
      <c r="AE232" s="125" t="str">
        <f t="shared" si="78"/>
        <v>ALTER TABLE TB_LCTRE_REQST ALTER COLUMN DEL_YN SET DEFAULT 'N'::bpchar;</v>
      </c>
      <c r="AF232" s="125" t="str">
        <f t="shared" si="79"/>
        <v>COMMENT ON COLUMN TB_LCTRE_REQST.DEL_YN IS '삭제 여부' ;</v>
      </c>
      <c r="AG232" s="125" t="str">
        <f t="shared" si="108"/>
        <v>ALTER TABLE TB_LCTRE_REQST ALTER COLUMN DEL_YN TYPE BPCHAR(1);</v>
      </c>
      <c r="AH232" s="125" t="str">
        <f t="shared" si="109"/>
        <v>ALTER TABLE TB_LCTRE_REQST ADD COLUMN DEL_YN BPCHAR(1) NOT NULL DEFAULT ''N'::bpchar';</v>
      </c>
      <c r="AI232" s="125" t="str">
        <f t="shared" si="101"/>
        <v>ALTER TABLE TB_LCTRE_REQST DROP COLUMN DEL_YN;</v>
      </c>
    </row>
    <row r="233" spans="2:35" ht="20.100000000000001" customHeight="1">
      <c r="B233" s="55">
        <v>228</v>
      </c>
      <c r="C233" s="26" t="s">
        <v>7</v>
      </c>
      <c r="D233" s="25" t="s">
        <v>11</v>
      </c>
      <c r="E233" s="10" t="s">
        <v>772</v>
      </c>
      <c r="F233" s="10" t="s">
        <v>779</v>
      </c>
      <c r="G233" s="92">
        <v>1</v>
      </c>
      <c r="H233" s="101" t="s">
        <v>773</v>
      </c>
      <c r="I233" s="101" t="s">
        <v>774</v>
      </c>
      <c r="J233" s="73" t="s">
        <v>72</v>
      </c>
      <c r="K233" s="45">
        <v>1</v>
      </c>
      <c r="L233" s="45"/>
      <c r="M233" s="45"/>
      <c r="N233" s="45"/>
      <c r="O233" s="45"/>
      <c r="P233" s="45"/>
      <c r="Q233" s="101" t="s">
        <v>172</v>
      </c>
      <c r="R233" s="92"/>
      <c r="S233" s="45"/>
      <c r="T233" s="101" t="s">
        <v>780</v>
      </c>
      <c r="U233" s="125" t="str">
        <f>"SEQ_"&amp;E233&amp;"_SN"</f>
        <v>SEQ_TB_LCTRE_REQST_DETAIL_SN</v>
      </c>
      <c r="V233" s="125"/>
      <c r="W233" s="101"/>
      <c r="X233" s="45"/>
      <c r="Y233" s="78"/>
      <c r="Z233" s="130" t="str">
        <f t="shared" si="77"/>
        <v>/* 테이블 : 수업신청상세 */ CREATE TABLE TB_LCTRE_REQST_DETAIL (</v>
      </c>
      <c r="AA233" s="125" t="str">
        <f t="shared" si="104"/>
        <v>LCTRE_REQST_DETAIL_SN INTEGER PRIMARY KEY,</v>
      </c>
      <c r="AB233" s="125" t="str">
        <f t="shared" si="105"/>
        <v/>
      </c>
      <c r="AC233" s="125" t="str">
        <f t="shared" si="106"/>
        <v>CREATE SEQUENCE SEQ_TB_LCTRE_REQST_DETAIL_SN START 100000;</v>
      </c>
      <c r="AD233" s="125" t="str">
        <f t="shared" si="107"/>
        <v>ALTER TABLE TB_LCTRE_REQST_DETAIL ALTER COLUMN LCTRE_REQST_DETAIL_SN SET DEFAULT NEXTVAL('SEQ_TB_LCTRE_REQST_DETAIL_SN');</v>
      </c>
      <c r="AE233" s="125" t="str">
        <f t="shared" si="78"/>
        <v/>
      </c>
      <c r="AF233" s="125" t="str">
        <f t="shared" si="79"/>
        <v>COMMENT ON COLUMN TB_LCTRE_REQST_DETAIL.LCTRE_REQST_DETAIL_SN IS '수업 신청 상세 일련번호' ;</v>
      </c>
      <c r="AG233" s="125" t="str">
        <f t="shared" si="108"/>
        <v>ALTER TABLE TB_LCTRE_REQST_DETAIL ALTER COLUMN LCTRE_REQST_DETAIL_SN TYPE INTEGER;</v>
      </c>
      <c r="AH233" s="125" t="str">
        <f t="shared" si="109"/>
        <v>ALTER TABLE TB_LCTRE_REQST_DETAIL ADD COLUMN LCTRE_REQST_DETAIL_SN INTEGER NOT NULL;</v>
      </c>
      <c r="AI233" s="125" t="str">
        <f t="shared" si="101"/>
        <v>ALTER TABLE TB_LCTRE_REQST_DETAIL DROP COLUMN LCTRE_REQST_DETAIL_SN;</v>
      </c>
    </row>
    <row r="234" spans="2:35" ht="20.100000000000001" customHeight="1">
      <c r="B234" s="135">
        <v>229</v>
      </c>
      <c r="C234" s="26" t="s">
        <v>7</v>
      </c>
      <c r="D234" s="25" t="s">
        <v>11</v>
      </c>
      <c r="E234" s="10" t="s">
        <v>772</v>
      </c>
      <c r="F234" s="10" t="s">
        <v>779</v>
      </c>
      <c r="G234" s="92">
        <v>2</v>
      </c>
      <c r="H234" s="101" t="s">
        <v>273</v>
      </c>
      <c r="I234" s="101" t="s">
        <v>272</v>
      </c>
      <c r="J234" s="73" t="s">
        <v>131</v>
      </c>
      <c r="K234" s="69"/>
      <c r="L234" s="69">
        <v>1</v>
      </c>
      <c r="M234" s="10" t="s">
        <v>258</v>
      </c>
      <c r="N234" s="101" t="s">
        <v>273</v>
      </c>
      <c r="O234" s="95" t="s">
        <v>539</v>
      </c>
      <c r="P234" s="95" t="s">
        <v>541</v>
      </c>
      <c r="Q234" s="101" t="s">
        <v>172</v>
      </c>
      <c r="R234" s="83"/>
      <c r="S234" s="81"/>
      <c r="T234" s="101" t="s">
        <v>318</v>
      </c>
      <c r="U234" s="78"/>
      <c r="V234" s="78"/>
      <c r="W234" s="101"/>
      <c r="X234" s="45"/>
      <c r="Y234" s="78"/>
      <c r="Z234" s="130" t="str">
        <f t="shared" si="77"/>
        <v>/* 테이블 : 수업신청상세 */ CREATE TABLE TB_LCTRE_REQST_DETAIL (</v>
      </c>
      <c r="AA234" s="125" t="str">
        <f t="shared" si="104"/>
        <v>LCTRE_REQST_SN INTEGER NOT NULL,</v>
      </c>
      <c r="AB234" s="125" t="str">
        <f t="shared" si="105"/>
        <v>ALTER TABLE TB_LCTRE_REQST_DETAIL ADD CONSTRAINT TB_LCTRE_REQST_DETAIL_FKEY1 FOREIGN KEY(LCTRE_REQST_SN) REFERENCES TB_LCTRE_REQST(LCTRE_REQST_SN) ON UPDATE CASCADE ON DELETE CASCADE;</v>
      </c>
      <c r="AC234" s="125" t="str">
        <f t="shared" si="106"/>
        <v/>
      </c>
      <c r="AD234" s="125" t="str">
        <f t="shared" si="107"/>
        <v/>
      </c>
      <c r="AE234" s="125" t="str">
        <f t="shared" si="78"/>
        <v/>
      </c>
      <c r="AF234" s="125" t="str">
        <f t="shared" si="79"/>
        <v>COMMENT ON COLUMN TB_LCTRE_REQST_DETAIL.LCTRE_REQST_SN IS '수업 신청 일련번호' ;</v>
      </c>
      <c r="AG234" s="125" t="str">
        <f t="shared" si="108"/>
        <v>ALTER TABLE TB_LCTRE_REQST_DETAIL ALTER COLUMN LCTRE_REQST_SN TYPE INTEGER;</v>
      </c>
      <c r="AH234" s="125" t="str">
        <f t="shared" si="109"/>
        <v>ALTER TABLE TB_LCTRE_REQST_DETAIL ADD COLUMN LCTRE_REQST_SN INTEGER NOT NULL;</v>
      </c>
      <c r="AI234" s="125" t="str">
        <f t="shared" si="101"/>
        <v>ALTER TABLE TB_LCTRE_REQST_DETAIL DROP COLUMN LCTRE_REQST_SN;</v>
      </c>
    </row>
    <row r="235" spans="2:35" ht="20.100000000000001" customHeight="1">
      <c r="B235" s="55">
        <v>230</v>
      </c>
      <c r="C235" s="26" t="s">
        <v>7</v>
      </c>
      <c r="D235" s="25" t="s">
        <v>11</v>
      </c>
      <c r="E235" s="10" t="s">
        <v>772</v>
      </c>
      <c r="F235" s="10" t="s">
        <v>779</v>
      </c>
      <c r="G235" s="92">
        <v>3</v>
      </c>
      <c r="H235" s="101" t="s">
        <v>185</v>
      </c>
      <c r="I235" s="101" t="s">
        <v>186</v>
      </c>
      <c r="J235" s="73" t="s">
        <v>131</v>
      </c>
      <c r="K235" s="69"/>
      <c r="L235" s="69">
        <v>2</v>
      </c>
      <c r="M235" s="13" t="s">
        <v>154</v>
      </c>
      <c r="N235" s="101" t="s">
        <v>185</v>
      </c>
      <c r="O235" s="95" t="s">
        <v>539</v>
      </c>
      <c r="P235" s="95" t="s">
        <v>541</v>
      </c>
      <c r="Q235" s="101" t="s">
        <v>172</v>
      </c>
      <c r="R235" s="83"/>
      <c r="S235" s="81"/>
      <c r="T235" s="101" t="s">
        <v>192</v>
      </c>
      <c r="U235" s="78"/>
      <c r="V235" s="78"/>
      <c r="W235" s="101"/>
      <c r="X235" s="45"/>
      <c r="Y235" s="78"/>
      <c r="Z235" s="130" t="str">
        <f t="shared" si="77"/>
        <v>/* 테이블 : 수업신청상세 */ CREATE TABLE TB_LCTRE_REQST_DETAIL (</v>
      </c>
      <c r="AA235" s="125" t="str">
        <f t="shared" si="104"/>
        <v>CLASS_DETAIL_SN INTEGER NOT NULL,</v>
      </c>
      <c r="AB235" s="125" t="str">
        <f t="shared" si="105"/>
        <v>ALTER TABLE TB_LCTRE_REQST_DETAIL ADD CONSTRAINT TB_LCTRE_REQST_DETAIL_FKEY2 FOREIGN KEY(CLASS_DETAIL_SN) REFERENCES TB_CLASS_DETAIL(CLASS_DETAIL_SN) ON UPDATE CASCADE ON DELETE CASCADE;</v>
      </c>
      <c r="AC235" s="125" t="str">
        <f t="shared" si="106"/>
        <v/>
      </c>
      <c r="AD235" s="125" t="str">
        <f t="shared" si="107"/>
        <v/>
      </c>
      <c r="AE235" s="125" t="str">
        <f t="shared" si="78"/>
        <v/>
      </c>
      <c r="AF235" s="125" t="str">
        <f t="shared" si="79"/>
        <v>COMMENT ON COLUMN TB_LCTRE_REQST_DETAIL.CLASS_DETAIL_SN IS '클래스 상세 일련번호' ;</v>
      </c>
      <c r="AG235" s="125" t="str">
        <f t="shared" si="108"/>
        <v>ALTER TABLE TB_LCTRE_REQST_DETAIL ALTER COLUMN CLASS_DETAIL_SN TYPE INTEGER;</v>
      </c>
      <c r="AH235" s="125" t="str">
        <f t="shared" si="109"/>
        <v>ALTER TABLE TB_LCTRE_REQST_DETAIL ADD COLUMN CLASS_DETAIL_SN INTEGER NOT NULL;</v>
      </c>
      <c r="AI235" s="125" t="str">
        <f t="shared" si="101"/>
        <v>ALTER TABLE TB_LCTRE_REQST_DETAIL DROP COLUMN CLASS_DETAIL_SN;</v>
      </c>
    </row>
    <row r="236" spans="2:35" ht="20.100000000000001" customHeight="1">
      <c r="B236" s="55">
        <v>231</v>
      </c>
      <c r="C236" s="26" t="s">
        <v>7</v>
      </c>
      <c r="D236" s="25" t="s">
        <v>11</v>
      </c>
      <c r="E236" s="10" t="s">
        <v>772</v>
      </c>
      <c r="F236" s="10" t="s">
        <v>779</v>
      </c>
      <c r="G236" s="92">
        <v>4</v>
      </c>
      <c r="H236" s="98" t="s">
        <v>275</v>
      </c>
      <c r="I236" s="97" t="s">
        <v>274</v>
      </c>
      <c r="J236" s="73"/>
      <c r="K236" s="45"/>
      <c r="L236" s="45"/>
      <c r="M236" s="78"/>
      <c r="N236" s="95"/>
      <c r="O236" s="95"/>
      <c r="P236" s="95"/>
      <c r="Q236" s="100" t="s">
        <v>521</v>
      </c>
      <c r="R236" s="119" t="s">
        <v>530</v>
      </c>
      <c r="S236" s="45"/>
      <c r="T236" s="97" t="s">
        <v>319</v>
      </c>
      <c r="U236" s="78"/>
      <c r="V236" s="78"/>
      <c r="W236" s="116" t="s">
        <v>781</v>
      </c>
      <c r="X236" s="45"/>
      <c r="Y236" s="78"/>
      <c r="Z236" s="130" t="str">
        <f t="shared" si="77"/>
        <v>/* 테이블 : 수업신청상세 */ CREATE TABLE TB_LCTRE_REQST_DETAIL (</v>
      </c>
      <c r="AA236" s="125" t="str">
        <f t="shared" si="104"/>
        <v>CLASS_DETAIL_ANSWER VARCHAR(2000),</v>
      </c>
      <c r="AB236" s="125" t="str">
        <f t="shared" si="105"/>
        <v/>
      </c>
      <c r="AC236" s="125" t="str">
        <f t="shared" si="106"/>
        <v/>
      </c>
      <c r="AD236" s="125" t="str">
        <f t="shared" si="107"/>
        <v/>
      </c>
      <c r="AE236" s="125" t="str">
        <f t="shared" si="78"/>
        <v/>
      </c>
      <c r="AF236" s="125" t="str">
        <f t="shared" si="79"/>
        <v>COMMENT ON COLUMN TB_LCTRE_REQST_DETAIL.CLASS_DETAIL_ANSWER IS '클래스 상세 답변' ;</v>
      </c>
      <c r="AG236" s="125" t="str">
        <f t="shared" si="108"/>
        <v>ALTER TABLE TB_LCTRE_REQST_DETAIL ALTER COLUMN CLASS_DETAIL_ANSWER TYPE VARCHAR(2000);</v>
      </c>
      <c r="AH236" s="125" t="str">
        <f t="shared" si="109"/>
        <v>ALTER TABLE TB_LCTRE_REQST_DETAIL ADD COLUMN CLASS_DETAIL_ANSWER VARCHAR(2000);</v>
      </c>
      <c r="AI236" s="125" t="str">
        <f t="shared" si="101"/>
        <v>ALTER TABLE TB_LCTRE_REQST_DETAIL DROP COLUMN CLASS_DETAIL_ANSWER;</v>
      </c>
    </row>
    <row r="237" spans="2:35" ht="20.100000000000001" customHeight="1">
      <c r="B237" s="55">
        <v>232</v>
      </c>
      <c r="C237" s="26" t="s">
        <v>7</v>
      </c>
      <c r="D237" s="25" t="s">
        <v>11</v>
      </c>
      <c r="E237" s="10" t="s">
        <v>772</v>
      </c>
      <c r="F237" s="10" t="s">
        <v>779</v>
      </c>
      <c r="G237" s="92">
        <v>5</v>
      </c>
      <c r="H237" s="97" t="s">
        <v>107</v>
      </c>
      <c r="I237" s="51" t="s">
        <v>76</v>
      </c>
      <c r="J237" s="73"/>
      <c r="K237" s="61"/>
      <c r="L237" s="61"/>
      <c r="M237" s="12"/>
      <c r="N237" s="98"/>
      <c r="O237" s="95"/>
      <c r="P237" s="95"/>
      <c r="Q237" s="100" t="s">
        <v>521</v>
      </c>
      <c r="R237" s="119" t="s">
        <v>526</v>
      </c>
      <c r="S237" s="80"/>
      <c r="T237" s="107" t="s">
        <v>219</v>
      </c>
      <c r="U237" s="78"/>
      <c r="V237" s="78"/>
      <c r="W237" s="101"/>
      <c r="X237" s="45"/>
      <c r="Y237" s="78"/>
      <c r="Z237" s="130" t="str">
        <f t="shared" si="77"/>
        <v>/* 테이블 : 수업신청상세 */ CREATE TABLE TB_LCTRE_REQST_DETAIL (</v>
      </c>
      <c r="AA237" s="125" t="str">
        <f t="shared" si="104"/>
        <v>REGISTER_ID VARCHAR(50),</v>
      </c>
      <c r="AB237" s="125" t="str">
        <f t="shared" si="105"/>
        <v/>
      </c>
      <c r="AC237" s="125" t="str">
        <f t="shared" si="106"/>
        <v/>
      </c>
      <c r="AD237" s="125" t="str">
        <f t="shared" si="107"/>
        <v/>
      </c>
      <c r="AE237" s="125" t="str">
        <f t="shared" si="78"/>
        <v/>
      </c>
      <c r="AF237" s="125" t="str">
        <f t="shared" si="79"/>
        <v>COMMENT ON COLUMN TB_LCTRE_REQST_DETAIL.REGISTER_ID IS '등록자 ID' ;</v>
      </c>
      <c r="AG237" s="125" t="str">
        <f t="shared" si="108"/>
        <v>ALTER TABLE TB_LCTRE_REQST_DETAIL ALTER COLUMN REGISTER_ID TYPE VARCHAR(50);</v>
      </c>
      <c r="AH237" s="125" t="str">
        <f t="shared" si="109"/>
        <v>ALTER TABLE TB_LCTRE_REQST_DETAIL ADD COLUMN REGISTER_ID VARCHAR(50);</v>
      </c>
      <c r="AI237" s="125" t="str">
        <f t="shared" si="101"/>
        <v>ALTER TABLE TB_LCTRE_REQST_DETAIL DROP COLUMN REGISTER_ID;</v>
      </c>
    </row>
    <row r="238" spans="2:35" ht="20.100000000000001" customHeight="1">
      <c r="B238" s="135">
        <v>233</v>
      </c>
      <c r="C238" s="26" t="s">
        <v>7</v>
      </c>
      <c r="D238" s="25" t="s">
        <v>11</v>
      </c>
      <c r="E238" s="10" t="s">
        <v>772</v>
      </c>
      <c r="F238" s="10" t="s">
        <v>779</v>
      </c>
      <c r="G238" s="92">
        <v>6</v>
      </c>
      <c r="H238" s="97" t="s">
        <v>91</v>
      </c>
      <c r="I238" s="51" t="s">
        <v>77</v>
      </c>
      <c r="J238" s="73" t="s">
        <v>72</v>
      </c>
      <c r="K238" s="67"/>
      <c r="L238" s="67"/>
      <c r="M238" s="77"/>
      <c r="N238" s="77"/>
      <c r="O238" s="77"/>
      <c r="P238" s="77"/>
      <c r="Q238" s="56" t="s">
        <v>106</v>
      </c>
      <c r="R238" s="119" t="s">
        <v>527</v>
      </c>
      <c r="S238" s="80"/>
      <c r="T238" s="107" t="s">
        <v>218</v>
      </c>
      <c r="U238" s="78"/>
      <c r="V238" s="78"/>
      <c r="W238" s="116" t="s">
        <v>496</v>
      </c>
      <c r="X238" s="45"/>
      <c r="Y238" s="78"/>
      <c r="Z238" s="130" t="str">
        <f t="shared" si="77"/>
        <v>/* 테이블 : 수업신청상세 */ CREATE TABLE TB_LCTRE_REQST_DETAIL (</v>
      </c>
      <c r="AA238" s="125" t="str">
        <f t="shared" ref="AA238:AA243" si="110">H238&amp;" "&amp;Q238&amp;R238&amp;IF(ISBLANK(K238),""," PRIMARY KEY")&amp;IF(AND(ISBLANK(K238),J238="Y")," NOT NULL","")&amp;","</f>
        <v>REGISTER_IP VARCHAR(100) NOT NULL,</v>
      </c>
      <c r="AB238" s="125" t="str">
        <f t="shared" ref="AB238:AB243" si="111">IF(ISBLANK(L238),"","ALTER TABLE " &amp; E238 &amp; " ADD CONSTRAINT " &amp; E238 &amp; "_FKEY" &amp; L238 &amp;  " FOREIGN KEY(" &amp;H238 &amp; ") REFERENCES " &amp; M238 &amp; "(" &amp; N238 &amp; ") "&amp;O238&amp;" "&amp;P238&amp;";")</f>
        <v/>
      </c>
      <c r="AC238" s="125" t="str">
        <f t="shared" ref="AC238:AC243" si="112">IF(ISBLANK(U238),"","CREATE SEQUENCE "&amp;U238&amp;" START 100000;")</f>
        <v/>
      </c>
      <c r="AD238" s="125" t="str">
        <f t="shared" si="107"/>
        <v/>
      </c>
      <c r="AE238" s="125" t="str">
        <f t="shared" si="78"/>
        <v/>
      </c>
      <c r="AF238" s="125" t="str">
        <f t="shared" si="79"/>
        <v>COMMENT ON COLUMN TB_LCTRE_REQST_DETAIL.REGISTER_IP IS '등록자 IP' ;</v>
      </c>
      <c r="AG238" s="125" t="str">
        <f t="shared" si="108"/>
        <v>ALTER TABLE TB_LCTRE_REQST_DETAIL ALTER COLUMN REGISTER_IP TYPE VARCHAR(100);</v>
      </c>
      <c r="AH238" s="125" t="str">
        <f t="shared" si="109"/>
        <v>ALTER TABLE TB_LCTRE_REQST_DETAIL ADD COLUMN REGISTER_IP VARCHAR(100) NOT NULL;</v>
      </c>
      <c r="AI238" s="125" t="str">
        <f t="shared" si="101"/>
        <v>ALTER TABLE TB_LCTRE_REQST_DETAIL DROP COLUMN REGISTER_IP;</v>
      </c>
    </row>
    <row r="239" spans="2:35" ht="20.100000000000001" customHeight="1">
      <c r="B239" s="55">
        <v>234</v>
      </c>
      <c r="C239" s="26" t="s">
        <v>7</v>
      </c>
      <c r="D239" s="25" t="s">
        <v>11</v>
      </c>
      <c r="E239" s="10" t="s">
        <v>772</v>
      </c>
      <c r="F239" s="10" t="s">
        <v>779</v>
      </c>
      <c r="G239" s="92">
        <v>7</v>
      </c>
      <c r="H239" s="97" t="s">
        <v>92</v>
      </c>
      <c r="I239" s="96" t="s">
        <v>78</v>
      </c>
      <c r="J239" s="73" t="s">
        <v>72</v>
      </c>
      <c r="K239" s="52"/>
      <c r="L239" s="52"/>
      <c r="M239" s="52"/>
      <c r="N239" s="52"/>
      <c r="O239" s="52"/>
      <c r="P239" s="52"/>
      <c r="Q239" s="51" t="s">
        <v>706</v>
      </c>
      <c r="R239" s="119"/>
      <c r="S239" s="80"/>
      <c r="T239" s="107" t="s">
        <v>217</v>
      </c>
      <c r="U239" s="78"/>
      <c r="V239" s="78"/>
      <c r="W239" s="101"/>
      <c r="X239" s="45"/>
      <c r="Y239" s="78"/>
      <c r="Z239" s="130" t="str">
        <f t="shared" si="77"/>
        <v>/* 테이블 : 수업신청상세 */ CREATE TABLE TB_LCTRE_REQST_DETAIL (</v>
      </c>
      <c r="AA239" s="125" t="str">
        <f t="shared" si="110"/>
        <v>REG_DT TIMESTAMP NOT NULL,</v>
      </c>
      <c r="AB239" s="125" t="str">
        <f t="shared" si="111"/>
        <v/>
      </c>
      <c r="AC239" s="125" t="str">
        <f t="shared" si="112"/>
        <v/>
      </c>
      <c r="AD239" s="125" t="str">
        <f t="shared" si="107"/>
        <v/>
      </c>
      <c r="AE239" s="125" t="str">
        <f t="shared" si="78"/>
        <v/>
      </c>
      <c r="AF239" s="125" t="str">
        <f t="shared" si="79"/>
        <v>COMMENT ON COLUMN TB_LCTRE_REQST_DETAIL.REG_DT IS '등록 일시' ;</v>
      </c>
      <c r="AG239" s="125" t="str">
        <f t="shared" si="108"/>
        <v>ALTER TABLE TB_LCTRE_REQST_DETAIL ALTER COLUMN REG_DT TYPE TIMESTAMP;</v>
      </c>
      <c r="AH239" s="125" t="str">
        <f t="shared" si="109"/>
        <v>ALTER TABLE TB_LCTRE_REQST_DETAIL ADD COLUMN REG_DT TIMESTAMP NOT NULL;</v>
      </c>
      <c r="AI239" s="125" t="str">
        <f t="shared" si="101"/>
        <v>ALTER TABLE TB_LCTRE_REQST_DETAIL DROP COLUMN REG_DT;</v>
      </c>
    </row>
    <row r="240" spans="2:35" ht="20.100000000000001" customHeight="1">
      <c r="B240" s="55">
        <v>235</v>
      </c>
      <c r="C240" s="26" t="s">
        <v>7</v>
      </c>
      <c r="D240" s="25" t="s">
        <v>11</v>
      </c>
      <c r="E240" s="10" t="s">
        <v>772</v>
      </c>
      <c r="F240" s="10" t="s">
        <v>779</v>
      </c>
      <c r="G240" s="92">
        <v>8</v>
      </c>
      <c r="H240" s="97" t="s">
        <v>93</v>
      </c>
      <c r="I240" s="96" t="s">
        <v>80</v>
      </c>
      <c r="J240" s="73" t="s">
        <v>72</v>
      </c>
      <c r="K240" s="52"/>
      <c r="L240" s="52"/>
      <c r="M240" s="52"/>
      <c r="N240" s="52"/>
      <c r="O240" s="52"/>
      <c r="P240" s="52"/>
      <c r="Q240" s="100" t="s">
        <v>521</v>
      </c>
      <c r="R240" s="119" t="s">
        <v>526</v>
      </c>
      <c r="S240" s="80"/>
      <c r="T240" s="107" t="s">
        <v>216</v>
      </c>
      <c r="U240" s="78"/>
      <c r="V240" s="78"/>
      <c r="W240" s="101"/>
      <c r="X240" s="45"/>
      <c r="Y240" s="78"/>
      <c r="Z240" s="130" t="str">
        <f t="shared" si="77"/>
        <v>/* 테이블 : 수업신청상세 */ CREATE TABLE TB_LCTRE_REQST_DETAIL (</v>
      </c>
      <c r="AA240" s="125" t="str">
        <f t="shared" si="110"/>
        <v>UPDUSR_ID VARCHAR(50) NOT NULL,</v>
      </c>
      <c r="AB240" s="125" t="str">
        <f t="shared" si="111"/>
        <v/>
      </c>
      <c r="AC240" s="125" t="str">
        <f t="shared" si="112"/>
        <v/>
      </c>
      <c r="AD240" s="125" t="str">
        <f t="shared" si="107"/>
        <v/>
      </c>
      <c r="AE240" s="125" t="str">
        <f t="shared" si="78"/>
        <v/>
      </c>
      <c r="AF240" s="125" t="str">
        <f t="shared" si="79"/>
        <v>COMMENT ON COLUMN TB_LCTRE_REQST_DETAIL.UPDUSR_ID IS '수정자 ID' ;</v>
      </c>
      <c r="AG240" s="125" t="str">
        <f t="shared" si="108"/>
        <v>ALTER TABLE TB_LCTRE_REQST_DETAIL ALTER COLUMN UPDUSR_ID TYPE VARCHAR(50);</v>
      </c>
      <c r="AH240" s="125" t="str">
        <f t="shared" si="109"/>
        <v>ALTER TABLE TB_LCTRE_REQST_DETAIL ADD COLUMN UPDUSR_ID VARCHAR(50) NOT NULL;</v>
      </c>
      <c r="AI240" s="125" t="str">
        <f t="shared" si="101"/>
        <v>ALTER TABLE TB_LCTRE_REQST_DETAIL DROP COLUMN UPDUSR_ID;</v>
      </c>
    </row>
    <row r="241" spans="2:35" ht="20.100000000000001" customHeight="1">
      <c r="B241" s="55">
        <v>236</v>
      </c>
      <c r="C241" s="26" t="s">
        <v>7</v>
      </c>
      <c r="D241" s="25" t="s">
        <v>11</v>
      </c>
      <c r="E241" s="10" t="s">
        <v>772</v>
      </c>
      <c r="F241" s="10" t="s">
        <v>779</v>
      </c>
      <c r="G241" s="92">
        <v>9</v>
      </c>
      <c r="H241" s="97" t="s">
        <v>94</v>
      </c>
      <c r="I241" s="96" t="s">
        <v>79</v>
      </c>
      <c r="J241" s="52"/>
      <c r="K241" s="52"/>
      <c r="L241" s="52"/>
      <c r="M241" s="79"/>
      <c r="N241" s="79"/>
      <c r="O241" s="79"/>
      <c r="P241" s="79"/>
      <c r="Q241" s="56" t="s">
        <v>106</v>
      </c>
      <c r="R241" s="119" t="s">
        <v>527</v>
      </c>
      <c r="S241" s="80"/>
      <c r="T241" s="107" t="s">
        <v>215</v>
      </c>
      <c r="U241" s="78"/>
      <c r="V241" s="78"/>
      <c r="W241" s="116" t="s">
        <v>496</v>
      </c>
      <c r="X241" s="45"/>
      <c r="Y241" s="78"/>
      <c r="Z241" s="130" t="str">
        <f t="shared" si="77"/>
        <v>/* 테이블 : 수업신청상세 */ CREATE TABLE TB_LCTRE_REQST_DETAIL (</v>
      </c>
      <c r="AA241" s="125" t="str">
        <f t="shared" si="110"/>
        <v>UPDUSR_IP VARCHAR(100),</v>
      </c>
      <c r="AB241" s="125" t="str">
        <f t="shared" si="111"/>
        <v/>
      </c>
      <c r="AC241" s="125" t="str">
        <f t="shared" si="112"/>
        <v/>
      </c>
      <c r="AD241" s="125" t="str">
        <f t="shared" si="107"/>
        <v/>
      </c>
      <c r="AE241" s="125" t="str">
        <f t="shared" si="78"/>
        <v/>
      </c>
      <c r="AF241" s="125" t="str">
        <f t="shared" si="79"/>
        <v>COMMENT ON COLUMN TB_LCTRE_REQST_DETAIL.UPDUSR_IP IS '수정자 IP' ;</v>
      </c>
      <c r="AG241" s="125" t="str">
        <f t="shared" si="108"/>
        <v>ALTER TABLE TB_LCTRE_REQST_DETAIL ALTER COLUMN UPDUSR_IP TYPE VARCHAR(100);</v>
      </c>
      <c r="AH241" s="125" t="str">
        <f t="shared" si="109"/>
        <v>ALTER TABLE TB_LCTRE_REQST_DETAIL ADD COLUMN UPDUSR_IP VARCHAR(100);</v>
      </c>
      <c r="AI241" s="125" t="str">
        <f t="shared" si="101"/>
        <v>ALTER TABLE TB_LCTRE_REQST_DETAIL DROP COLUMN UPDUSR_IP;</v>
      </c>
    </row>
    <row r="242" spans="2:35" ht="20.100000000000001" customHeight="1">
      <c r="B242" s="135">
        <v>237</v>
      </c>
      <c r="C242" s="26" t="s">
        <v>7</v>
      </c>
      <c r="D242" s="25" t="s">
        <v>11</v>
      </c>
      <c r="E242" s="10" t="s">
        <v>772</v>
      </c>
      <c r="F242" s="10" t="s">
        <v>779</v>
      </c>
      <c r="G242" s="92">
        <v>10</v>
      </c>
      <c r="H242" s="98" t="s">
        <v>95</v>
      </c>
      <c r="I242" s="97" t="s">
        <v>81</v>
      </c>
      <c r="J242" s="52"/>
      <c r="K242" s="52"/>
      <c r="L242" s="52"/>
      <c r="M242" s="52"/>
      <c r="N242" s="52"/>
      <c r="O242" s="52"/>
      <c r="P242" s="52"/>
      <c r="Q242" s="51" t="s">
        <v>706</v>
      </c>
      <c r="R242" s="119"/>
      <c r="S242" s="77"/>
      <c r="T242" s="107" t="s">
        <v>214</v>
      </c>
      <c r="U242" s="78"/>
      <c r="V242" s="78"/>
      <c r="W242" s="101"/>
      <c r="X242" s="45"/>
      <c r="Y242" s="78"/>
      <c r="Z242" s="130" t="str">
        <f t="shared" si="77"/>
        <v>/* 테이블 : 수업신청상세 */ CREATE TABLE TB_LCTRE_REQST_DETAIL (</v>
      </c>
      <c r="AA242" s="125" t="str">
        <f t="shared" si="110"/>
        <v>UPDT_DT TIMESTAMP,</v>
      </c>
      <c r="AB242" s="125" t="str">
        <f t="shared" si="111"/>
        <v/>
      </c>
      <c r="AC242" s="125" t="str">
        <f t="shared" si="112"/>
        <v/>
      </c>
      <c r="AD242" s="125" t="str">
        <f t="shared" ref="AD242:AD243" si="113">IF(ISBLANK(U242),"","ALTER TABLE "&amp;E242&amp;" ALTER COLUMN "&amp;H242&amp;" SET DEFAULT NEXTVAL('"&amp;U242&amp;"');")</f>
        <v/>
      </c>
      <c r="AE242" s="125" t="str">
        <f t="shared" si="78"/>
        <v/>
      </c>
      <c r="AF242" s="125" t="str">
        <f t="shared" si="79"/>
        <v>COMMENT ON COLUMN TB_LCTRE_REQST_DETAIL.UPDT_DT IS '수정 일시' ;</v>
      </c>
      <c r="AG242" s="125" t="str">
        <f t="shared" ref="AG242:AG243" si="114">"ALTER TABLE "&amp;$E242&amp;" ALTER COLUMN "&amp;$H242&amp;" TYPE "&amp;$Q242&amp;IF(ISBLANK(R242),"",R242)&amp;";"</f>
        <v>ALTER TABLE TB_LCTRE_REQST_DETAIL ALTER COLUMN UPDT_DT TYPE TIMESTAMP;</v>
      </c>
      <c r="AH242" s="125" t="str">
        <f t="shared" ref="AH242:AH243" si="115">"ALTER TABLE "&amp;$E242&amp;" ADD COLUMN "&amp;$H242&amp;" "&amp;$Q242&amp;IF(ISBLANK(R242),"",$R242)&amp;IF(ISBLANK($J242),""," NOT NULL")&amp;IF(ISBLANK($S242),""," DEFAULT '" &amp; $S242 &amp; "'") &amp; ";"</f>
        <v>ALTER TABLE TB_LCTRE_REQST_DETAIL ADD COLUMN UPDT_DT TIMESTAMP;</v>
      </c>
      <c r="AI242" s="125" t="str">
        <f t="shared" si="101"/>
        <v>ALTER TABLE TB_LCTRE_REQST_DETAIL DROP COLUMN UPDT_DT;</v>
      </c>
    </row>
    <row r="243" spans="2:35" ht="20.100000000000001" customHeight="1">
      <c r="B243" s="55">
        <v>238</v>
      </c>
      <c r="C243" s="26" t="s">
        <v>7</v>
      </c>
      <c r="D243" s="25" t="s">
        <v>11</v>
      </c>
      <c r="E243" s="10" t="s">
        <v>772</v>
      </c>
      <c r="F243" s="10" t="s">
        <v>779</v>
      </c>
      <c r="G243" s="92">
        <v>11</v>
      </c>
      <c r="H243" s="97" t="s">
        <v>96</v>
      </c>
      <c r="I243" s="97" t="s">
        <v>82</v>
      </c>
      <c r="J243" s="61"/>
      <c r="K243" s="61"/>
      <c r="L243" s="61"/>
      <c r="M243" s="61"/>
      <c r="N243" s="61"/>
      <c r="O243" s="61"/>
      <c r="P243" s="61"/>
      <c r="Q243" s="51" t="s">
        <v>804</v>
      </c>
      <c r="R243" s="119" t="s">
        <v>522</v>
      </c>
      <c r="S243" s="82" t="s">
        <v>803</v>
      </c>
      <c r="T243" s="107" t="s">
        <v>213</v>
      </c>
      <c r="U243" s="78"/>
      <c r="V243" s="78"/>
      <c r="W243" s="101"/>
      <c r="X243" s="45"/>
      <c r="Y243" s="78"/>
      <c r="Z243" s="130" t="str">
        <f t="shared" si="77"/>
        <v>/* 테이블 : 수업신청상세 */ CREATE TABLE TB_LCTRE_REQST_DETAIL (</v>
      </c>
      <c r="AA243" s="125" t="str">
        <f t="shared" si="110"/>
        <v>DEL_YN BPCHAR(1),</v>
      </c>
      <c r="AB243" s="125" t="str">
        <f t="shared" si="111"/>
        <v/>
      </c>
      <c r="AC243" s="125" t="str">
        <f t="shared" si="112"/>
        <v/>
      </c>
      <c r="AD243" s="125" t="str">
        <f t="shared" si="113"/>
        <v/>
      </c>
      <c r="AE243" s="125" t="str">
        <f t="shared" si="78"/>
        <v>ALTER TABLE TB_LCTRE_REQST_DETAIL ALTER COLUMN DEL_YN SET DEFAULT 'N'::bpchar;</v>
      </c>
      <c r="AF243" s="125" t="str">
        <f t="shared" si="79"/>
        <v>COMMENT ON COLUMN TB_LCTRE_REQST_DETAIL.DEL_YN IS '삭제 여부' ;</v>
      </c>
      <c r="AG243" s="125" t="str">
        <f t="shared" si="114"/>
        <v>ALTER TABLE TB_LCTRE_REQST_DETAIL ALTER COLUMN DEL_YN TYPE BPCHAR(1);</v>
      </c>
      <c r="AH243" s="125" t="str">
        <f t="shared" si="115"/>
        <v>ALTER TABLE TB_LCTRE_REQST_DETAIL ADD COLUMN DEL_YN BPCHAR(1) DEFAULT ''N'::bpchar';</v>
      </c>
      <c r="AI243" s="125" t="str">
        <f t="shared" si="101"/>
        <v>ALTER TABLE TB_LCTRE_REQST_DETAIL DROP COLUMN DEL_YN;</v>
      </c>
    </row>
    <row r="244" spans="2:35" ht="20.100000000000001" customHeight="1">
      <c r="B244" s="55">
        <v>239</v>
      </c>
      <c r="C244" s="26" t="s">
        <v>7</v>
      </c>
      <c r="D244" s="26" t="s">
        <v>16</v>
      </c>
      <c r="E244" s="10" t="s">
        <v>32</v>
      </c>
      <c r="F244" s="10" t="s">
        <v>16</v>
      </c>
      <c r="G244" s="92">
        <v>1</v>
      </c>
      <c r="H244" s="97" t="s">
        <v>282</v>
      </c>
      <c r="I244" s="96" t="s">
        <v>277</v>
      </c>
      <c r="J244" s="73" t="s">
        <v>72</v>
      </c>
      <c r="K244" s="45">
        <v>1</v>
      </c>
      <c r="L244" s="52"/>
      <c r="M244" s="52"/>
      <c r="N244" s="52"/>
      <c r="O244" s="52"/>
      <c r="P244" s="52"/>
      <c r="Q244" s="56" t="s">
        <v>229</v>
      </c>
      <c r="R244" s="118"/>
      <c r="S244" s="80"/>
      <c r="T244" s="107" t="s">
        <v>288</v>
      </c>
      <c r="U244" s="125" t="str">
        <f>"SEQ_"&amp;E244&amp;"_SN"</f>
        <v>SEQ_TB_BBS_SN</v>
      </c>
      <c r="V244" s="125"/>
      <c r="W244" s="101"/>
      <c r="X244" s="45"/>
      <c r="Y244" s="78"/>
      <c r="Z244" s="130" t="str">
        <f t="shared" si="77"/>
        <v>/* 테이블 : 게시판 */ CREATE TABLE TB_BBS (</v>
      </c>
      <c r="AA244" s="125" t="str">
        <f t="shared" si="54"/>
        <v>BBS_SN INTEGER PRIMARY KEY,</v>
      </c>
      <c r="AB244" s="125" t="str">
        <f t="shared" si="52"/>
        <v/>
      </c>
      <c r="AC244" s="125" t="str">
        <f t="shared" si="53"/>
        <v>CREATE SEQUENCE SEQ_TB_BBS_SN START 100000;</v>
      </c>
      <c r="AD244" s="125" t="str">
        <f t="shared" si="98"/>
        <v>ALTER TABLE TB_BBS ALTER COLUMN BBS_SN SET DEFAULT NEXTVAL('SEQ_TB_BBS_SN');</v>
      </c>
      <c r="AE244" s="125" t="str">
        <f t="shared" si="78"/>
        <v/>
      </c>
      <c r="AF244" s="125" t="str">
        <f t="shared" si="79"/>
        <v>COMMENT ON COLUMN TB_BBS.BBS_SN IS '게시판 일련번호' ;</v>
      </c>
      <c r="AG244" s="125" t="str">
        <f t="shared" si="99"/>
        <v>ALTER TABLE TB_BBS ALTER COLUMN BBS_SN TYPE INTEGER;</v>
      </c>
      <c r="AH244" s="125" t="str">
        <f t="shared" si="100"/>
        <v>ALTER TABLE TB_BBS ADD COLUMN BBS_SN INTEGER NOT NULL;</v>
      </c>
      <c r="AI244" s="125" t="str">
        <f t="shared" si="101"/>
        <v>ALTER TABLE TB_BBS DROP COLUMN BBS_SN;</v>
      </c>
    </row>
    <row r="245" spans="2:35" ht="20.100000000000001" customHeight="1">
      <c r="B245" s="55">
        <v>240</v>
      </c>
      <c r="C245" s="26" t="s">
        <v>7</v>
      </c>
      <c r="D245" s="26" t="s">
        <v>16</v>
      </c>
      <c r="E245" s="10" t="s">
        <v>32</v>
      </c>
      <c r="F245" s="10" t="s">
        <v>16</v>
      </c>
      <c r="G245" s="92">
        <v>2</v>
      </c>
      <c r="H245" s="97" t="s">
        <v>283</v>
      </c>
      <c r="I245" s="96" t="s">
        <v>285</v>
      </c>
      <c r="J245" s="52" t="s">
        <v>276</v>
      </c>
      <c r="K245" s="52"/>
      <c r="L245" s="52"/>
      <c r="M245" s="79"/>
      <c r="N245" s="79"/>
      <c r="O245" s="79"/>
      <c r="P245" s="79"/>
      <c r="Q245" s="100" t="s">
        <v>106</v>
      </c>
      <c r="R245" s="119" t="s">
        <v>526</v>
      </c>
      <c r="S245" s="80"/>
      <c r="T245" s="107" t="s">
        <v>289</v>
      </c>
      <c r="U245" s="78"/>
      <c r="V245" s="78"/>
      <c r="W245" s="101" t="s">
        <v>545</v>
      </c>
      <c r="X245" s="78" t="s">
        <v>727</v>
      </c>
      <c r="Y245" s="78"/>
      <c r="Z245" s="130" t="str">
        <f t="shared" si="77"/>
        <v>/* 테이블 : 게시판 */ CREATE TABLE TB_BBS (</v>
      </c>
      <c r="AA245" s="125" t="str">
        <f t="shared" si="54"/>
        <v>BBS_SE_CD VARCHAR(50) NOT NULL,</v>
      </c>
      <c r="AB245" s="125" t="str">
        <f t="shared" ref="AB245:AB373" si="116">IF(ISBLANK(L245),"","ALTER TABLE " &amp; E245 &amp; " ADD CONSTRAINT " &amp; E245 &amp; "_FKEY" &amp; L245 &amp;  " FOREIGN KEY(" &amp;H245 &amp; ") REFERENCES " &amp; M245 &amp; "(" &amp; N245 &amp; ") "&amp;O245&amp;" "&amp;P245&amp;";")</f>
        <v/>
      </c>
      <c r="AC245" s="125" t="str">
        <f t="shared" ref="AC245:AC373" si="117">IF(ISBLANK(U245),"","CREATE SEQUENCE "&amp;U245&amp;" START 100000;")</f>
        <v/>
      </c>
      <c r="AD245" s="125" t="str">
        <f t="shared" si="98"/>
        <v/>
      </c>
      <c r="AE245" s="125" t="str">
        <f t="shared" si="78"/>
        <v/>
      </c>
      <c r="AF245" s="125" t="str">
        <f t="shared" si="79"/>
        <v>COMMENT ON COLUMN TB_BBS.BBS_SE_CD IS '게시판 구분 코드' ;</v>
      </c>
      <c r="AG245" s="125" t="str">
        <f t="shared" si="99"/>
        <v>ALTER TABLE TB_BBS ALTER COLUMN BBS_SE_CD TYPE VARCHAR(50);</v>
      </c>
      <c r="AH245" s="125" t="str">
        <f t="shared" si="100"/>
        <v>ALTER TABLE TB_BBS ADD COLUMN BBS_SE_CD VARCHAR(50) NOT NULL;</v>
      </c>
      <c r="AI245" s="125" t="str">
        <f t="shared" si="101"/>
        <v>ALTER TABLE TB_BBS DROP COLUMN BBS_SE_CD;</v>
      </c>
    </row>
    <row r="246" spans="2:35" ht="20.100000000000001" customHeight="1">
      <c r="B246" s="135">
        <v>241</v>
      </c>
      <c r="C246" s="26" t="s">
        <v>7</v>
      </c>
      <c r="D246" s="26" t="s">
        <v>16</v>
      </c>
      <c r="E246" s="10" t="s">
        <v>32</v>
      </c>
      <c r="F246" s="10" t="s">
        <v>16</v>
      </c>
      <c r="G246" s="92">
        <v>3</v>
      </c>
      <c r="H246" s="97" t="s">
        <v>571</v>
      </c>
      <c r="I246" s="96" t="s">
        <v>286</v>
      </c>
      <c r="J246" s="52" t="s">
        <v>276</v>
      </c>
      <c r="K246" s="52"/>
      <c r="L246" s="52"/>
      <c r="M246" s="52"/>
      <c r="N246" s="52"/>
      <c r="O246" s="52"/>
      <c r="P246" s="52"/>
      <c r="Q246" s="56" t="s">
        <v>314</v>
      </c>
      <c r="R246" s="119" t="s">
        <v>528</v>
      </c>
      <c r="S246" s="80"/>
      <c r="T246" s="107" t="s">
        <v>290</v>
      </c>
      <c r="U246" s="78"/>
      <c r="V246" s="78"/>
      <c r="W246" s="101"/>
      <c r="X246" s="45"/>
      <c r="Y246" s="78"/>
      <c r="Z246" s="130" t="str">
        <f t="shared" si="77"/>
        <v>/* 테이블 : 게시판 */ CREATE TABLE TB_BBS (</v>
      </c>
      <c r="AA246" s="125" t="str">
        <f t="shared" ref="AA246:AA361" si="118">H246&amp;" "&amp;Q246&amp;R246&amp;IF(ISBLANK(K246),""," PRIMARY KEY")&amp;IF(AND(ISBLANK(K246),J246="Y")," NOT NULL","")&amp;","</f>
        <v>BBS_NM VARCHAR(255) NOT NULL,</v>
      </c>
      <c r="AB246" s="125" t="str">
        <f t="shared" si="116"/>
        <v/>
      </c>
      <c r="AC246" s="125" t="str">
        <f t="shared" si="117"/>
        <v/>
      </c>
      <c r="AD246" s="125" t="str">
        <f t="shared" si="98"/>
        <v/>
      </c>
      <c r="AE246" s="125" t="str">
        <f t="shared" si="78"/>
        <v/>
      </c>
      <c r="AF246" s="125" t="str">
        <f t="shared" si="79"/>
        <v>COMMENT ON COLUMN TB_BBS.BBS_NM IS '게시판 이름' ;</v>
      </c>
      <c r="AG246" s="125" t="str">
        <f t="shared" si="99"/>
        <v>ALTER TABLE TB_BBS ALTER COLUMN BBS_NM TYPE VARCHAR(255);</v>
      </c>
      <c r="AH246" s="125" t="str">
        <f t="shared" si="100"/>
        <v>ALTER TABLE TB_BBS ADD COLUMN BBS_NM VARCHAR(255) NOT NULL;</v>
      </c>
      <c r="AI246" s="125" t="str">
        <f t="shared" si="101"/>
        <v>ALTER TABLE TB_BBS DROP COLUMN BBS_NM;</v>
      </c>
    </row>
    <row r="247" spans="2:35" ht="20.100000000000001" customHeight="1">
      <c r="B247" s="55">
        <v>242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4</v>
      </c>
      <c r="H247" s="103" t="s">
        <v>321</v>
      </c>
      <c r="I247" s="96" t="s">
        <v>320</v>
      </c>
      <c r="J247" s="52"/>
      <c r="K247" s="52"/>
      <c r="L247" s="52"/>
      <c r="M247" s="52"/>
      <c r="N247" s="52"/>
      <c r="O247" s="52"/>
      <c r="P247" s="52"/>
      <c r="Q247" s="56" t="s">
        <v>322</v>
      </c>
      <c r="R247" s="118"/>
      <c r="S247" s="80"/>
      <c r="T247" s="107" t="s">
        <v>323</v>
      </c>
      <c r="U247" s="78"/>
      <c r="V247" s="78"/>
      <c r="W247" s="101"/>
      <c r="X247" s="45"/>
      <c r="Y247" s="78"/>
      <c r="Z247" s="130" t="str">
        <f t="shared" si="77"/>
        <v>/* 테이블 : 게시판 */ CREATE TABLE TB_BBS (</v>
      </c>
      <c r="AA247" s="125" t="str">
        <f t="shared" si="118"/>
        <v>BBS_GDCC TEXT,</v>
      </c>
      <c r="AB247" s="125" t="str">
        <f t="shared" si="116"/>
        <v/>
      </c>
      <c r="AC247" s="125" t="str">
        <f t="shared" si="117"/>
        <v/>
      </c>
      <c r="AD247" s="125" t="str">
        <f t="shared" si="98"/>
        <v/>
      </c>
      <c r="AE247" s="125" t="str">
        <f t="shared" si="78"/>
        <v/>
      </c>
      <c r="AF247" s="125" t="str">
        <f t="shared" si="79"/>
        <v>COMMENT ON COLUMN TB_BBS.BBS_GDCC IS '게시판 안내 문구' ;</v>
      </c>
      <c r="AG247" s="125" t="str">
        <f t="shared" si="99"/>
        <v>ALTER TABLE TB_BBS ALTER COLUMN BBS_GDCC TYPE TEXT;</v>
      </c>
      <c r="AH247" s="125" t="str">
        <f t="shared" si="100"/>
        <v>ALTER TABLE TB_BBS ADD COLUMN BBS_GDCC TEXT;</v>
      </c>
      <c r="AI247" s="125" t="str">
        <f t="shared" si="101"/>
        <v>ALTER TABLE TB_BBS DROP COLUMN BBS_GDCC;</v>
      </c>
    </row>
    <row r="248" spans="2:35" ht="20.100000000000001" customHeight="1">
      <c r="B248" s="55">
        <v>243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5</v>
      </c>
      <c r="H248" s="98" t="s">
        <v>284</v>
      </c>
      <c r="I248" s="97" t="s">
        <v>287</v>
      </c>
      <c r="J248" s="61"/>
      <c r="K248" s="61"/>
      <c r="L248" s="61"/>
      <c r="M248" s="61"/>
      <c r="N248" s="61"/>
      <c r="O248" s="61"/>
      <c r="P248" s="61"/>
      <c r="Q248" s="56" t="s">
        <v>314</v>
      </c>
      <c r="R248" s="119" t="s">
        <v>530</v>
      </c>
      <c r="S248" s="77"/>
      <c r="T248" s="107" t="s">
        <v>291</v>
      </c>
      <c r="U248" s="78"/>
      <c r="V248" s="78"/>
      <c r="W248" s="101"/>
      <c r="X248" s="45"/>
      <c r="Y248" s="78"/>
      <c r="Z248" s="130" t="str">
        <f t="shared" si="77"/>
        <v>/* 테이블 : 게시판 */ CREATE TABLE TB_BBS (</v>
      </c>
      <c r="AA248" s="125" t="str">
        <f t="shared" si="118"/>
        <v>BBS_DC VARCHAR(2000),</v>
      </c>
      <c r="AB248" s="125" t="str">
        <f t="shared" si="116"/>
        <v/>
      </c>
      <c r="AC248" s="125" t="str">
        <f t="shared" si="117"/>
        <v/>
      </c>
      <c r="AD248" s="125" t="str">
        <f t="shared" si="98"/>
        <v/>
      </c>
      <c r="AE248" s="125" t="str">
        <f t="shared" si="78"/>
        <v/>
      </c>
      <c r="AF248" s="125" t="str">
        <f t="shared" si="79"/>
        <v>COMMENT ON COLUMN TB_BBS.BBS_DC IS '게시판 설명' ;</v>
      </c>
      <c r="AG248" s="125" t="str">
        <f t="shared" si="99"/>
        <v>ALTER TABLE TB_BBS ALTER COLUMN BBS_DC TYPE VARCHAR(2000);</v>
      </c>
      <c r="AH248" s="125" t="str">
        <f t="shared" si="100"/>
        <v>ALTER TABLE TB_BBS ADD COLUMN BBS_DC VARCHAR(2000);</v>
      </c>
      <c r="AI248" s="125" t="str">
        <f t="shared" si="101"/>
        <v>ALTER TABLE TB_BBS DROP COLUMN BBS_DC;</v>
      </c>
    </row>
    <row r="249" spans="2:35" ht="20.100000000000001" customHeight="1">
      <c r="B249" s="55">
        <v>244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6</v>
      </c>
      <c r="H249" s="98" t="s">
        <v>726</v>
      </c>
      <c r="I249" s="97" t="s">
        <v>574</v>
      </c>
      <c r="J249" s="61"/>
      <c r="K249" s="61"/>
      <c r="L249" s="61"/>
      <c r="M249" s="61"/>
      <c r="N249" s="61"/>
      <c r="O249" s="61"/>
      <c r="P249" s="61"/>
      <c r="Q249" s="51" t="s">
        <v>804</v>
      </c>
      <c r="R249" s="119" t="s">
        <v>522</v>
      </c>
      <c r="S249" s="77"/>
      <c r="T249" s="107" t="s">
        <v>575</v>
      </c>
      <c r="U249" s="78"/>
      <c r="V249" s="78"/>
      <c r="W249" s="101"/>
      <c r="X249" s="45"/>
      <c r="Y249" s="78"/>
      <c r="Z249" s="130" t="str">
        <f t="shared" si="77"/>
        <v>/* 테이블 : 게시판 */ CREATE TABLE TB_BBS (</v>
      </c>
      <c r="AA249" s="125" t="str">
        <f t="shared" ref="AA249:AA250" si="119">H249&amp;" "&amp;Q249&amp;R249&amp;IF(ISBLANK(K249),""," PRIMARY KEY")&amp;IF(AND(ISBLANK(K249),J249="Y")," NOT NULL","")&amp;","</f>
        <v>REPLY_SET_YN BPCHAR(1),</v>
      </c>
      <c r="AB249" s="125" t="str">
        <f t="shared" ref="AB249:AB250" si="120">IF(ISBLANK(L249),"","ALTER TABLE " &amp; E249 &amp; " ADD CONSTRAINT " &amp; E249 &amp; "_FKEY" &amp; L249 &amp;  " FOREIGN KEY(" &amp;H249 &amp; ") REFERENCES " &amp; M249 &amp; "(" &amp; N249 &amp; ") "&amp;O249&amp;" "&amp;P249&amp;";")</f>
        <v/>
      </c>
      <c r="AC249" s="125" t="str">
        <f t="shared" ref="AC249:AC250" si="121">IF(ISBLANK(U249),"","CREATE SEQUENCE "&amp;U249&amp;" START 100000;")</f>
        <v/>
      </c>
      <c r="AD249" s="125" t="str">
        <f t="shared" si="98"/>
        <v/>
      </c>
      <c r="AE249" s="125" t="str">
        <f t="shared" si="78"/>
        <v/>
      </c>
      <c r="AF249" s="125" t="str">
        <f t="shared" si="79"/>
        <v>COMMENT ON COLUMN TB_BBS.REPLY_SET_YN IS '댓글 설정 여부' ;</v>
      </c>
      <c r="AG249" s="125" t="str">
        <f t="shared" si="99"/>
        <v>ALTER TABLE TB_BBS ALTER COLUMN REPLY_SET_YN TYPE BPCHAR(1);</v>
      </c>
      <c r="AH249" s="125" t="str">
        <f t="shared" si="100"/>
        <v>ALTER TABLE TB_BBS ADD COLUMN REPLY_SET_YN BPCHAR(1);</v>
      </c>
      <c r="AI249" s="125" t="str">
        <f t="shared" si="101"/>
        <v>ALTER TABLE TB_BBS DROP COLUMN REPLY_SET_YN;</v>
      </c>
    </row>
    <row r="250" spans="2:35" ht="20.100000000000001" customHeight="1">
      <c r="B250" s="135">
        <v>245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7</v>
      </c>
      <c r="H250" s="101" t="s">
        <v>328</v>
      </c>
      <c r="I250" s="101" t="s">
        <v>329</v>
      </c>
      <c r="J250" s="73" t="s">
        <v>72</v>
      </c>
      <c r="K250" s="45"/>
      <c r="L250" s="45"/>
      <c r="M250" s="45"/>
      <c r="N250" s="45"/>
      <c r="O250" s="45"/>
      <c r="P250" s="45"/>
      <c r="Q250" s="51" t="s">
        <v>804</v>
      </c>
      <c r="R250" s="119" t="s">
        <v>522</v>
      </c>
      <c r="S250" s="45"/>
      <c r="T250" s="101" t="s">
        <v>341</v>
      </c>
      <c r="U250" s="78"/>
      <c r="V250" s="78"/>
      <c r="W250" s="101" t="s">
        <v>715</v>
      </c>
      <c r="X250" s="45"/>
      <c r="Y250" s="78"/>
      <c r="Z250" s="130" t="str">
        <f t="shared" si="77"/>
        <v>/* 테이블 : 게시판 */ CREATE TABLE TB_BBS (</v>
      </c>
      <c r="AA250" s="125" t="str">
        <f t="shared" si="119"/>
        <v>OPEN_YN BPCHAR(1) NOT NULL,</v>
      </c>
      <c r="AB250" s="125" t="str">
        <f t="shared" si="120"/>
        <v/>
      </c>
      <c r="AC250" s="125" t="str">
        <f t="shared" si="121"/>
        <v/>
      </c>
      <c r="AD250" s="125" t="str">
        <f t="shared" ref="AD250" si="122">IF(ISBLANK(U250),"","ALTER TABLE "&amp;E250&amp;" ALTER COLUMN "&amp;H250&amp;" SET DEFAULT NEXTVAL('"&amp;U250&amp;"');")</f>
        <v/>
      </c>
      <c r="AE250" s="125" t="str">
        <f t="shared" si="78"/>
        <v/>
      </c>
      <c r="AF250" s="125" t="str">
        <f t="shared" si="79"/>
        <v>COMMENT ON COLUMN TB_BBS.OPEN_YN IS '공개 여부' ;</v>
      </c>
      <c r="AG250" s="125" t="str">
        <f t="shared" si="99"/>
        <v>ALTER TABLE TB_BBS ALTER COLUMN OPEN_YN TYPE BPCHAR(1);</v>
      </c>
      <c r="AH250" s="125" t="str">
        <f t="shared" si="100"/>
        <v>ALTER TABLE TB_BBS ADD COLUMN OPEN_YN BPCHAR(1) NOT NULL;</v>
      </c>
      <c r="AI250" s="125" t="str">
        <f t="shared" si="101"/>
        <v>ALTER TABLE TB_BBS DROP COLUMN OPEN_YN;</v>
      </c>
    </row>
    <row r="251" spans="2:35" ht="20.100000000000001" customHeight="1">
      <c r="B251" s="55">
        <v>246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8</v>
      </c>
      <c r="H251" s="97" t="s">
        <v>409</v>
      </c>
      <c r="I251" s="51" t="s">
        <v>410</v>
      </c>
      <c r="J251" s="73" t="s">
        <v>276</v>
      </c>
      <c r="K251" s="67"/>
      <c r="L251" s="67"/>
      <c r="M251" s="77"/>
      <c r="N251" s="77"/>
      <c r="O251" s="77"/>
      <c r="P251" s="77"/>
      <c r="Q251" s="51" t="s">
        <v>804</v>
      </c>
      <c r="R251" s="119" t="s">
        <v>522</v>
      </c>
      <c r="S251" s="80"/>
      <c r="T251" s="107" t="s">
        <v>411</v>
      </c>
      <c r="U251" s="78"/>
      <c r="V251" s="78"/>
      <c r="W251" s="101"/>
      <c r="X251" s="45"/>
      <c r="Y251" s="78"/>
      <c r="Z251" s="130" t="str">
        <f t="shared" si="77"/>
        <v>/* 테이블 : 게시판 */ CREATE TABLE TB_BBS (</v>
      </c>
      <c r="AA251" s="125" t="str">
        <f t="shared" si="118"/>
        <v>USE_YN BPCHAR(1) NOT NULL,</v>
      </c>
      <c r="AB251" s="125" t="str">
        <f t="shared" si="116"/>
        <v/>
      </c>
      <c r="AC251" s="125" t="str">
        <f t="shared" si="117"/>
        <v/>
      </c>
      <c r="AD251" s="125" t="str">
        <f t="shared" si="98"/>
        <v/>
      </c>
      <c r="AE251" s="125" t="str">
        <f t="shared" si="78"/>
        <v/>
      </c>
      <c r="AF251" s="125" t="str">
        <f t="shared" si="79"/>
        <v>COMMENT ON COLUMN TB_BBS.USE_YN IS '사용 여부' ;</v>
      </c>
      <c r="AG251" s="125" t="str">
        <f t="shared" si="99"/>
        <v>ALTER TABLE TB_BBS ALTER COLUMN USE_YN TYPE BPCHAR(1);</v>
      </c>
      <c r="AH251" s="125" t="str">
        <f t="shared" si="100"/>
        <v>ALTER TABLE TB_BBS ADD COLUMN USE_YN BPCHAR(1) NOT NULL;</v>
      </c>
      <c r="AI251" s="125" t="str">
        <f t="shared" si="101"/>
        <v>ALTER TABLE TB_BBS DROP COLUMN USE_YN;</v>
      </c>
    </row>
    <row r="252" spans="2:35" ht="20.100000000000001" customHeight="1">
      <c r="B252" s="55">
        <v>247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9</v>
      </c>
      <c r="H252" s="97" t="s">
        <v>107</v>
      </c>
      <c r="I252" s="51" t="s">
        <v>76</v>
      </c>
      <c r="J252" s="73" t="s">
        <v>72</v>
      </c>
      <c r="K252" s="67"/>
      <c r="L252" s="67"/>
      <c r="M252" s="77"/>
      <c r="N252" s="77"/>
      <c r="O252" s="77"/>
      <c r="P252" s="77"/>
      <c r="Q252" s="100" t="s">
        <v>521</v>
      </c>
      <c r="R252" s="119" t="s">
        <v>526</v>
      </c>
      <c r="S252" s="80"/>
      <c r="T252" s="107" t="s">
        <v>219</v>
      </c>
      <c r="U252" s="78"/>
      <c r="V252" s="78"/>
      <c r="W252" s="116" t="s">
        <v>496</v>
      </c>
      <c r="X252" s="45"/>
      <c r="Y252" s="78"/>
      <c r="Z252" s="130" t="str">
        <f t="shared" si="77"/>
        <v>/* 테이블 : 게시판 */ CREATE TABLE TB_BBS (</v>
      </c>
      <c r="AA252" s="125" t="str">
        <f t="shared" si="118"/>
        <v>REGISTER_ID VARCHAR(50) NOT NULL,</v>
      </c>
      <c r="AB252" s="125" t="str">
        <f t="shared" si="116"/>
        <v/>
      </c>
      <c r="AC252" s="125" t="str">
        <f t="shared" si="117"/>
        <v/>
      </c>
      <c r="AD252" s="125" t="str">
        <f t="shared" si="98"/>
        <v/>
      </c>
      <c r="AE252" s="125" t="str">
        <f t="shared" si="78"/>
        <v/>
      </c>
      <c r="AF252" s="125" t="str">
        <f t="shared" si="79"/>
        <v>COMMENT ON COLUMN TB_BBS.REGISTER_ID IS '등록자 ID' ;</v>
      </c>
      <c r="AG252" s="125" t="str">
        <f t="shared" si="99"/>
        <v>ALTER TABLE TB_BBS ALTER COLUMN REGISTER_ID TYPE VARCHAR(50);</v>
      </c>
      <c r="AH252" s="125" t="str">
        <f t="shared" si="100"/>
        <v>ALTER TABLE TB_BBS ADD COLUMN REGISTER_ID VARCHAR(50) NOT NULL;</v>
      </c>
      <c r="AI252" s="125" t="str">
        <f t="shared" si="101"/>
        <v>ALTER TABLE TB_BBS DROP COLUMN REGISTER_ID;</v>
      </c>
    </row>
    <row r="253" spans="2:35" ht="20.100000000000001" customHeight="1">
      <c r="B253" s="55">
        <v>248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10</v>
      </c>
      <c r="H253" s="97" t="s">
        <v>91</v>
      </c>
      <c r="I253" s="51" t="s">
        <v>77</v>
      </c>
      <c r="J253" s="73" t="s">
        <v>72</v>
      </c>
      <c r="K253" s="52"/>
      <c r="L253" s="52"/>
      <c r="M253" s="52"/>
      <c r="N253" s="52"/>
      <c r="O253" s="52"/>
      <c r="P253" s="52"/>
      <c r="Q253" s="56" t="s">
        <v>106</v>
      </c>
      <c r="R253" s="119" t="s">
        <v>527</v>
      </c>
      <c r="S253" s="80"/>
      <c r="T253" s="107" t="s">
        <v>218</v>
      </c>
      <c r="U253" s="78"/>
      <c r="V253" s="78"/>
      <c r="W253" s="101"/>
      <c r="X253" s="45"/>
      <c r="Y253" s="78"/>
      <c r="Z253" s="130" t="str">
        <f t="shared" si="77"/>
        <v>/* 테이블 : 게시판 */ CREATE TABLE TB_BBS (</v>
      </c>
      <c r="AA253" s="125" t="str">
        <f t="shared" si="118"/>
        <v>REGISTER_IP VARCHAR(100) NOT NULL,</v>
      </c>
      <c r="AB253" s="125" t="str">
        <f t="shared" si="116"/>
        <v/>
      </c>
      <c r="AC253" s="125" t="str">
        <f t="shared" si="117"/>
        <v/>
      </c>
      <c r="AD253" s="125" t="str">
        <f t="shared" si="98"/>
        <v/>
      </c>
      <c r="AE253" s="125" t="str">
        <f t="shared" si="78"/>
        <v/>
      </c>
      <c r="AF253" s="125" t="str">
        <f t="shared" si="79"/>
        <v>COMMENT ON COLUMN TB_BBS.REGISTER_IP IS '등록자 IP' ;</v>
      </c>
      <c r="AG253" s="125" t="str">
        <f t="shared" si="99"/>
        <v>ALTER TABLE TB_BBS ALTER COLUMN REGISTER_IP TYPE VARCHAR(100);</v>
      </c>
      <c r="AH253" s="125" t="str">
        <f t="shared" si="100"/>
        <v>ALTER TABLE TB_BBS ADD COLUMN REGISTER_IP VARCHAR(100) NOT NULL;</v>
      </c>
      <c r="AI253" s="125" t="str">
        <f t="shared" si="101"/>
        <v>ALTER TABLE TB_BBS DROP COLUMN REGISTER_IP;</v>
      </c>
    </row>
    <row r="254" spans="2:35" ht="20.100000000000001" customHeight="1">
      <c r="B254" s="135">
        <v>249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11</v>
      </c>
      <c r="H254" s="97" t="s">
        <v>92</v>
      </c>
      <c r="I254" s="96" t="s">
        <v>78</v>
      </c>
      <c r="J254" s="73" t="s">
        <v>72</v>
      </c>
      <c r="K254" s="52"/>
      <c r="L254" s="52"/>
      <c r="M254" s="52"/>
      <c r="N254" s="52"/>
      <c r="O254" s="52"/>
      <c r="P254" s="52"/>
      <c r="Q254" s="51" t="s">
        <v>706</v>
      </c>
      <c r="R254" s="119"/>
      <c r="S254" s="80"/>
      <c r="T254" s="107" t="s">
        <v>217</v>
      </c>
      <c r="U254" s="78"/>
      <c r="V254" s="78"/>
      <c r="W254" s="101"/>
      <c r="X254" s="45"/>
      <c r="Y254" s="78"/>
      <c r="Z254" s="130" t="str">
        <f t="shared" si="77"/>
        <v>/* 테이블 : 게시판 */ CREATE TABLE TB_BBS (</v>
      </c>
      <c r="AA254" s="125" t="str">
        <f t="shared" si="118"/>
        <v>REG_DT TIMESTAMP NOT NULL,</v>
      </c>
      <c r="AB254" s="125" t="str">
        <f t="shared" si="116"/>
        <v/>
      </c>
      <c r="AC254" s="125" t="str">
        <f t="shared" si="117"/>
        <v/>
      </c>
      <c r="AD254" s="125" t="str">
        <f t="shared" si="98"/>
        <v/>
      </c>
      <c r="AE254" s="125" t="str">
        <f t="shared" si="78"/>
        <v/>
      </c>
      <c r="AF254" s="125" t="str">
        <f t="shared" si="79"/>
        <v>COMMENT ON COLUMN TB_BBS.REG_DT IS '등록 일시' ;</v>
      </c>
      <c r="AG254" s="125" t="str">
        <f t="shared" si="99"/>
        <v>ALTER TABLE TB_BBS ALTER COLUMN REG_DT TYPE TIMESTAMP;</v>
      </c>
      <c r="AH254" s="125" t="str">
        <f t="shared" si="100"/>
        <v>ALTER TABLE TB_BBS ADD COLUMN REG_DT TIMESTAMP NOT NULL;</v>
      </c>
      <c r="AI254" s="125" t="str">
        <f t="shared" si="101"/>
        <v>ALTER TABLE TB_BBS DROP COLUMN REG_DT;</v>
      </c>
    </row>
    <row r="255" spans="2:35" ht="20.100000000000001" customHeight="1">
      <c r="B255" s="55">
        <v>250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12</v>
      </c>
      <c r="H255" s="97" t="s">
        <v>93</v>
      </c>
      <c r="I255" s="96" t="s">
        <v>80</v>
      </c>
      <c r="J255" s="52"/>
      <c r="K255" s="52"/>
      <c r="L255" s="52"/>
      <c r="M255" s="79"/>
      <c r="N255" s="79"/>
      <c r="O255" s="79"/>
      <c r="P255" s="79"/>
      <c r="Q255" s="100" t="s">
        <v>521</v>
      </c>
      <c r="R255" s="119" t="s">
        <v>526</v>
      </c>
      <c r="S255" s="80"/>
      <c r="T255" s="107" t="s">
        <v>216</v>
      </c>
      <c r="U255" s="78"/>
      <c r="V255" s="78"/>
      <c r="W255" s="116" t="s">
        <v>496</v>
      </c>
      <c r="X255" s="45"/>
      <c r="Y255" s="78"/>
      <c r="Z255" s="130" t="str">
        <f t="shared" si="77"/>
        <v>/* 테이블 : 게시판 */ CREATE TABLE TB_BBS (</v>
      </c>
      <c r="AA255" s="125" t="str">
        <f t="shared" si="118"/>
        <v>UPDUSR_ID VARCHAR(50),</v>
      </c>
      <c r="AB255" s="125" t="str">
        <f t="shared" si="116"/>
        <v/>
      </c>
      <c r="AC255" s="125" t="str">
        <f t="shared" si="117"/>
        <v/>
      </c>
      <c r="AD255" s="125" t="str">
        <f t="shared" si="98"/>
        <v/>
      </c>
      <c r="AE255" s="125" t="str">
        <f t="shared" si="78"/>
        <v/>
      </c>
      <c r="AF255" s="125" t="str">
        <f t="shared" si="79"/>
        <v>COMMENT ON COLUMN TB_BBS.UPDUSR_ID IS '수정자 ID' ;</v>
      </c>
      <c r="AG255" s="125" t="str">
        <f t="shared" si="99"/>
        <v>ALTER TABLE TB_BBS ALTER COLUMN UPDUSR_ID TYPE VARCHAR(50);</v>
      </c>
      <c r="AH255" s="125" t="str">
        <f t="shared" si="100"/>
        <v>ALTER TABLE TB_BBS ADD COLUMN UPDUSR_ID VARCHAR(50);</v>
      </c>
      <c r="AI255" s="125" t="str">
        <f t="shared" si="101"/>
        <v>ALTER TABLE TB_BBS DROP COLUMN UPDUSR_ID;</v>
      </c>
    </row>
    <row r="256" spans="2:35" ht="20.100000000000001" customHeight="1">
      <c r="B256" s="55">
        <v>251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13</v>
      </c>
      <c r="H256" s="97" t="s">
        <v>94</v>
      </c>
      <c r="I256" s="96" t="s">
        <v>79</v>
      </c>
      <c r="J256" s="52"/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215</v>
      </c>
      <c r="U256" s="78"/>
      <c r="V256" s="78"/>
      <c r="W256" s="101"/>
      <c r="X256" s="45"/>
      <c r="Y256" s="78"/>
      <c r="Z256" s="130" t="str">
        <f t="shared" si="77"/>
        <v>/* 테이블 : 게시판 */ CREATE TABLE TB_BBS (</v>
      </c>
      <c r="AA256" s="125" t="str">
        <f t="shared" si="118"/>
        <v>UPDUSR_IP VARCHAR(100),</v>
      </c>
      <c r="AB256" s="125" t="str">
        <f t="shared" si="116"/>
        <v/>
      </c>
      <c r="AC256" s="125" t="str">
        <f t="shared" si="117"/>
        <v/>
      </c>
      <c r="AD256" s="125" t="str">
        <f t="shared" si="98"/>
        <v/>
      </c>
      <c r="AE256" s="125" t="str">
        <f t="shared" si="78"/>
        <v/>
      </c>
      <c r="AF256" s="125" t="str">
        <f t="shared" si="79"/>
        <v>COMMENT ON COLUMN TB_BBS.UPDUSR_IP IS '수정자 IP' ;</v>
      </c>
      <c r="AG256" s="125" t="str">
        <f t="shared" si="99"/>
        <v>ALTER TABLE TB_BBS ALTER COLUMN UPDUSR_IP TYPE VARCHAR(100);</v>
      </c>
      <c r="AH256" s="125" t="str">
        <f t="shared" si="100"/>
        <v>ALTER TABLE TB_BBS ADD COLUMN UPDUSR_IP VARCHAR(100);</v>
      </c>
      <c r="AI256" s="125" t="str">
        <f t="shared" si="101"/>
        <v>ALTER TABLE TB_BBS DROP COLUMN UPDUSR_IP;</v>
      </c>
    </row>
    <row r="257" spans="2:35" ht="20.100000000000001" customHeight="1">
      <c r="B257" s="55">
        <v>252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14</v>
      </c>
      <c r="H257" s="98" t="s">
        <v>95</v>
      </c>
      <c r="I257" s="97" t="s">
        <v>81</v>
      </c>
      <c r="J257" s="61"/>
      <c r="K257" s="61"/>
      <c r="L257" s="61"/>
      <c r="M257" s="61"/>
      <c r="N257" s="61"/>
      <c r="O257" s="61"/>
      <c r="P257" s="61"/>
      <c r="Q257" s="51" t="s">
        <v>706</v>
      </c>
      <c r="R257" s="119"/>
      <c r="S257" s="77"/>
      <c r="T257" s="107" t="s">
        <v>214</v>
      </c>
      <c r="U257" s="78"/>
      <c r="V257" s="78"/>
      <c r="W257" s="101"/>
      <c r="X257" s="45"/>
      <c r="Y257" s="78"/>
      <c r="Z257" s="130" t="str">
        <f t="shared" si="77"/>
        <v>/* 테이블 : 게시판 */ CREATE TABLE TB_BBS (</v>
      </c>
      <c r="AA257" s="125" t="str">
        <f t="shared" si="118"/>
        <v>UPDT_DT TIMESTAMP,</v>
      </c>
      <c r="AB257" s="125" t="str">
        <f t="shared" si="116"/>
        <v/>
      </c>
      <c r="AC257" s="125" t="str">
        <f t="shared" si="117"/>
        <v/>
      </c>
      <c r="AD257" s="125" t="str">
        <f t="shared" si="98"/>
        <v/>
      </c>
      <c r="AE257" s="125" t="str">
        <f t="shared" si="78"/>
        <v/>
      </c>
      <c r="AF257" s="125" t="str">
        <f t="shared" si="79"/>
        <v>COMMENT ON COLUMN TB_BBS.UPDT_DT IS '수정 일시' ;</v>
      </c>
      <c r="AG257" s="125" t="str">
        <f t="shared" si="99"/>
        <v>ALTER TABLE TB_BBS ALTER COLUMN UPDT_DT TYPE TIMESTAMP;</v>
      </c>
      <c r="AH257" s="125" t="str">
        <f t="shared" si="100"/>
        <v>ALTER TABLE TB_BBS ADD COLUMN UPDT_DT TIMESTAMP;</v>
      </c>
      <c r="AI257" s="125" t="str">
        <f t="shared" si="101"/>
        <v>ALTER TABLE TB_BBS DROP COLUMN UPDT_DT;</v>
      </c>
    </row>
    <row r="258" spans="2:35" ht="20.100000000000001" customHeight="1">
      <c r="B258" s="135">
        <v>253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15</v>
      </c>
      <c r="H258" s="97" t="s">
        <v>96</v>
      </c>
      <c r="I258" s="97" t="s">
        <v>82</v>
      </c>
      <c r="J258" s="73" t="s">
        <v>72</v>
      </c>
      <c r="K258" s="61"/>
      <c r="L258" s="61"/>
      <c r="M258" s="61"/>
      <c r="N258" s="61"/>
      <c r="O258" s="61"/>
      <c r="P258" s="61"/>
      <c r="Q258" s="51" t="s">
        <v>804</v>
      </c>
      <c r="R258" s="119" t="s">
        <v>522</v>
      </c>
      <c r="S258" s="82" t="s">
        <v>803</v>
      </c>
      <c r="T258" s="107" t="s">
        <v>213</v>
      </c>
      <c r="U258" s="78"/>
      <c r="V258" s="78"/>
      <c r="W258" s="101"/>
      <c r="X258" s="45"/>
      <c r="Y258" s="78"/>
      <c r="Z258" s="130" t="str">
        <f t="shared" si="77"/>
        <v>/* 테이블 : 게시판 */ CREATE TABLE TB_BBS (</v>
      </c>
      <c r="AA258" s="125" t="str">
        <f t="shared" si="118"/>
        <v>DEL_YN BPCHAR(1) NOT NULL,</v>
      </c>
      <c r="AB258" s="125" t="str">
        <f t="shared" si="116"/>
        <v/>
      </c>
      <c r="AC258" s="125" t="str">
        <f t="shared" si="117"/>
        <v/>
      </c>
      <c r="AD258" s="125" t="str">
        <f t="shared" si="98"/>
        <v/>
      </c>
      <c r="AE258" s="125" t="str">
        <f t="shared" si="78"/>
        <v>ALTER TABLE TB_BBS ALTER COLUMN DEL_YN SET DEFAULT 'N'::bpchar;</v>
      </c>
      <c r="AF258" s="125" t="str">
        <f t="shared" si="79"/>
        <v>COMMENT ON COLUMN TB_BBS.DEL_YN IS '삭제 여부' ;</v>
      </c>
      <c r="AG258" s="125" t="str">
        <f t="shared" si="99"/>
        <v>ALTER TABLE TB_BBS ALTER COLUMN DEL_YN TYPE BPCHAR(1);</v>
      </c>
      <c r="AH258" s="125" t="str">
        <f t="shared" si="100"/>
        <v>ALTER TABLE TB_BBS ADD COLUMN DEL_YN BPCHAR(1) NOT NULL DEFAULT ''N'::bpchar';</v>
      </c>
      <c r="AI258" s="125" t="str">
        <f t="shared" si="101"/>
        <v>ALTER TABLE TB_BBS DROP COLUMN DEL_YN;</v>
      </c>
    </row>
    <row r="259" spans="2:35" ht="20.100000000000001" customHeight="1">
      <c r="B259" s="55">
        <v>254</v>
      </c>
      <c r="C259" s="26" t="s">
        <v>7</v>
      </c>
      <c r="D259" s="26" t="s">
        <v>16</v>
      </c>
      <c r="E259" s="10" t="s">
        <v>279</v>
      </c>
      <c r="F259" s="10" t="s">
        <v>280</v>
      </c>
      <c r="G259" s="92">
        <v>1</v>
      </c>
      <c r="H259" s="101" t="s">
        <v>297</v>
      </c>
      <c r="I259" s="96" t="s">
        <v>292</v>
      </c>
      <c r="J259" s="52" t="s">
        <v>531</v>
      </c>
      <c r="K259" s="52">
        <v>1</v>
      </c>
      <c r="L259" s="52"/>
      <c r="M259" s="79"/>
      <c r="N259" s="79"/>
      <c r="O259" s="79"/>
      <c r="P259" s="79"/>
      <c r="Q259" s="100" t="s">
        <v>229</v>
      </c>
      <c r="R259" s="47"/>
      <c r="S259" s="80"/>
      <c r="T259" s="107" t="s">
        <v>330</v>
      </c>
      <c r="U259" s="125" t="str">
        <f>"SEQ_"&amp;E259&amp;"_SN"</f>
        <v>SEQ_TB_NTT_SN</v>
      </c>
      <c r="V259" s="125"/>
      <c r="W259" s="101"/>
      <c r="X259" s="45"/>
      <c r="Y259" s="78"/>
      <c r="Z259" s="130" t="str">
        <f t="shared" si="77"/>
        <v>/* 테이블 : 게시물 */ CREATE TABLE TB_NTT (</v>
      </c>
      <c r="AA259" s="125" t="str">
        <f t="shared" si="118"/>
        <v>NTT_SN INTEGER PRIMARY KEY,</v>
      </c>
      <c r="AB259" s="125" t="str">
        <f t="shared" si="116"/>
        <v/>
      </c>
      <c r="AC259" s="125" t="str">
        <f t="shared" si="117"/>
        <v>CREATE SEQUENCE SEQ_TB_NTT_SN START 100000;</v>
      </c>
      <c r="AD259" s="125" t="str">
        <f t="shared" si="98"/>
        <v>ALTER TABLE TB_NTT ALTER COLUMN NTT_SN SET DEFAULT NEXTVAL('SEQ_TB_NTT_SN');</v>
      </c>
      <c r="AE259" s="125" t="str">
        <f t="shared" si="78"/>
        <v/>
      </c>
      <c r="AF259" s="125" t="str">
        <f t="shared" si="79"/>
        <v>COMMENT ON COLUMN TB_NTT.NTT_SN IS '게시물 일련번호' ;</v>
      </c>
      <c r="AG259" s="125" t="str">
        <f t="shared" si="99"/>
        <v>ALTER TABLE TB_NTT ALTER COLUMN NTT_SN TYPE INTEGER;</v>
      </c>
      <c r="AH259" s="125" t="str">
        <f t="shared" si="100"/>
        <v>ALTER TABLE TB_NTT ADD COLUMN NTT_SN INTEGER NOT NULL;</v>
      </c>
      <c r="AI259" s="125" t="str">
        <f t="shared" si="101"/>
        <v>ALTER TABLE TB_NTT DROP COLUMN NTT_SN;</v>
      </c>
    </row>
    <row r="260" spans="2:35" ht="20.100000000000001" customHeight="1">
      <c r="B260" s="55">
        <v>255</v>
      </c>
      <c r="C260" s="26" t="s">
        <v>7</v>
      </c>
      <c r="D260" s="26" t="s">
        <v>16</v>
      </c>
      <c r="E260" s="10" t="s">
        <v>279</v>
      </c>
      <c r="F260" s="10" t="s">
        <v>280</v>
      </c>
      <c r="G260" s="92">
        <v>2</v>
      </c>
      <c r="H260" s="101" t="s">
        <v>282</v>
      </c>
      <c r="I260" s="96" t="s">
        <v>278</v>
      </c>
      <c r="J260" s="52" t="s">
        <v>531</v>
      </c>
      <c r="K260" s="52"/>
      <c r="L260" s="52">
        <v>1</v>
      </c>
      <c r="M260" s="10" t="s">
        <v>32</v>
      </c>
      <c r="N260" s="101" t="s">
        <v>282</v>
      </c>
      <c r="O260" s="95" t="s">
        <v>539</v>
      </c>
      <c r="P260" s="95" t="s">
        <v>541</v>
      </c>
      <c r="Q260" s="56" t="s">
        <v>229</v>
      </c>
      <c r="R260" s="118"/>
      <c r="S260" s="80"/>
      <c r="T260" s="107" t="s">
        <v>331</v>
      </c>
      <c r="U260" s="78"/>
      <c r="V260" s="78"/>
      <c r="W260" s="101"/>
      <c r="X260" s="45"/>
      <c r="Y260" s="78"/>
      <c r="Z260" s="130" t="str">
        <f t="shared" si="77"/>
        <v>/* 테이블 : 게시물 */ CREATE TABLE TB_NTT (</v>
      </c>
      <c r="AA260" s="125" t="str">
        <f t="shared" si="118"/>
        <v>BBS_SN INTEGER NOT NULL,</v>
      </c>
      <c r="AB260" s="125" t="str">
        <f t="shared" si="116"/>
        <v>ALTER TABLE TB_NTT ADD CONSTRAINT TB_NTT_FKEY1 FOREIGN KEY(BBS_SN) REFERENCES TB_BBS(BBS_SN) ON UPDATE CASCADE ON DELETE CASCADE;</v>
      </c>
      <c r="AC260" s="125" t="str">
        <f t="shared" si="117"/>
        <v/>
      </c>
      <c r="AD260" s="125" t="str">
        <f t="shared" si="98"/>
        <v/>
      </c>
      <c r="AE260" s="125" t="str">
        <f t="shared" si="78"/>
        <v/>
      </c>
      <c r="AF260" s="125" t="str">
        <f t="shared" si="79"/>
        <v>COMMENT ON COLUMN TB_NTT.BBS_SN IS '게시판 일련번호' ;</v>
      </c>
      <c r="AG260" s="125" t="str">
        <f t="shared" si="99"/>
        <v>ALTER TABLE TB_NTT ALTER COLUMN BBS_SN TYPE INTEGER;</v>
      </c>
      <c r="AH260" s="125" t="str">
        <f t="shared" si="100"/>
        <v>ALTER TABLE TB_NTT ADD COLUMN BBS_SN INTEGER NOT NULL;</v>
      </c>
      <c r="AI260" s="125" t="str">
        <f t="shared" si="101"/>
        <v>ALTER TABLE TB_NTT DROP COLUMN BBS_SN;</v>
      </c>
    </row>
    <row r="261" spans="2:35" ht="20.100000000000001" customHeight="1">
      <c r="B261" s="55">
        <v>256</v>
      </c>
      <c r="C261" s="26" t="s">
        <v>7</v>
      </c>
      <c r="D261" s="26" t="s">
        <v>16</v>
      </c>
      <c r="E261" s="10" t="s">
        <v>279</v>
      </c>
      <c r="F261" s="10" t="s">
        <v>280</v>
      </c>
      <c r="G261" s="92">
        <v>3</v>
      </c>
      <c r="H261" s="101" t="s">
        <v>298</v>
      </c>
      <c r="I261" s="97" t="s">
        <v>293</v>
      </c>
      <c r="J261" s="52" t="s">
        <v>531</v>
      </c>
      <c r="K261" s="61"/>
      <c r="L261" s="61"/>
      <c r="M261" s="69"/>
      <c r="N261" s="69"/>
      <c r="O261" s="69"/>
      <c r="P261" s="69"/>
      <c r="Q261" s="104" t="s">
        <v>229</v>
      </c>
      <c r="R261" s="47"/>
      <c r="S261" s="77"/>
      <c r="T261" s="107" t="s">
        <v>332</v>
      </c>
      <c r="U261" s="125"/>
      <c r="V261" s="125"/>
      <c r="W261" s="101"/>
      <c r="X261" s="45"/>
      <c r="Y261" s="78"/>
      <c r="Z261" s="130" t="str">
        <f t="shared" si="77"/>
        <v>/* 테이블 : 게시물 */ CREATE TABLE TB_NTT (</v>
      </c>
      <c r="AA261" s="125" t="str">
        <f t="shared" si="118"/>
        <v>NTT_SEQ INTEGER NOT NULL,</v>
      </c>
      <c r="AB261" s="125" t="str">
        <f t="shared" si="116"/>
        <v/>
      </c>
      <c r="AC261" s="125" t="str">
        <f t="shared" si="117"/>
        <v/>
      </c>
      <c r="AD261" s="125" t="str">
        <f t="shared" si="98"/>
        <v/>
      </c>
      <c r="AE261" s="125" t="str">
        <f t="shared" si="78"/>
        <v/>
      </c>
      <c r="AF261" s="125" t="str">
        <f t="shared" si="79"/>
        <v>COMMENT ON COLUMN TB_NTT.NTT_SEQ IS '게시물 순번' ;</v>
      </c>
      <c r="AG261" s="125" t="str">
        <f t="shared" si="99"/>
        <v>ALTER TABLE TB_NTT ALTER COLUMN NTT_SEQ TYPE INTEGER;</v>
      </c>
      <c r="AH261" s="125" t="str">
        <f t="shared" si="100"/>
        <v>ALTER TABLE TB_NTT ADD COLUMN NTT_SEQ INTEGER NOT NULL;</v>
      </c>
      <c r="AI261" s="125" t="str">
        <f t="shared" si="101"/>
        <v>ALTER TABLE TB_NTT DROP COLUMN NTT_SEQ;</v>
      </c>
    </row>
    <row r="262" spans="2:35" ht="20.100000000000001" customHeight="1">
      <c r="B262" s="135">
        <v>257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4</v>
      </c>
      <c r="H262" s="101" t="s">
        <v>299</v>
      </c>
      <c r="I262" s="97" t="s">
        <v>294</v>
      </c>
      <c r="J262" s="73"/>
      <c r="K262" s="61"/>
      <c r="L262" s="61"/>
      <c r="M262" s="61"/>
      <c r="N262" s="61"/>
      <c r="O262" s="61"/>
      <c r="P262" s="61"/>
      <c r="Q262" s="62" t="s">
        <v>314</v>
      </c>
      <c r="R262" s="119" t="s">
        <v>528</v>
      </c>
      <c r="S262" s="81"/>
      <c r="T262" s="107" t="s">
        <v>333</v>
      </c>
      <c r="U262" s="78"/>
      <c r="V262" s="78"/>
      <c r="W262" s="101"/>
      <c r="X262" s="45"/>
      <c r="Y262" s="78"/>
      <c r="Z262" s="130" t="str">
        <f t="shared" si="77"/>
        <v>/* 테이블 : 게시물 */ CREATE TABLE TB_NTT (</v>
      </c>
      <c r="AA262" s="125" t="str">
        <f t="shared" si="118"/>
        <v>NTT_NM VARCHAR(255),</v>
      </c>
      <c r="AB262" s="125" t="str">
        <f t="shared" si="116"/>
        <v/>
      </c>
      <c r="AC262" s="125" t="str">
        <f t="shared" si="117"/>
        <v/>
      </c>
      <c r="AD262" s="125" t="str">
        <f t="shared" si="98"/>
        <v/>
      </c>
      <c r="AE262" s="125" t="str">
        <f t="shared" si="78"/>
        <v/>
      </c>
      <c r="AF262" s="125" t="str">
        <f t="shared" si="79"/>
        <v>COMMENT ON COLUMN TB_NTT.NTT_NM IS '게시물 이름' ;</v>
      </c>
      <c r="AG262" s="125" t="str">
        <f t="shared" si="99"/>
        <v>ALTER TABLE TB_NTT ALTER COLUMN NTT_NM TYPE VARCHAR(255);</v>
      </c>
      <c r="AH262" s="125" t="str">
        <f t="shared" si="100"/>
        <v>ALTER TABLE TB_NTT ADD COLUMN NTT_NM VARCHAR(255);</v>
      </c>
      <c r="AI262" s="125" t="str">
        <f t="shared" si="101"/>
        <v>ALTER TABLE TB_NTT DROP COLUMN NTT_NM;</v>
      </c>
    </row>
    <row r="263" spans="2:35" ht="20.100000000000001" customHeight="1">
      <c r="B263" s="55">
        <v>258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5</v>
      </c>
      <c r="H263" s="101" t="s">
        <v>366</v>
      </c>
      <c r="I263" s="101" t="s">
        <v>368</v>
      </c>
      <c r="J263" s="69"/>
      <c r="K263" s="61"/>
      <c r="L263" s="61">
        <v>2</v>
      </c>
      <c r="M263" s="10" t="s">
        <v>364</v>
      </c>
      <c r="N263" s="96" t="s">
        <v>365</v>
      </c>
      <c r="O263" s="96" t="s">
        <v>539</v>
      </c>
      <c r="P263" s="96" t="s">
        <v>540</v>
      </c>
      <c r="Q263" s="51" t="s">
        <v>229</v>
      </c>
      <c r="R263" s="117"/>
      <c r="S263" s="45"/>
      <c r="T263" s="101" t="s">
        <v>370</v>
      </c>
      <c r="U263" s="125"/>
      <c r="V263" s="123"/>
      <c r="W263" s="104"/>
      <c r="X263" s="85"/>
      <c r="Y263" s="123"/>
      <c r="Z263" s="130" t="str">
        <f t="shared" si="77"/>
        <v>/* 테이블 : 게시물 */ CREATE TABLE TB_NTT (</v>
      </c>
      <c r="AA263" s="125" t="str">
        <f t="shared" si="118"/>
        <v>THUMB_ATCH_FILE_SN INTEGER,</v>
      </c>
      <c r="AB263" s="125" t="str">
        <f t="shared" si="116"/>
        <v>ALTER TABLE TB_NTT ADD CONSTRAINT TB_NTT_FKEY2 FOREIGN KEY(THUMB_ATCH_FILE_SN) REFERENCES TB_ATCH_FILE(ATCH_FILE_SN) ON UPDATE CASCADE ON DELETE SET NULL;</v>
      </c>
      <c r="AC263" s="125" t="str">
        <f t="shared" si="117"/>
        <v/>
      </c>
      <c r="AD263" s="125" t="str">
        <f t="shared" si="98"/>
        <v/>
      </c>
      <c r="AE263" s="125" t="str">
        <f t="shared" si="78"/>
        <v/>
      </c>
      <c r="AF263" s="125" t="str">
        <f t="shared" si="79"/>
        <v>COMMENT ON COLUMN TB_NTT.THUMB_ATCH_FILE_SN IS '썸네일 첨부 파일 일련번호' ;</v>
      </c>
      <c r="AG263" s="125" t="str">
        <f t="shared" si="99"/>
        <v>ALTER TABLE TB_NTT ALTER COLUMN THUMB_ATCH_FILE_SN TYPE INTEGER;</v>
      </c>
      <c r="AH263" s="125" t="str">
        <f t="shared" si="100"/>
        <v>ALTER TABLE TB_NTT ADD COLUMN THUMB_ATCH_FILE_SN INTEGER;</v>
      </c>
      <c r="AI263" s="125" t="str">
        <f t="shared" si="101"/>
        <v>ALTER TABLE TB_NTT DROP COLUMN THUMB_ATCH_FILE_SN;</v>
      </c>
    </row>
    <row r="264" spans="2:35" ht="20.100000000000001" customHeight="1">
      <c r="B264" s="55">
        <v>259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6</v>
      </c>
      <c r="H264" s="101" t="s">
        <v>300</v>
      </c>
      <c r="I264" s="101" t="s">
        <v>295</v>
      </c>
      <c r="J264" s="45"/>
      <c r="K264" s="45"/>
      <c r="L264" s="45"/>
      <c r="M264" s="45"/>
      <c r="N264" s="45"/>
      <c r="O264" s="45"/>
      <c r="P264" s="45"/>
      <c r="Q264" s="101" t="s">
        <v>322</v>
      </c>
      <c r="R264" s="92"/>
      <c r="S264" s="45"/>
      <c r="T264" s="101" t="s">
        <v>334</v>
      </c>
      <c r="U264" s="78"/>
      <c r="V264" s="78"/>
      <c r="W264" s="101"/>
      <c r="X264" s="45"/>
      <c r="Y264" s="78"/>
      <c r="Z264" s="130" t="str">
        <f t="shared" si="77"/>
        <v>/* 테이블 : 게시물 */ CREATE TABLE TB_NTT (</v>
      </c>
      <c r="AA264" s="125" t="str">
        <f t="shared" si="118"/>
        <v>NTT_CN TEXT,</v>
      </c>
      <c r="AB264" s="125" t="str">
        <f t="shared" si="116"/>
        <v/>
      </c>
      <c r="AC264" s="125" t="str">
        <f t="shared" si="117"/>
        <v/>
      </c>
      <c r="AD264" s="125" t="str">
        <f t="shared" si="98"/>
        <v/>
      </c>
      <c r="AE264" s="125" t="str">
        <f t="shared" si="78"/>
        <v/>
      </c>
      <c r="AF264" s="125" t="str">
        <f t="shared" si="79"/>
        <v>COMMENT ON COLUMN TB_NTT.NTT_CN IS '게시물 내용' ;</v>
      </c>
      <c r="AG264" s="125" t="str">
        <f t="shared" si="99"/>
        <v>ALTER TABLE TB_NTT ALTER COLUMN NTT_CN TYPE TEXT;</v>
      </c>
      <c r="AH264" s="125" t="str">
        <f t="shared" si="100"/>
        <v>ALTER TABLE TB_NTT ADD COLUMN NTT_CN TEXT;</v>
      </c>
      <c r="AI264" s="125" t="str">
        <f t="shared" si="101"/>
        <v>ALTER TABLE TB_NTT DROP COLUMN NTT_CN;</v>
      </c>
    </row>
    <row r="265" spans="2:35" ht="20.100000000000001" customHeight="1">
      <c r="B265" s="55">
        <v>260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7</v>
      </c>
      <c r="H265" s="100" t="s">
        <v>365</v>
      </c>
      <c r="I265" s="100" t="s">
        <v>367</v>
      </c>
      <c r="J265" s="45"/>
      <c r="K265" s="45"/>
      <c r="L265" s="45">
        <v>3</v>
      </c>
      <c r="M265" s="10" t="s">
        <v>364</v>
      </c>
      <c r="N265" s="96" t="s">
        <v>365</v>
      </c>
      <c r="O265" s="96" t="s">
        <v>539</v>
      </c>
      <c r="P265" s="96" t="s">
        <v>540</v>
      </c>
      <c r="Q265" s="51" t="s">
        <v>229</v>
      </c>
      <c r="R265" s="117"/>
      <c r="S265" s="45"/>
      <c r="T265" s="101" t="s">
        <v>369</v>
      </c>
      <c r="U265" s="78"/>
      <c r="V265" s="78"/>
      <c r="W265" s="101"/>
      <c r="X265" s="45"/>
      <c r="Y265" s="78"/>
      <c r="Z265" s="130" t="str">
        <f t="shared" si="77"/>
        <v>/* 테이블 : 게시물 */ CREATE TABLE TB_NTT (</v>
      </c>
      <c r="AA265" s="125" t="str">
        <f t="shared" si="118"/>
        <v>ATCH_FILE_SN INTEGER,</v>
      </c>
      <c r="AB265" s="125" t="str">
        <f t="shared" si="116"/>
        <v>ALTER TABLE TB_NTT ADD CONSTRAINT TB_NTT_FKEY3 FOREIGN KEY(ATCH_FILE_SN) REFERENCES TB_ATCH_FILE(ATCH_FILE_SN) ON UPDATE CASCADE ON DELETE SET NULL;</v>
      </c>
      <c r="AC265" s="125" t="str">
        <f t="shared" si="117"/>
        <v/>
      </c>
      <c r="AD265" s="125" t="str">
        <f t="shared" si="98"/>
        <v/>
      </c>
      <c r="AE265" s="125" t="str">
        <f t="shared" si="78"/>
        <v/>
      </c>
      <c r="AF265" s="125" t="str">
        <f t="shared" si="79"/>
        <v>COMMENT ON COLUMN TB_NTT.ATCH_FILE_SN IS '첨부 파일 일련번호' ;</v>
      </c>
      <c r="AG265" s="125" t="str">
        <f t="shared" si="99"/>
        <v>ALTER TABLE TB_NTT ALTER COLUMN ATCH_FILE_SN TYPE INTEGER;</v>
      </c>
      <c r="AH265" s="125" t="str">
        <f t="shared" si="100"/>
        <v>ALTER TABLE TB_NTT ADD COLUMN ATCH_FILE_SN INTEGER;</v>
      </c>
      <c r="AI265" s="125" t="str">
        <f t="shared" si="101"/>
        <v>ALTER TABLE TB_NTT DROP COLUMN ATCH_FILE_SN;</v>
      </c>
    </row>
    <row r="266" spans="2:35" ht="20.100000000000001" customHeight="1">
      <c r="B266" s="135">
        <v>261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8</v>
      </c>
      <c r="H266" s="101" t="s">
        <v>324</v>
      </c>
      <c r="I266" s="101" t="s">
        <v>296</v>
      </c>
      <c r="J266" s="73"/>
      <c r="K266" s="45"/>
      <c r="L266" s="45"/>
      <c r="M266" s="45"/>
      <c r="N266" s="45"/>
      <c r="O266" s="45"/>
      <c r="P266" s="45"/>
      <c r="Q266" s="101" t="s">
        <v>229</v>
      </c>
      <c r="R266" s="92"/>
      <c r="S266" s="45"/>
      <c r="T266" s="101" t="s">
        <v>335</v>
      </c>
      <c r="U266" s="78"/>
      <c r="V266" s="78"/>
      <c r="W266" s="101"/>
      <c r="X266" s="45"/>
      <c r="Y266" s="78"/>
      <c r="Z266" s="130" t="str">
        <f t="shared" si="77"/>
        <v>/* 테이블 : 게시물 */ CREATE TABLE TB_NTT (</v>
      </c>
      <c r="AA266" s="125" t="str">
        <f t="shared" si="118"/>
        <v>NTT_RDCNT INTEGER,</v>
      </c>
      <c r="AB266" s="125" t="str">
        <f t="shared" si="116"/>
        <v/>
      </c>
      <c r="AC266" s="125" t="str">
        <f t="shared" si="117"/>
        <v/>
      </c>
      <c r="AD266" s="125" t="str">
        <f t="shared" si="98"/>
        <v/>
      </c>
      <c r="AE266" s="125" t="str">
        <f t="shared" si="78"/>
        <v/>
      </c>
      <c r="AF266" s="125" t="str">
        <f t="shared" si="79"/>
        <v>COMMENT ON COLUMN TB_NTT.NTT_RDCNT IS '게시물 조회수' ;</v>
      </c>
      <c r="AG266" s="125" t="str">
        <f t="shared" si="99"/>
        <v>ALTER TABLE TB_NTT ALTER COLUMN NTT_RDCNT TYPE INTEGER;</v>
      </c>
      <c r="AH266" s="125" t="str">
        <f t="shared" si="100"/>
        <v>ALTER TABLE TB_NTT ADD COLUMN NTT_RDCNT INTEGER;</v>
      </c>
      <c r="AI266" s="125" t="str">
        <f t="shared" si="101"/>
        <v>ALTER TABLE TB_NTT DROP COLUMN NTT_RDCNT;</v>
      </c>
    </row>
    <row r="267" spans="2:35" ht="20.100000000000001" customHeight="1">
      <c r="B267" s="55">
        <v>262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9</v>
      </c>
      <c r="H267" s="101" t="s">
        <v>328</v>
      </c>
      <c r="I267" s="101" t="s">
        <v>329</v>
      </c>
      <c r="J267" s="73" t="s">
        <v>72</v>
      </c>
      <c r="K267" s="45"/>
      <c r="L267" s="45"/>
      <c r="M267" s="45"/>
      <c r="N267" s="45"/>
      <c r="O267" s="45"/>
      <c r="P267" s="45"/>
      <c r="Q267" s="51" t="s">
        <v>804</v>
      </c>
      <c r="R267" s="119" t="s">
        <v>522</v>
      </c>
      <c r="S267" s="45"/>
      <c r="T267" s="101" t="s">
        <v>341</v>
      </c>
      <c r="U267" s="78"/>
      <c r="V267" s="78"/>
      <c r="W267" s="101"/>
      <c r="X267" s="45"/>
      <c r="Y267" s="78"/>
      <c r="Z267" s="130" t="str">
        <f t="shared" si="77"/>
        <v>/* 테이블 : 게시물 */ CREATE TABLE TB_NTT (</v>
      </c>
      <c r="AA267" s="125" t="str">
        <f t="shared" si="118"/>
        <v>OPEN_YN BPCHAR(1) NOT NULL,</v>
      </c>
      <c r="AB267" s="125" t="str">
        <f t="shared" si="116"/>
        <v/>
      </c>
      <c r="AC267" s="125" t="str">
        <f t="shared" si="117"/>
        <v/>
      </c>
      <c r="AD267" s="125" t="str">
        <f t="shared" si="98"/>
        <v/>
      </c>
      <c r="AE267" s="125" t="str">
        <f t="shared" si="78"/>
        <v/>
      </c>
      <c r="AF267" s="125" t="str">
        <f t="shared" si="79"/>
        <v>COMMENT ON COLUMN TB_NTT.OPEN_YN IS '공개 여부' ;</v>
      </c>
      <c r="AG267" s="125" t="str">
        <f t="shared" si="99"/>
        <v>ALTER TABLE TB_NTT ALTER COLUMN OPEN_YN TYPE BPCHAR(1);</v>
      </c>
      <c r="AH267" s="125" t="str">
        <f t="shared" si="100"/>
        <v>ALTER TABLE TB_NTT ADD COLUMN OPEN_YN BPCHAR(1) NOT NULL;</v>
      </c>
      <c r="AI267" s="125" t="str">
        <f t="shared" si="101"/>
        <v>ALTER TABLE TB_NTT DROP COLUMN OPEN_YN;</v>
      </c>
    </row>
    <row r="268" spans="2:35" ht="20.100000000000001" customHeight="1">
      <c r="B268" s="55">
        <v>263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10</v>
      </c>
      <c r="H268" s="101" t="s">
        <v>570</v>
      </c>
      <c r="I268" s="101" t="s">
        <v>572</v>
      </c>
      <c r="J268" s="73"/>
      <c r="K268" s="45"/>
      <c r="L268" s="45"/>
      <c r="M268" s="45"/>
      <c r="N268" s="45"/>
      <c r="O268" s="45"/>
      <c r="P268" s="45"/>
      <c r="Q268" s="51" t="s">
        <v>804</v>
      </c>
      <c r="R268" s="119" t="s">
        <v>522</v>
      </c>
      <c r="S268" s="45"/>
      <c r="T268" s="101" t="s">
        <v>573</v>
      </c>
      <c r="U268" s="78"/>
      <c r="V268" s="78"/>
      <c r="W268" s="101"/>
      <c r="X268" s="45"/>
      <c r="Y268" s="78"/>
      <c r="Z268" s="130" t="str">
        <f t="shared" ref="Z268:Z331" si="123">"/* 테이블 : "&amp; $F268 &amp;" */ CREATE TABLE "&amp;$E268&amp;" ("</f>
        <v>/* 테이블 : 게시물 */ CREATE TABLE TB_NTT (</v>
      </c>
      <c r="AA268" s="125" t="str">
        <f t="shared" si="118"/>
        <v>NOTICE_SET_YN BPCHAR(1),</v>
      </c>
      <c r="AB268" s="125" t="str">
        <f t="shared" si="116"/>
        <v/>
      </c>
      <c r="AC268" s="125" t="str">
        <f t="shared" si="117"/>
        <v/>
      </c>
      <c r="AD268" s="125" t="str">
        <f t="shared" si="98"/>
        <v/>
      </c>
      <c r="AE268" s="125" t="str">
        <f t="shared" ref="AE268:AE331" si="124">IF(ISBLANK($S268),"","ALTER TABLE " &amp; $E268 &amp; " ALTER COLUMN " &amp; $H268 &amp; " SET DEFAULT " &amp; $S268 &amp; ";")</f>
        <v/>
      </c>
      <c r="AF268" s="125" t="str">
        <f t="shared" ref="AF268:AF331" si="125">"COMMENT ON COLUMN "&amp;$E268&amp;"."&amp;$H268&amp;" IS '"&amp;$T268&amp;"' ;"</f>
        <v>COMMENT ON COLUMN TB_NTT.NOTICE_SET_YN IS '공지 설정 여부' ;</v>
      </c>
      <c r="AG268" s="125" t="str">
        <f t="shared" si="99"/>
        <v>ALTER TABLE TB_NTT ALTER COLUMN NOTICE_SET_YN TYPE BPCHAR(1);</v>
      </c>
      <c r="AH268" s="125" t="str">
        <f t="shared" si="100"/>
        <v>ALTER TABLE TB_NTT ADD COLUMN NOTICE_SET_YN BPCHAR(1);</v>
      </c>
      <c r="AI268" s="125" t="str">
        <f t="shared" si="101"/>
        <v>ALTER TABLE TB_NTT DROP COLUMN NOTICE_SET_YN;</v>
      </c>
    </row>
    <row r="269" spans="2:35" ht="20.100000000000001" customHeight="1">
      <c r="B269" s="55">
        <v>264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11</v>
      </c>
      <c r="H269" s="101" t="s">
        <v>340</v>
      </c>
      <c r="I269" s="101" t="s">
        <v>339</v>
      </c>
      <c r="J269" s="73"/>
      <c r="K269" s="45"/>
      <c r="L269" s="45"/>
      <c r="M269" s="45"/>
      <c r="N269" s="45"/>
      <c r="O269" s="45"/>
      <c r="P269" s="45"/>
      <c r="Q269" s="104" t="s">
        <v>229</v>
      </c>
      <c r="R269" s="47"/>
      <c r="S269" s="45"/>
      <c r="T269" s="101" t="s">
        <v>342</v>
      </c>
      <c r="U269" s="125"/>
      <c r="V269" s="125"/>
      <c r="W269" s="101"/>
      <c r="X269" s="45"/>
      <c r="Y269" s="78"/>
      <c r="Z269" s="130" t="str">
        <f t="shared" si="123"/>
        <v>/* 테이블 : 게시물 */ CREATE TABLE TB_NTT (</v>
      </c>
      <c r="AA269" s="125" t="str">
        <f t="shared" si="118"/>
        <v>NOTICE_SEQ INTEGER,</v>
      </c>
      <c r="AB269" s="125" t="str">
        <f t="shared" si="116"/>
        <v/>
      </c>
      <c r="AC269" s="125" t="str">
        <f t="shared" si="117"/>
        <v/>
      </c>
      <c r="AD269" s="125" t="str">
        <f t="shared" si="98"/>
        <v/>
      </c>
      <c r="AE269" s="125" t="str">
        <f t="shared" si="124"/>
        <v/>
      </c>
      <c r="AF269" s="125" t="str">
        <f t="shared" si="125"/>
        <v>COMMENT ON COLUMN TB_NTT.NOTICE_SEQ IS '공지 순번' ;</v>
      </c>
      <c r="AG269" s="125" t="str">
        <f t="shared" si="99"/>
        <v>ALTER TABLE TB_NTT ALTER COLUMN NOTICE_SEQ TYPE INTEGER;</v>
      </c>
      <c r="AH269" s="125" t="str">
        <f t="shared" si="100"/>
        <v>ALTER TABLE TB_NTT ADD COLUMN NOTICE_SEQ INTEGER;</v>
      </c>
      <c r="AI269" s="125" t="str">
        <f t="shared" si="101"/>
        <v>ALTER TABLE TB_NTT DROP COLUMN NOTICE_SEQ;</v>
      </c>
    </row>
    <row r="270" spans="2:35" ht="20.100000000000001" customHeight="1">
      <c r="B270" s="135">
        <v>265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12</v>
      </c>
      <c r="H270" s="97" t="s">
        <v>107</v>
      </c>
      <c r="I270" s="51" t="s">
        <v>76</v>
      </c>
      <c r="J270" s="73" t="s">
        <v>72</v>
      </c>
      <c r="K270" s="67"/>
      <c r="L270" s="67"/>
      <c r="M270" s="77"/>
      <c r="N270" s="77"/>
      <c r="O270" s="77"/>
      <c r="P270" s="77"/>
      <c r="Q270" s="100" t="s">
        <v>521</v>
      </c>
      <c r="R270" s="119" t="s">
        <v>526</v>
      </c>
      <c r="S270" s="80"/>
      <c r="T270" s="107" t="s">
        <v>219</v>
      </c>
      <c r="U270" s="123"/>
      <c r="V270" s="123"/>
      <c r="W270" s="116" t="s">
        <v>496</v>
      </c>
      <c r="X270" s="85"/>
      <c r="Y270" s="123"/>
      <c r="Z270" s="130" t="str">
        <f t="shared" si="123"/>
        <v>/* 테이블 : 게시물 */ CREATE TABLE TB_NTT (</v>
      </c>
      <c r="AA270" s="125" t="str">
        <f t="shared" si="118"/>
        <v>REGISTER_ID VARCHAR(50) NOT NULL,</v>
      </c>
      <c r="AB270" s="125" t="str">
        <f t="shared" si="116"/>
        <v/>
      </c>
      <c r="AC270" s="125" t="str">
        <f t="shared" si="117"/>
        <v/>
      </c>
      <c r="AD270" s="125" t="str">
        <f t="shared" si="98"/>
        <v/>
      </c>
      <c r="AE270" s="125" t="str">
        <f t="shared" si="124"/>
        <v/>
      </c>
      <c r="AF270" s="125" t="str">
        <f t="shared" si="125"/>
        <v>COMMENT ON COLUMN TB_NTT.REGISTER_ID IS '등록자 ID' ;</v>
      </c>
      <c r="AG270" s="125" t="str">
        <f t="shared" si="99"/>
        <v>ALTER TABLE TB_NTT ALTER COLUMN REGISTER_ID TYPE VARCHAR(50);</v>
      </c>
      <c r="AH270" s="125" t="str">
        <f t="shared" si="100"/>
        <v>ALTER TABLE TB_NTT ADD COLUMN REGISTER_ID VARCHAR(50) NOT NULL;</v>
      </c>
      <c r="AI270" s="125" t="str">
        <f t="shared" si="101"/>
        <v>ALTER TABLE TB_NTT DROP COLUMN REGISTER_ID;</v>
      </c>
    </row>
    <row r="271" spans="2:35" ht="20.100000000000001" customHeight="1">
      <c r="B271" s="55">
        <v>266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13</v>
      </c>
      <c r="H271" s="97" t="s">
        <v>91</v>
      </c>
      <c r="I271" s="51" t="s">
        <v>77</v>
      </c>
      <c r="J271" s="73" t="s">
        <v>72</v>
      </c>
      <c r="K271" s="52"/>
      <c r="L271" s="52"/>
      <c r="M271" s="52"/>
      <c r="N271" s="52"/>
      <c r="O271" s="52"/>
      <c r="P271" s="52"/>
      <c r="Q271" s="56" t="s">
        <v>106</v>
      </c>
      <c r="R271" s="119" t="s">
        <v>527</v>
      </c>
      <c r="S271" s="80"/>
      <c r="T271" s="107" t="s">
        <v>218</v>
      </c>
      <c r="U271" s="123"/>
      <c r="V271" s="123"/>
      <c r="W271" s="104"/>
      <c r="X271" s="85"/>
      <c r="Y271" s="123"/>
      <c r="Z271" s="130" t="str">
        <f t="shared" si="123"/>
        <v>/* 테이블 : 게시물 */ CREATE TABLE TB_NTT (</v>
      </c>
      <c r="AA271" s="125" t="str">
        <f t="shared" si="118"/>
        <v>REGISTER_IP VARCHAR(100) NOT NULL,</v>
      </c>
      <c r="AB271" s="125" t="str">
        <f t="shared" si="116"/>
        <v/>
      </c>
      <c r="AC271" s="125" t="str">
        <f t="shared" si="117"/>
        <v/>
      </c>
      <c r="AD271" s="125" t="str">
        <f t="shared" si="98"/>
        <v/>
      </c>
      <c r="AE271" s="125" t="str">
        <f t="shared" si="124"/>
        <v/>
      </c>
      <c r="AF271" s="125" t="str">
        <f t="shared" si="125"/>
        <v>COMMENT ON COLUMN TB_NTT.REGISTER_IP IS '등록자 IP' ;</v>
      </c>
      <c r="AG271" s="125" t="str">
        <f t="shared" si="99"/>
        <v>ALTER TABLE TB_NTT ALTER COLUMN REGISTER_IP TYPE VARCHAR(100);</v>
      </c>
      <c r="AH271" s="125" t="str">
        <f t="shared" si="100"/>
        <v>ALTER TABLE TB_NTT ADD COLUMN REGISTER_IP VARCHAR(100) NOT NULL;</v>
      </c>
      <c r="AI271" s="125" t="str">
        <f t="shared" si="101"/>
        <v>ALTER TABLE TB_NTT DROP COLUMN REGISTER_IP;</v>
      </c>
    </row>
    <row r="272" spans="2:35" ht="20.100000000000001" customHeight="1">
      <c r="B272" s="55">
        <v>267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14</v>
      </c>
      <c r="H272" s="97" t="s">
        <v>92</v>
      </c>
      <c r="I272" s="96" t="s">
        <v>78</v>
      </c>
      <c r="J272" s="73" t="s">
        <v>72</v>
      </c>
      <c r="K272" s="52"/>
      <c r="L272" s="52"/>
      <c r="M272" s="52"/>
      <c r="N272" s="52"/>
      <c r="O272" s="52"/>
      <c r="P272" s="52"/>
      <c r="Q272" s="51" t="s">
        <v>706</v>
      </c>
      <c r="R272" s="119"/>
      <c r="S272" s="80"/>
      <c r="T272" s="107" t="s">
        <v>217</v>
      </c>
      <c r="U272" s="123"/>
      <c r="V272" s="123"/>
      <c r="W272" s="104"/>
      <c r="X272" s="85"/>
      <c r="Y272" s="123"/>
      <c r="Z272" s="130" t="str">
        <f t="shared" si="123"/>
        <v>/* 테이블 : 게시물 */ CREATE TABLE TB_NTT (</v>
      </c>
      <c r="AA272" s="125" t="str">
        <f t="shared" si="118"/>
        <v>REG_DT TIMESTAMP NOT NULL,</v>
      </c>
      <c r="AB272" s="125" t="str">
        <f t="shared" si="116"/>
        <v/>
      </c>
      <c r="AC272" s="125" t="str">
        <f t="shared" si="117"/>
        <v/>
      </c>
      <c r="AD272" s="125" t="str">
        <f t="shared" si="98"/>
        <v/>
      </c>
      <c r="AE272" s="125" t="str">
        <f t="shared" si="124"/>
        <v/>
      </c>
      <c r="AF272" s="125" t="str">
        <f t="shared" si="125"/>
        <v>COMMENT ON COLUMN TB_NTT.REG_DT IS '등록 일시' ;</v>
      </c>
      <c r="AG272" s="125" t="str">
        <f t="shared" si="99"/>
        <v>ALTER TABLE TB_NTT ALTER COLUMN REG_DT TYPE TIMESTAMP;</v>
      </c>
      <c r="AH272" s="125" t="str">
        <f t="shared" si="100"/>
        <v>ALTER TABLE TB_NTT ADD COLUMN REG_DT TIMESTAMP NOT NULL;</v>
      </c>
      <c r="AI272" s="125" t="str">
        <f t="shared" si="101"/>
        <v>ALTER TABLE TB_NTT DROP COLUMN REG_DT;</v>
      </c>
    </row>
    <row r="273" spans="2:35" ht="20.100000000000001" customHeight="1">
      <c r="B273" s="55">
        <v>268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15</v>
      </c>
      <c r="H273" s="97" t="s">
        <v>93</v>
      </c>
      <c r="I273" s="96" t="s">
        <v>80</v>
      </c>
      <c r="J273" s="52"/>
      <c r="K273" s="52"/>
      <c r="L273" s="52"/>
      <c r="M273" s="79"/>
      <c r="N273" s="79"/>
      <c r="O273" s="79"/>
      <c r="P273" s="79"/>
      <c r="Q273" s="100" t="s">
        <v>521</v>
      </c>
      <c r="R273" s="119" t="s">
        <v>526</v>
      </c>
      <c r="S273" s="80"/>
      <c r="T273" s="107" t="s">
        <v>216</v>
      </c>
      <c r="U273" s="123"/>
      <c r="V273" s="123"/>
      <c r="W273" s="116" t="s">
        <v>496</v>
      </c>
      <c r="X273" s="85"/>
      <c r="Y273" s="123"/>
      <c r="Z273" s="130" t="str">
        <f t="shared" si="123"/>
        <v>/* 테이블 : 게시물 */ CREATE TABLE TB_NTT (</v>
      </c>
      <c r="AA273" s="125" t="str">
        <f t="shared" si="118"/>
        <v>UPDUSR_ID VARCHAR(50),</v>
      </c>
      <c r="AB273" s="125" t="str">
        <f t="shared" si="116"/>
        <v/>
      </c>
      <c r="AC273" s="125" t="str">
        <f t="shared" si="117"/>
        <v/>
      </c>
      <c r="AD273" s="125" t="str">
        <f t="shared" si="98"/>
        <v/>
      </c>
      <c r="AE273" s="125" t="str">
        <f t="shared" si="124"/>
        <v/>
      </c>
      <c r="AF273" s="125" t="str">
        <f t="shared" si="125"/>
        <v>COMMENT ON COLUMN TB_NTT.UPDUSR_ID IS '수정자 ID' ;</v>
      </c>
      <c r="AG273" s="125" t="str">
        <f t="shared" si="99"/>
        <v>ALTER TABLE TB_NTT ALTER COLUMN UPDUSR_ID TYPE VARCHAR(50);</v>
      </c>
      <c r="AH273" s="125" t="str">
        <f t="shared" si="100"/>
        <v>ALTER TABLE TB_NTT ADD COLUMN UPDUSR_ID VARCHAR(50);</v>
      </c>
      <c r="AI273" s="125" t="str">
        <f t="shared" si="101"/>
        <v>ALTER TABLE TB_NTT DROP COLUMN UPDUSR_ID;</v>
      </c>
    </row>
    <row r="274" spans="2:35" ht="20.100000000000001" customHeight="1">
      <c r="B274" s="135">
        <v>269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16</v>
      </c>
      <c r="H274" s="97" t="s">
        <v>94</v>
      </c>
      <c r="I274" s="96" t="s">
        <v>79</v>
      </c>
      <c r="J274" s="52"/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215</v>
      </c>
      <c r="U274" s="123"/>
      <c r="V274" s="123"/>
      <c r="W274" s="104"/>
      <c r="X274" s="85"/>
      <c r="Y274" s="123"/>
      <c r="Z274" s="130" t="str">
        <f t="shared" si="123"/>
        <v>/* 테이블 : 게시물 */ CREATE TABLE TB_NTT (</v>
      </c>
      <c r="AA274" s="125" t="str">
        <f t="shared" si="118"/>
        <v>UPDUSR_IP VARCHAR(100),</v>
      </c>
      <c r="AB274" s="125" t="str">
        <f t="shared" si="116"/>
        <v/>
      </c>
      <c r="AC274" s="125" t="str">
        <f t="shared" si="117"/>
        <v/>
      </c>
      <c r="AD274" s="125" t="str">
        <f t="shared" si="98"/>
        <v/>
      </c>
      <c r="AE274" s="125" t="str">
        <f t="shared" si="124"/>
        <v/>
      </c>
      <c r="AF274" s="125" t="str">
        <f t="shared" si="125"/>
        <v>COMMENT ON COLUMN TB_NTT.UPDUSR_IP IS '수정자 IP' ;</v>
      </c>
      <c r="AG274" s="125" t="str">
        <f t="shared" si="99"/>
        <v>ALTER TABLE TB_NTT ALTER COLUMN UPDUSR_IP TYPE VARCHAR(100);</v>
      </c>
      <c r="AH274" s="125" t="str">
        <f t="shared" si="100"/>
        <v>ALTER TABLE TB_NTT ADD COLUMN UPDUSR_IP VARCHAR(100);</v>
      </c>
      <c r="AI274" s="125" t="str">
        <f t="shared" si="101"/>
        <v>ALTER TABLE TB_NTT DROP COLUMN UPDUSR_IP;</v>
      </c>
    </row>
    <row r="275" spans="2:35" ht="20.100000000000001" customHeight="1">
      <c r="B275" s="55">
        <v>270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17</v>
      </c>
      <c r="H275" s="98" t="s">
        <v>95</v>
      </c>
      <c r="I275" s="97" t="s">
        <v>81</v>
      </c>
      <c r="J275" s="61"/>
      <c r="K275" s="61"/>
      <c r="L275" s="61"/>
      <c r="M275" s="61"/>
      <c r="N275" s="61"/>
      <c r="O275" s="61"/>
      <c r="P275" s="61"/>
      <c r="Q275" s="51" t="s">
        <v>706</v>
      </c>
      <c r="R275" s="119"/>
      <c r="S275" s="77"/>
      <c r="T275" s="107" t="s">
        <v>214</v>
      </c>
      <c r="U275" s="123"/>
      <c r="V275" s="123"/>
      <c r="W275" s="104"/>
      <c r="X275" s="85"/>
      <c r="Y275" s="123"/>
      <c r="Z275" s="130" t="str">
        <f t="shared" si="123"/>
        <v>/* 테이블 : 게시물 */ CREATE TABLE TB_NTT (</v>
      </c>
      <c r="AA275" s="125" t="str">
        <f t="shared" si="118"/>
        <v>UPDT_DT TIMESTAMP,</v>
      </c>
      <c r="AB275" s="125" t="str">
        <f t="shared" si="116"/>
        <v/>
      </c>
      <c r="AC275" s="125" t="str">
        <f t="shared" si="117"/>
        <v/>
      </c>
      <c r="AD275" s="125" t="str">
        <f t="shared" si="98"/>
        <v/>
      </c>
      <c r="AE275" s="125" t="str">
        <f t="shared" si="124"/>
        <v/>
      </c>
      <c r="AF275" s="125" t="str">
        <f t="shared" si="125"/>
        <v>COMMENT ON COLUMN TB_NTT.UPDT_DT IS '수정 일시' ;</v>
      </c>
      <c r="AG275" s="125" t="str">
        <f t="shared" si="99"/>
        <v>ALTER TABLE TB_NTT ALTER COLUMN UPDT_DT TYPE TIMESTAMP;</v>
      </c>
      <c r="AH275" s="125" t="str">
        <f t="shared" si="100"/>
        <v>ALTER TABLE TB_NTT ADD COLUMN UPDT_DT TIMESTAMP;</v>
      </c>
      <c r="AI275" s="125" t="str">
        <f t="shared" si="101"/>
        <v>ALTER TABLE TB_NTT DROP COLUMN UPDT_DT;</v>
      </c>
    </row>
    <row r="276" spans="2:35" ht="20.100000000000001" customHeight="1">
      <c r="B276" s="55">
        <v>271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18</v>
      </c>
      <c r="H276" s="97" t="s">
        <v>96</v>
      </c>
      <c r="I276" s="97" t="s">
        <v>82</v>
      </c>
      <c r="J276" s="73" t="s">
        <v>72</v>
      </c>
      <c r="K276" s="61"/>
      <c r="L276" s="61"/>
      <c r="M276" s="61"/>
      <c r="N276" s="61"/>
      <c r="O276" s="61"/>
      <c r="P276" s="61"/>
      <c r="Q276" s="51" t="s">
        <v>804</v>
      </c>
      <c r="R276" s="119" t="s">
        <v>522</v>
      </c>
      <c r="S276" s="82" t="s">
        <v>803</v>
      </c>
      <c r="T276" s="107" t="s">
        <v>213</v>
      </c>
      <c r="U276" s="123"/>
      <c r="V276" s="123"/>
      <c r="W276" s="104"/>
      <c r="X276" s="85"/>
      <c r="Y276" s="123"/>
      <c r="Z276" s="130" t="str">
        <f t="shared" si="123"/>
        <v>/* 테이블 : 게시물 */ CREATE TABLE TB_NTT (</v>
      </c>
      <c r="AA276" s="125" t="str">
        <f t="shared" si="118"/>
        <v>DEL_YN BPCHAR(1) NOT NULL,</v>
      </c>
      <c r="AB276" s="125" t="str">
        <f t="shared" si="116"/>
        <v/>
      </c>
      <c r="AC276" s="125" t="str">
        <f t="shared" si="117"/>
        <v/>
      </c>
      <c r="AD276" s="125" t="str">
        <f t="shared" si="98"/>
        <v/>
      </c>
      <c r="AE276" s="125" t="str">
        <f t="shared" si="124"/>
        <v>ALTER TABLE TB_NTT ALTER COLUMN DEL_YN SET DEFAULT 'N'::bpchar;</v>
      </c>
      <c r="AF276" s="125" t="str">
        <f t="shared" si="125"/>
        <v>COMMENT ON COLUMN TB_NTT.DEL_YN IS '삭제 여부' ;</v>
      </c>
      <c r="AG276" s="125" t="str">
        <f t="shared" si="99"/>
        <v>ALTER TABLE TB_NTT ALTER COLUMN DEL_YN TYPE BPCHAR(1);</v>
      </c>
      <c r="AH276" s="125" t="str">
        <f t="shared" si="100"/>
        <v>ALTER TABLE TB_NTT ADD COLUMN DEL_YN BPCHAR(1) NOT NULL DEFAULT ''N'::bpchar';</v>
      </c>
      <c r="AI276" s="125" t="str">
        <f t="shared" si="101"/>
        <v>ALTER TABLE TB_NTT DROP COLUMN DEL_YN;</v>
      </c>
    </row>
    <row r="277" spans="2:35" ht="20.100000000000001" customHeight="1">
      <c r="B277" s="55">
        <v>272</v>
      </c>
      <c r="C277" s="26" t="s">
        <v>7</v>
      </c>
      <c r="D277" s="26" t="s">
        <v>16</v>
      </c>
      <c r="E277" s="10" t="s">
        <v>721</v>
      </c>
      <c r="F277" s="10" t="s">
        <v>281</v>
      </c>
      <c r="G277" s="87">
        <v>1</v>
      </c>
      <c r="H277" s="104" t="s">
        <v>722</v>
      </c>
      <c r="I277" s="104" t="s">
        <v>325</v>
      </c>
      <c r="J277" s="73" t="s">
        <v>72</v>
      </c>
      <c r="K277" s="85">
        <v>1</v>
      </c>
      <c r="L277" s="85"/>
      <c r="M277" s="85"/>
      <c r="N277" s="85"/>
      <c r="O277" s="85"/>
      <c r="P277" s="85"/>
      <c r="Q277" s="101" t="s">
        <v>229</v>
      </c>
      <c r="R277" s="87"/>
      <c r="S277" s="85"/>
      <c r="T277" s="104" t="s">
        <v>336</v>
      </c>
      <c r="U277" s="125" t="str">
        <f>"SEQ_"&amp;E277&amp;"_SN"</f>
        <v>SEQ_TB_NTT_REPLY_SN</v>
      </c>
      <c r="V277" s="125"/>
      <c r="W277" s="104"/>
      <c r="X277" s="85"/>
      <c r="Y277" s="123"/>
      <c r="Z277" s="130" t="str">
        <f t="shared" si="123"/>
        <v>/* 테이블 : 게시물댓글 */ CREATE TABLE TB_NTT_REPLY (</v>
      </c>
      <c r="AA277" s="125" t="str">
        <f t="shared" si="118"/>
        <v>NTT_REPLY_SN INTEGER PRIMARY KEY,</v>
      </c>
      <c r="AB277" s="125" t="str">
        <f t="shared" si="116"/>
        <v/>
      </c>
      <c r="AC277" s="125" t="str">
        <f t="shared" si="117"/>
        <v>CREATE SEQUENCE SEQ_TB_NTT_REPLY_SN START 100000;</v>
      </c>
      <c r="AD277" s="125" t="str">
        <f t="shared" si="98"/>
        <v>ALTER TABLE TB_NTT_REPLY ALTER COLUMN NTT_REPLY_SN SET DEFAULT NEXTVAL('SEQ_TB_NTT_REPLY_SN');</v>
      </c>
      <c r="AE277" s="125" t="str">
        <f t="shared" si="124"/>
        <v/>
      </c>
      <c r="AF277" s="125" t="str">
        <f t="shared" si="125"/>
        <v>COMMENT ON COLUMN TB_NTT_REPLY.NTT_REPLY_SN IS '게시물 댓글 일련번호' ;</v>
      </c>
      <c r="AG277" s="125" t="str">
        <f t="shared" si="99"/>
        <v>ALTER TABLE TB_NTT_REPLY ALTER COLUMN NTT_REPLY_SN TYPE INTEGER;</v>
      </c>
      <c r="AH277" s="125" t="str">
        <f t="shared" si="100"/>
        <v>ALTER TABLE TB_NTT_REPLY ADD COLUMN NTT_REPLY_SN INTEGER NOT NULL;</v>
      </c>
      <c r="AI277" s="125" t="str">
        <f t="shared" si="101"/>
        <v>ALTER TABLE TB_NTT_REPLY DROP COLUMN NTT_REPLY_SN;</v>
      </c>
    </row>
    <row r="278" spans="2:35" ht="20.100000000000001" customHeight="1">
      <c r="B278" s="135">
        <v>273</v>
      </c>
      <c r="C278" s="26" t="s">
        <v>7</v>
      </c>
      <c r="D278" s="26" t="s">
        <v>16</v>
      </c>
      <c r="E278" s="10" t="s">
        <v>721</v>
      </c>
      <c r="F278" s="10" t="s">
        <v>281</v>
      </c>
      <c r="G278" s="87">
        <v>2</v>
      </c>
      <c r="H278" s="104" t="s">
        <v>297</v>
      </c>
      <c r="I278" s="104" t="s">
        <v>292</v>
      </c>
      <c r="J278" s="73" t="s">
        <v>72</v>
      </c>
      <c r="K278" s="85"/>
      <c r="L278" s="85">
        <v>1</v>
      </c>
      <c r="M278" s="10" t="s">
        <v>279</v>
      </c>
      <c r="N278" s="104" t="s">
        <v>297</v>
      </c>
      <c r="O278" s="95" t="s">
        <v>539</v>
      </c>
      <c r="P278" s="95" t="s">
        <v>541</v>
      </c>
      <c r="Q278" s="101" t="s">
        <v>229</v>
      </c>
      <c r="R278" s="87"/>
      <c r="S278" s="85"/>
      <c r="T278" s="104" t="s">
        <v>330</v>
      </c>
      <c r="U278" s="123"/>
      <c r="V278" s="123"/>
      <c r="W278" s="104"/>
      <c r="X278" s="85"/>
      <c r="Y278" s="123"/>
      <c r="Z278" s="130" t="str">
        <f t="shared" si="123"/>
        <v>/* 테이블 : 게시물댓글 */ CREATE TABLE TB_NTT_REPLY (</v>
      </c>
      <c r="AA278" s="125" t="str">
        <f t="shared" si="118"/>
        <v>NTT_SN INTEGER NOT NULL,</v>
      </c>
      <c r="AB278" s="125" t="str">
        <f t="shared" si="116"/>
        <v>ALTER TABLE TB_NTT_REPLY ADD CONSTRAINT TB_NTT_REPLY_FKEY1 FOREIGN KEY(NTT_SN) REFERENCES TB_NTT(NTT_SN) ON UPDATE CASCADE ON DELETE CASCADE;</v>
      </c>
      <c r="AC278" s="125" t="str">
        <f t="shared" si="117"/>
        <v/>
      </c>
      <c r="AD278" s="125" t="str">
        <f t="shared" si="98"/>
        <v/>
      </c>
      <c r="AE278" s="125" t="str">
        <f t="shared" si="124"/>
        <v/>
      </c>
      <c r="AF278" s="125" t="str">
        <f t="shared" si="125"/>
        <v>COMMENT ON COLUMN TB_NTT_REPLY.NTT_SN IS '게시물 일련번호' ;</v>
      </c>
      <c r="AG278" s="125" t="str">
        <f t="shared" si="99"/>
        <v>ALTER TABLE TB_NTT_REPLY ALTER COLUMN NTT_SN TYPE INTEGER;</v>
      </c>
      <c r="AH278" s="125" t="str">
        <f t="shared" si="100"/>
        <v>ALTER TABLE TB_NTT_REPLY ADD COLUMN NTT_SN INTEGER NOT NULL;</v>
      </c>
      <c r="AI278" s="125" t="str">
        <f t="shared" si="101"/>
        <v>ALTER TABLE TB_NTT_REPLY DROP COLUMN NTT_SN;</v>
      </c>
    </row>
    <row r="279" spans="2:35" ht="20.100000000000001" customHeight="1">
      <c r="B279" s="55">
        <v>274</v>
      </c>
      <c r="C279" s="26" t="s">
        <v>7</v>
      </c>
      <c r="D279" s="26" t="s">
        <v>16</v>
      </c>
      <c r="E279" s="10" t="s">
        <v>721</v>
      </c>
      <c r="F279" s="10" t="s">
        <v>281</v>
      </c>
      <c r="G279" s="87">
        <v>3</v>
      </c>
      <c r="H279" s="101" t="s">
        <v>628</v>
      </c>
      <c r="I279" s="101" t="s">
        <v>629</v>
      </c>
      <c r="J279" s="45"/>
      <c r="K279" s="45"/>
      <c r="L279" s="45"/>
      <c r="M279" s="78"/>
      <c r="N279" s="95"/>
      <c r="O279" s="95"/>
      <c r="P279" s="95"/>
      <c r="Q279" s="101" t="s">
        <v>229</v>
      </c>
      <c r="R279" s="119"/>
      <c r="S279" s="45"/>
      <c r="T279" s="101" t="s">
        <v>838</v>
      </c>
      <c r="U279" s="78"/>
      <c r="V279" s="78"/>
      <c r="W279" s="116" t="s">
        <v>612</v>
      </c>
      <c r="X279" s="45"/>
      <c r="Y279" s="78"/>
      <c r="Z279" s="130" t="str">
        <f t="shared" si="123"/>
        <v>/* 테이블 : 게시물댓글 */ CREATE TABLE TB_NTT_REPLY (</v>
      </c>
      <c r="AA279" s="125" t="str">
        <f t="shared" si="118"/>
        <v>STEP INTEGER,</v>
      </c>
      <c r="AB279" s="125" t="str">
        <f t="shared" si="116"/>
        <v/>
      </c>
      <c r="AC279" s="125" t="str">
        <f t="shared" si="117"/>
        <v/>
      </c>
      <c r="AD279" s="125" t="str">
        <f t="shared" si="98"/>
        <v/>
      </c>
      <c r="AE279" s="125" t="str">
        <f t="shared" si="124"/>
        <v/>
      </c>
      <c r="AF279" s="125" t="str">
        <f t="shared" si="125"/>
        <v>COMMENT ON COLUMN TB_NTT_REPLY.STEP IS '계층 (원글 : 1 , 답글 : 2~ )' ;</v>
      </c>
      <c r="AG279" s="125" t="str">
        <f t="shared" si="99"/>
        <v>ALTER TABLE TB_NTT_REPLY ALTER COLUMN STEP TYPE INTEGER;</v>
      </c>
      <c r="AH279" s="125" t="str">
        <f t="shared" si="100"/>
        <v>ALTER TABLE TB_NTT_REPLY ADD COLUMN STEP INTEGER;</v>
      </c>
      <c r="AI279" s="125" t="str">
        <f t="shared" si="101"/>
        <v>ALTER TABLE TB_NTT_REPLY DROP COLUMN STEP;</v>
      </c>
    </row>
    <row r="280" spans="2:35" ht="20.100000000000001" customHeight="1">
      <c r="B280" s="55">
        <v>275</v>
      </c>
      <c r="C280" s="26" t="s">
        <v>7</v>
      </c>
      <c r="D280" s="26" t="s">
        <v>16</v>
      </c>
      <c r="E280" s="10" t="s">
        <v>721</v>
      </c>
      <c r="F280" s="10" t="s">
        <v>281</v>
      </c>
      <c r="G280" s="87">
        <v>4</v>
      </c>
      <c r="H280" s="101" t="s">
        <v>723</v>
      </c>
      <c r="I280" s="101" t="s">
        <v>632</v>
      </c>
      <c r="J280" s="45"/>
      <c r="K280" s="45"/>
      <c r="L280" s="45"/>
      <c r="M280" s="78"/>
      <c r="N280" s="95"/>
      <c r="O280" s="95"/>
      <c r="P280" s="95"/>
      <c r="Q280" s="101" t="s">
        <v>229</v>
      </c>
      <c r="R280" s="119"/>
      <c r="S280" s="45"/>
      <c r="T280" s="101" t="s">
        <v>633</v>
      </c>
      <c r="U280" s="125"/>
      <c r="V280" s="78"/>
      <c r="W280" s="116" t="s">
        <v>613</v>
      </c>
      <c r="X280" s="45"/>
      <c r="Y280" s="78"/>
      <c r="Z280" s="130" t="str">
        <f t="shared" si="123"/>
        <v>/* 테이블 : 게시물댓글 */ CREATE TABLE TB_NTT_REPLY (</v>
      </c>
      <c r="AA280" s="125" t="str">
        <f t="shared" si="118"/>
        <v>PARNTS_REPLY_SN INTEGER,</v>
      </c>
      <c r="AB280" s="125" t="str">
        <f t="shared" si="116"/>
        <v/>
      </c>
      <c r="AC280" s="125" t="str">
        <f t="shared" si="117"/>
        <v/>
      </c>
      <c r="AD280" s="125" t="str">
        <f t="shared" si="98"/>
        <v/>
      </c>
      <c r="AE280" s="125" t="str">
        <f t="shared" si="124"/>
        <v/>
      </c>
      <c r="AF280" s="125" t="str">
        <f t="shared" si="125"/>
        <v>COMMENT ON COLUMN TB_NTT_REPLY.PARNTS_REPLY_SN IS '부모 댓글 일련번호' ;</v>
      </c>
      <c r="AG280" s="125" t="str">
        <f t="shared" si="99"/>
        <v>ALTER TABLE TB_NTT_REPLY ALTER COLUMN PARNTS_REPLY_SN TYPE INTEGER;</v>
      </c>
      <c r="AH280" s="125" t="str">
        <f t="shared" si="100"/>
        <v>ALTER TABLE TB_NTT_REPLY ADD COLUMN PARNTS_REPLY_SN INTEGER;</v>
      </c>
      <c r="AI280" s="125" t="str">
        <f t="shared" si="101"/>
        <v>ALTER TABLE TB_NTT_REPLY DROP COLUMN PARNTS_REPLY_SN;</v>
      </c>
    </row>
    <row r="281" spans="2:35" ht="20.100000000000001" customHeight="1">
      <c r="B281" s="55">
        <v>276</v>
      </c>
      <c r="C281" s="26" t="s">
        <v>7</v>
      </c>
      <c r="D281" s="26" t="s">
        <v>16</v>
      </c>
      <c r="E281" s="10" t="s">
        <v>721</v>
      </c>
      <c r="F281" s="10" t="s">
        <v>281</v>
      </c>
      <c r="G281" s="87">
        <v>5</v>
      </c>
      <c r="H281" s="104" t="s">
        <v>724</v>
      </c>
      <c r="I281" s="104" t="s">
        <v>326</v>
      </c>
      <c r="J281" s="73" t="s">
        <v>72</v>
      </c>
      <c r="K281" s="85"/>
      <c r="L281" s="85"/>
      <c r="M281" s="85"/>
      <c r="N281" s="85"/>
      <c r="O281" s="85"/>
      <c r="P281" s="85"/>
      <c r="Q281" s="104" t="s">
        <v>229</v>
      </c>
      <c r="R281" s="47"/>
      <c r="S281" s="85"/>
      <c r="T281" s="104" t="s">
        <v>337</v>
      </c>
      <c r="U281" s="125"/>
      <c r="V281" s="125"/>
      <c r="W281" s="104"/>
      <c r="X281" s="85"/>
      <c r="Y281" s="123"/>
      <c r="Z281" s="130" t="str">
        <f t="shared" si="123"/>
        <v>/* 테이블 : 게시물댓글 */ CREATE TABLE TB_NTT_REPLY (</v>
      </c>
      <c r="AA281" s="125" t="str">
        <f t="shared" si="118"/>
        <v>NTT_REPLY_SEQ INTEGER NOT NULL,</v>
      </c>
      <c r="AB281" s="125" t="str">
        <f t="shared" si="116"/>
        <v/>
      </c>
      <c r="AC281" s="125" t="str">
        <f t="shared" si="117"/>
        <v/>
      </c>
      <c r="AD281" s="125" t="str">
        <f t="shared" si="98"/>
        <v/>
      </c>
      <c r="AE281" s="125" t="str">
        <f t="shared" si="124"/>
        <v/>
      </c>
      <c r="AF281" s="125" t="str">
        <f t="shared" si="125"/>
        <v>COMMENT ON COLUMN TB_NTT_REPLY.NTT_REPLY_SEQ IS '게시물 댓글 순번' ;</v>
      </c>
      <c r="AG281" s="125" t="str">
        <f t="shared" si="99"/>
        <v>ALTER TABLE TB_NTT_REPLY ALTER COLUMN NTT_REPLY_SEQ TYPE INTEGER;</v>
      </c>
      <c r="AH281" s="125" t="str">
        <f t="shared" si="100"/>
        <v>ALTER TABLE TB_NTT_REPLY ADD COLUMN NTT_REPLY_SEQ INTEGER NOT NULL;</v>
      </c>
      <c r="AI281" s="125" t="str">
        <f t="shared" si="101"/>
        <v>ALTER TABLE TB_NTT_REPLY DROP COLUMN NTT_REPLY_SEQ;</v>
      </c>
    </row>
    <row r="282" spans="2:35" ht="20.100000000000001" customHeight="1">
      <c r="B282" s="135">
        <v>277</v>
      </c>
      <c r="C282" s="26" t="s">
        <v>7</v>
      </c>
      <c r="D282" s="26" t="s">
        <v>16</v>
      </c>
      <c r="E282" s="10" t="s">
        <v>721</v>
      </c>
      <c r="F282" s="10" t="s">
        <v>281</v>
      </c>
      <c r="G282" s="87">
        <v>6</v>
      </c>
      <c r="H282" s="104" t="s">
        <v>725</v>
      </c>
      <c r="I282" s="104" t="s">
        <v>327</v>
      </c>
      <c r="J282" s="73"/>
      <c r="K282" s="85"/>
      <c r="L282" s="85"/>
      <c r="M282" s="85"/>
      <c r="N282" s="85"/>
      <c r="O282" s="85"/>
      <c r="P282" s="85"/>
      <c r="Q282" s="104" t="s">
        <v>314</v>
      </c>
      <c r="R282" s="119" t="s">
        <v>530</v>
      </c>
      <c r="S282" s="85"/>
      <c r="T282" s="104" t="s">
        <v>338</v>
      </c>
      <c r="U282" s="123"/>
      <c r="V282" s="123"/>
      <c r="W282" s="104"/>
      <c r="X282" s="85"/>
      <c r="Y282" s="123"/>
      <c r="Z282" s="130" t="str">
        <f t="shared" si="123"/>
        <v>/* 테이블 : 게시물댓글 */ CREATE TABLE TB_NTT_REPLY (</v>
      </c>
      <c r="AA282" s="125" t="str">
        <f t="shared" si="118"/>
        <v>NTT_REPLY_CN VARCHAR(2000),</v>
      </c>
      <c r="AB282" s="125" t="str">
        <f t="shared" si="116"/>
        <v/>
      </c>
      <c r="AC282" s="125" t="str">
        <f t="shared" si="117"/>
        <v/>
      </c>
      <c r="AD282" s="125" t="str">
        <f t="shared" si="98"/>
        <v/>
      </c>
      <c r="AE282" s="125" t="str">
        <f t="shared" si="124"/>
        <v/>
      </c>
      <c r="AF282" s="125" t="str">
        <f t="shared" si="125"/>
        <v>COMMENT ON COLUMN TB_NTT_REPLY.NTT_REPLY_CN IS '게시물 댓글 내용' ;</v>
      </c>
      <c r="AG282" s="125" t="str">
        <f t="shared" si="99"/>
        <v>ALTER TABLE TB_NTT_REPLY ALTER COLUMN NTT_REPLY_CN TYPE VARCHAR(2000);</v>
      </c>
      <c r="AH282" s="125" t="str">
        <f t="shared" si="100"/>
        <v>ALTER TABLE TB_NTT_REPLY ADD COLUMN NTT_REPLY_CN VARCHAR(2000);</v>
      </c>
      <c r="AI282" s="125" t="str">
        <f t="shared" si="101"/>
        <v>ALTER TABLE TB_NTT_REPLY DROP COLUMN NTT_REPLY_CN;</v>
      </c>
    </row>
    <row r="283" spans="2:35" ht="20.100000000000001" customHeight="1">
      <c r="B283" s="55">
        <v>278</v>
      </c>
      <c r="C283" s="26" t="s">
        <v>7</v>
      </c>
      <c r="D283" s="26" t="s">
        <v>16</v>
      </c>
      <c r="E283" s="10" t="s">
        <v>721</v>
      </c>
      <c r="F283" s="10" t="s">
        <v>281</v>
      </c>
      <c r="G283" s="87">
        <v>7</v>
      </c>
      <c r="H283" s="104" t="s">
        <v>328</v>
      </c>
      <c r="I283" s="104" t="s">
        <v>329</v>
      </c>
      <c r="J283" s="73" t="s">
        <v>72</v>
      </c>
      <c r="K283" s="85"/>
      <c r="L283" s="85"/>
      <c r="M283" s="85"/>
      <c r="N283" s="85"/>
      <c r="O283" s="85"/>
      <c r="P283" s="85"/>
      <c r="Q283" s="51" t="s">
        <v>804</v>
      </c>
      <c r="R283" s="119" t="s">
        <v>522</v>
      </c>
      <c r="S283" s="85"/>
      <c r="T283" s="104" t="s">
        <v>341</v>
      </c>
      <c r="U283" s="123"/>
      <c r="V283" s="123"/>
      <c r="W283" s="104"/>
      <c r="X283" s="85"/>
      <c r="Y283" s="123"/>
      <c r="Z283" s="130" t="str">
        <f t="shared" si="123"/>
        <v>/* 테이블 : 게시물댓글 */ CREATE TABLE TB_NTT_REPLY (</v>
      </c>
      <c r="AA283" s="125" t="str">
        <f t="shared" si="118"/>
        <v>OPEN_YN BPCHAR(1) NOT NULL,</v>
      </c>
      <c r="AB283" s="125" t="str">
        <f t="shared" si="116"/>
        <v/>
      </c>
      <c r="AC283" s="125" t="str">
        <f t="shared" si="117"/>
        <v/>
      </c>
      <c r="AD283" s="125" t="str">
        <f t="shared" si="98"/>
        <v/>
      </c>
      <c r="AE283" s="125" t="str">
        <f t="shared" si="124"/>
        <v/>
      </c>
      <c r="AF283" s="125" t="str">
        <f t="shared" si="125"/>
        <v>COMMENT ON COLUMN TB_NTT_REPLY.OPEN_YN IS '공개 여부' ;</v>
      </c>
      <c r="AG283" s="125" t="str">
        <f t="shared" si="99"/>
        <v>ALTER TABLE TB_NTT_REPLY ALTER COLUMN OPEN_YN TYPE BPCHAR(1);</v>
      </c>
      <c r="AH283" s="125" t="str">
        <f t="shared" si="100"/>
        <v>ALTER TABLE TB_NTT_REPLY ADD COLUMN OPEN_YN BPCHAR(1) NOT NULL;</v>
      </c>
      <c r="AI283" s="125" t="str">
        <f t="shared" si="101"/>
        <v>ALTER TABLE TB_NTT_REPLY DROP COLUMN OPEN_YN;</v>
      </c>
    </row>
    <row r="284" spans="2:35" ht="20.100000000000001" customHeight="1">
      <c r="B284" s="55">
        <v>279</v>
      </c>
      <c r="C284" s="26" t="s">
        <v>7</v>
      </c>
      <c r="D284" s="26" t="s">
        <v>16</v>
      </c>
      <c r="E284" s="10" t="s">
        <v>721</v>
      </c>
      <c r="F284" s="10" t="s">
        <v>281</v>
      </c>
      <c r="G284" s="87">
        <v>8</v>
      </c>
      <c r="H284" s="97" t="s">
        <v>107</v>
      </c>
      <c r="I284" s="51" t="s">
        <v>76</v>
      </c>
      <c r="J284" s="73" t="s">
        <v>72</v>
      </c>
      <c r="K284" s="67"/>
      <c r="L284" s="67"/>
      <c r="M284" s="77"/>
      <c r="N284" s="77"/>
      <c r="O284" s="77"/>
      <c r="P284" s="77"/>
      <c r="Q284" s="100" t="s">
        <v>521</v>
      </c>
      <c r="R284" s="119" t="s">
        <v>526</v>
      </c>
      <c r="S284" s="80"/>
      <c r="T284" s="107" t="s">
        <v>219</v>
      </c>
      <c r="U284" s="123"/>
      <c r="V284" s="123"/>
      <c r="W284" s="116" t="s">
        <v>496</v>
      </c>
      <c r="X284" s="85"/>
      <c r="Y284" s="123"/>
      <c r="Z284" s="130" t="str">
        <f t="shared" si="123"/>
        <v>/* 테이블 : 게시물댓글 */ CREATE TABLE TB_NTT_REPLY (</v>
      </c>
      <c r="AA284" s="125" t="str">
        <f t="shared" si="118"/>
        <v>REGISTER_ID VARCHAR(50) NOT NULL,</v>
      </c>
      <c r="AB284" s="125" t="str">
        <f t="shared" si="116"/>
        <v/>
      </c>
      <c r="AC284" s="125" t="str">
        <f t="shared" si="117"/>
        <v/>
      </c>
      <c r="AD284" s="125" t="str">
        <f t="shared" si="98"/>
        <v/>
      </c>
      <c r="AE284" s="125" t="str">
        <f t="shared" si="124"/>
        <v/>
      </c>
      <c r="AF284" s="125" t="str">
        <f t="shared" si="125"/>
        <v>COMMENT ON COLUMN TB_NTT_REPLY.REGISTER_ID IS '등록자 ID' ;</v>
      </c>
      <c r="AG284" s="125" t="str">
        <f t="shared" si="99"/>
        <v>ALTER TABLE TB_NTT_REPLY ALTER COLUMN REGISTER_ID TYPE VARCHAR(50);</v>
      </c>
      <c r="AH284" s="125" t="str">
        <f t="shared" si="100"/>
        <v>ALTER TABLE TB_NTT_REPLY ADD COLUMN REGISTER_ID VARCHAR(50) NOT NULL;</v>
      </c>
      <c r="AI284" s="125" t="str">
        <f t="shared" si="101"/>
        <v>ALTER TABLE TB_NTT_REPLY DROP COLUMN REGISTER_ID;</v>
      </c>
    </row>
    <row r="285" spans="2:35" ht="20.100000000000001" customHeight="1">
      <c r="B285" s="55">
        <v>280</v>
      </c>
      <c r="C285" s="26" t="s">
        <v>7</v>
      </c>
      <c r="D285" s="26" t="s">
        <v>16</v>
      </c>
      <c r="E285" s="10" t="s">
        <v>721</v>
      </c>
      <c r="F285" s="10" t="s">
        <v>281</v>
      </c>
      <c r="G285" s="87">
        <v>9</v>
      </c>
      <c r="H285" s="97" t="s">
        <v>91</v>
      </c>
      <c r="I285" s="51" t="s">
        <v>77</v>
      </c>
      <c r="J285" s="73" t="s">
        <v>72</v>
      </c>
      <c r="K285" s="52"/>
      <c r="L285" s="52"/>
      <c r="M285" s="52"/>
      <c r="N285" s="52"/>
      <c r="O285" s="52"/>
      <c r="P285" s="52"/>
      <c r="Q285" s="56" t="s">
        <v>106</v>
      </c>
      <c r="R285" s="119" t="s">
        <v>527</v>
      </c>
      <c r="S285" s="80"/>
      <c r="T285" s="107" t="s">
        <v>218</v>
      </c>
      <c r="U285" s="123"/>
      <c r="V285" s="123"/>
      <c r="W285" s="104"/>
      <c r="X285" s="85"/>
      <c r="Y285" s="123"/>
      <c r="Z285" s="130" t="str">
        <f t="shared" si="123"/>
        <v>/* 테이블 : 게시물댓글 */ CREATE TABLE TB_NTT_REPLY (</v>
      </c>
      <c r="AA285" s="125" t="str">
        <f t="shared" si="118"/>
        <v>REGISTER_IP VARCHAR(100) NOT NULL,</v>
      </c>
      <c r="AB285" s="125" t="str">
        <f t="shared" si="116"/>
        <v/>
      </c>
      <c r="AC285" s="125" t="str">
        <f t="shared" si="117"/>
        <v/>
      </c>
      <c r="AD285" s="125" t="str">
        <f t="shared" si="98"/>
        <v/>
      </c>
      <c r="AE285" s="125" t="str">
        <f t="shared" si="124"/>
        <v/>
      </c>
      <c r="AF285" s="125" t="str">
        <f t="shared" si="125"/>
        <v>COMMENT ON COLUMN TB_NTT_REPLY.REGISTER_IP IS '등록자 IP' ;</v>
      </c>
      <c r="AG285" s="125" t="str">
        <f t="shared" si="99"/>
        <v>ALTER TABLE TB_NTT_REPLY ALTER COLUMN REGISTER_IP TYPE VARCHAR(100);</v>
      </c>
      <c r="AH285" s="125" t="str">
        <f t="shared" si="100"/>
        <v>ALTER TABLE TB_NTT_REPLY ADD COLUMN REGISTER_IP VARCHAR(100) NOT NULL;</v>
      </c>
      <c r="AI285" s="125" t="str">
        <f t="shared" si="101"/>
        <v>ALTER TABLE TB_NTT_REPLY DROP COLUMN REGISTER_IP;</v>
      </c>
    </row>
    <row r="286" spans="2:35" ht="20.100000000000001" customHeight="1">
      <c r="B286" s="135">
        <v>281</v>
      </c>
      <c r="C286" s="26" t="s">
        <v>7</v>
      </c>
      <c r="D286" s="26" t="s">
        <v>16</v>
      </c>
      <c r="E286" s="10" t="s">
        <v>721</v>
      </c>
      <c r="F286" s="10" t="s">
        <v>281</v>
      </c>
      <c r="G286" s="87">
        <v>10</v>
      </c>
      <c r="H286" s="97" t="s">
        <v>92</v>
      </c>
      <c r="I286" s="96" t="s">
        <v>78</v>
      </c>
      <c r="J286" s="73" t="s">
        <v>72</v>
      </c>
      <c r="K286" s="52"/>
      <c r="L286" s="52"/>
      <c r="M286" s="52"/>
      <c r="N286" s="52"/>
      <c r="O286" s="52"/>
      <c r="P286" s="52"/>
      <c r="Q286" s="51" t="s">
        <v>706</v>
      </c>
      <c r="R286" s="119"/>
      <c r="S286" s="80"/>
      <c r="T286" s="107" t="s">
        <v>217</v>
      </c>
      <c r="U286" s="123"/>
      <c r="V286" s="123"/>
      <c r="W286" s="104"/>
      <c r="X286" s="85"/>
      <c r="Y286" s="123"/>
      <c r="Z286" s="130" t="str">
        <f t="shared" si="123"/>
        <v>/* 테이블 : 게시물댓글 */ CREATE TABLE TB_NTT_REPLY (</v>
      </c>
      <c r="AA286" s="125" t="str">
        <f t="shared" si="118"/>
        <v>REG_DT TIMESTAMP NOT NULL,</v>
      </c>
      <c r="AB286" s="125" t="str">
        <f t="shared" si="116"/>
        <v/>
      </c>
      <c r="AC286" s="125" t="str">
        <f t="shared" si="117"/>
        <v/>
      </c>
      <c r="AD286" s="125" t="str">
        <f t="shared" si="98"/>
        <v/>
      </c>
      <c r="AE286" s="125" t="str">
        <f t="shared" si="124"/>
        <v/>
      </c>
      <c r="AF286" s="125" t="str">
        <f t="shared" si="125"/>
        <v>COMMENT ON COLUMN TB_NTT_REPLY.REG_DT IS '등록 일시' ;</v>
      </c>
      <c r="AG286" s="125" t="str">
        <f t="shared" si="99"/>
        <v>ALTER TABLE TB_NTT_REPLY ALTER COLUMN REG_DT TYPE TIMESTAMP;</v>
      </c>
      <c r="AH286" s="125" t="str">
        <f t="shared" si="100"/>
        <v>ALTER TABLE TB_NTT_REPLY ADD COLUMN REG_DT TIMESTAMP NOT NULL;</v>
      </c>
      <c r="AI286" s="125" t="str">
        <f t="shared" si="101"/>
        <v>ALTER TABLE TB_NTT_REPLY DROP COLUMN REG_DT;</v>
      </c>
    </row>
    <row r="287" spans="2:35" ht="20.100000000000001" customHeight="1">
      <c r="B287" s="55">
        <v>282</v>
      </c>
      <c r="C287" s="26" t="s">
        <v>7</v>
      </c>
      <c r="D287" s="26" t="s">
        <v>16</v>
      </c>
      <c r="E287" s="10" t="s">
        <v>721</v>
      </c>
      <c r="F287" s="10" t="s">
        <v>281</v>
      </c>
      <c r="G287" s="87">
        <v>11</v>
      </c>
      <c r="H287" s="97" t="s">
        <v>93</v>
      </c>
      <c r="I287" s="96" t="s">
        <v>80</v>
      </c>
      <c r="J287" s="52"/>
      <c r="K287" s="52"/>
      <c r="L287" s="52"/>
      <c r="M287" s="79"/>
      <c r="N287" s="79"/>
      <c r="O287" s="79"/>
      <c r="P287" s="79"/>
      <c r="Q287" s="100" t="s">
        <v>521</v>
      </c>
      <c r="R287" s="119" t="s">
        <v>526</v>
      </c>
      <c r="S287" s="80"/>
      <c r="T287" s="107" t="s">
        <v>216</v>
      </c>
      <c r="U287" s="123"/>
      <c r="V287" s="123"/>
      <c r="W287" s="116" t="s">
        <v>496</v>
      </c>
      <c r="X287" s="85"/>
      <c r="Y287" s="123"/>
      <c r="Z287" s="130" t="str">
        <f t="shared" si="123"/>
        <v>/* 테이블 : 게시물댓글 */ CREATE TABLE TB_NTT_REPLY (</v>
      </c>
      <c r="AA287" s="125" t="str">
        <f t="shared" si="118"/>
        <v>UPDUSR_ID VARCHAR(50),</v>
      </c>
      <c r="AB287" s="125" t="str">
        <f t="shared" si="116"/>
        <v/>
      </c>
      <c r="AC287" s="125" t="str">
        <f t="shared" si="117"/>
        <v/>
      </c>
      <c r="AD287" s="125" t="str">
        <f t="shared" si="98"/>
        <v/>
      </c>
      <c r="AE287" s="125" t="str">
        <f t="shared" si="124"/>
        <v/>
      </c>
      <c r="AF287" s="125" t="str">
        <f t="shared" si="125"/>
        <v>COMMENT ON COLUMN TB_NTT_REPLY.UPDUSR_ID IS '수정자 ID' ;</v>
      </c>
      <c r="AG287" s="125" t="str">
        <f t="shared" si="99"/>
        <v>ALTER TABLE TB_NTT_REPLY ALTER COLUMN UPDUSR_ID TYPE VARCHAR(50);</v>
      </c>
      <c r="AH287" s="125" t="str">
        <f t="shared" si="100"/>
        <v>ALTER TABLE TB_NTT_REPLY ADD COLUMN UPDUSR_ID VARCHAR(50);</v>
      </c>
      <c r="AI287" s="125" t="str">
        <f t="shared" si="101"/>
        <v>ALTER TABLE TB_NTT_REPLY DROP COLUMN UPDUSR_ID;</v>
      </c>
    </row>
    <row r="288" spans="2:35" ht="20.100000000000001" customHeight="1">
      <c r="B288" s="55">
        <v>283</v>
      </c>
      <c r="C288" s="26" t="s">
        <v>7</v>
      </c>
      <c r="D288" s="26" t="s">
        <v>16</v>
      </c>
      <c r="E288" s="10" t="s">
        <v>721</v>
      </c>
      <c r="F288" s="10" t="s">
        <v>281</v>
      </c>
      <c r="G288" s="87">
        <v>12</v>
      </c>
      <c r="H288" s="97" t="s">
        <v>94</v>
      </c>
      <c r="I288" s="96" t="s">
        <v>79</v>
      </c>
      <c r="J288" s="52"/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215</v>
      </c>
      <c r="U288" s="123"/>
      <c r="V288" s="123"/>
      <c r="W288" s="104"/>
      <c r="X288" s="85"/>
      <c r="Y288" s="123"/>
      <c r="Z288" s="130" t="str">
        <f t="shared" si="123"/>
        <v>/* 테이블 : 게시물댓글 */ CREATE TABLE TB_NTT_REPLY (</v>
      </c>
      <c r="AA288" s="125" t="str">
        <f t="shared" si="118"/>
        <v>UPDUSR_IP VARCHAR(100),</v>
      </c>
      <c r="AB288" s="125" t="str">
        <f t="shared" si="116"/>
        <v/>
      </c>
      <c r="AC288" s="125" t="str">
        <f t="shared" si="117"/>
        <v/>
      </c>
      <c r="AD288" s="125" t="str">
        <f t="shared" si="98"/>
        <v/>
      </c>
      <c r="AE288" s="125" t="str">
        <f t="shared" si="124"/>
        <v/>
      </c>
      <c r="AF288" s="125" t="str">
        <f t="shared" si="125"/>
        <v>COMMENT ON COLUMN TB_NTT_REPLY.UPDUSR_IP IS '수정자 IP' ;</v>
      </c>
      <c r="AG288" s="125" t="str">
        <f t="shared" si="99"/>
        <v>ALTER TABLE TB_NTT_REPLY ALTER COLUMN UPDUSR_IP TYPE VARCHAR(100);</v>
      </c>
      <c r="AH288" s="125" t="str">
        <f t="shared" si="100"/>
        <v>ALTER TABLE TB_NTT_REPLY ADD COLUMN UPDUSR_IP VARCHAR(100);</v>
      </c>
      <c r="AI288" s="125" t="str">
        <f t="shared" si="101"/>
        <v>ALTER TABLE TB_NTT_REPLY DROP COLUMN UPDUSR_IP;</v>
      </c>
    </row>
    <row r="289" spans="2:35" ht="20.100000000000001" customHeight="1">
      <c r="B289" s="55">
        <v>284</v>
      </c>
      <c r="C289" s="26" t="s">
        <v>7</v>
      </c>
      <c r="D289" s="26" t="s">
        <v>16</v>
      </c>
      <c r="E289" s="10" t="s">
        <v>721</v>
      </c>
      <c r="F289" s="10" t="s">
        <v>281</v>
      </c>
      <c r="G289" s="87">
        <v>13</v>
      </c>
      <c r="H289" s="98" t="s">
        <v>95</v>
      </c>
      <c r="I289" s="97" t="s">
        <v>81</v>
      </c>
      <c r="J289" s="61"/>
      <c r="K289" s="61"/>
      <c r="L289" s="61"/>
      <c r="M289" s="61"/>
      <c r="N289" s="61"/>
      <c r="O289" s="61"/>
      <c r="P289" s="61"/>
      <c r="Q289" s="51" t="s">
        <v>706</v>
      </c>
      <c r="R289" s="119"/>
      <c r="S289" s="77"/>
      <c r="T289" s="107" t="s">
        <v>214</v>
      </c>
      <c r="U289" s="123"/>
      <c r="V289" s="123"/>
      <c r="W289" s="104"/>
      <c r="X289" s="85"/>
      <c r="Y289" s="123"/>
      <c r="Z289" s="130" t="str">
        <f t="shared" si="123"/>
        <v>/* 테이블 : 게시물댓글 */ CREATE TABLE TB_NTT_REPLY (</v>
      </c>
      <c r="AA289" s="125" t="str">
        <f t="shared" si="118"/>
        <v>UPDT_DT TIMESTAMP,</v>
      </c>
      <c r="AB289" s="125" t="str">
        <f t="shared" si="116"/>
        <v/>
      </c>
      <c r="AC289" s="125" t="str">
        <f t="shared" si="117"/>
        <v/>
      </c>
      <c r="AD289" s="125" t="str">
        <f t="shared" si="98"/>
        <v/>
      </c>
      <c r="AE289" s="125" t="str">
        <f t="shared" si="124"/>
        <v/>
      </c>
      <c r="AF289" s="125" t="str">
        <f t="shared" si="125"/>
        <v>COMMENT ON COLUMN TB_NTT_REPLY.UPDT_DT IS '수정 일시' ;</v>
      </c>
      <c r="AG289" s="125" t="str">
        <f t="shared" si="99"/>
        <v>ALTER TABLE TB_NTT_REPLY ALTER COLUMN UPDT_DT TYPE TIMESTAMP;</v>
      </c>
      <c r="AH289" s="125" t="str">
        <f t="shared" si="100"/>
        <v>ALTER TABLE TB_NTT_REPLY ADD COLUMN UPDT_DT TIMESTAMP;</v>
      </c>
      <c r="AI289" s="125" t="str">
        <f t="shared" si="101"/>
        <v>ALTER TABLE TB_NTT_REPLY DROP COLUMN UPDT_DT;</v>
      </c>
    </row>
    <row r="290" spans="2:35" ht="20.100000000000001" customHeight="1">
      <c r="B290" s="135">
        <v>285</v>
      </c>
      <c r="C290" s="26" t="s">
        <v>7</v>
      </c>
      <c r="D290" s="26" t="s">
        <v>16</v>
      </c>
      <c r="E290" s="10" t="s">
        <v>721</v>
      </c>
      <c r="F290" s="10" t="s">
        <v>281</v>
      </c>
      <c r="G290" s="87">
        <v>14</v>
      </c>
      <c r="H290" s="97" t="s">
        <v>96</v>
      </c>
      <c r="I290" s="97" t="s">
        <v>82</v>
      </c>
      <c r="J290" s="73" t="s">
        <v>72</v>
      </c>
      <c r="K290" s="61"/>
      <c r="L290" s="61"/>
      <c r="M290" s="61"/>
      <c r="N290" s="61"/>
      <c r="O290" s="61"/>
      <c r="P290" s="61"/>
      <c r="Q290" s="51" t="s">
        <v>804</v>
      </c>
      <c r="R290" s="119" t="s">
        <v>522</v>
      </c>
      <c r="S290" s="82" t="s">
        <v>803</v>
      </c>
      <c r="T290" s="107" t="s">
        <v>213</v>
      </c>
      <c r="U290" s="123"/>
      <c r="V290" s="123"/>
      <c r="W290" s="104"/>
      <c r="X290" s="85"/>
      <c r="Y290" s="123"/>
      <c r="Z290" s="130" t="str">
        <f t="shared" si="123"/>
        <v>/* 테이블 : 게시물댓글 */ CREATE TABLE TB_NTT_REPLY (</v>
      </c>
      <c r="AA290" s="125" t="str">
        <f t="shared" si="118"/>
        <v>DEL_YN BPCHAR(1) NOT NULL,</v>
      </c>
      <c r="AB290" s="125" t="str">
        <f t="shared" si="116"/>
        <v/>
      </c>
      <c r="AC290" s="125" t="str">
        <f t="shared" si="117"/>
        <v/>
      </c>
      <c r="AD290" s="125" t="str">
        <f t="shared" si="98"/>
        <v/>
      </c>
      <c r="AE290" s="125" t="str">
        <f t="shared" si="124"/>
        <v>ALTER TABLE TB_NTT_REPLY ALTER COLUMN DEL_YN SET DEFAULT 'N'::bpchar;</v>
      </c>
      <c r="AF290" s="125" t="str">
        <f t="shared" si="125"/>
        <v>COMMENT ON COLUMN TB_NTT_REPLY.DEL_YN IS '삭제 여부' ;</v>
      </c>
      <c r="AG290" s="125" t="str">
        <f t="shared" si="99"/>
        <v>ALTER TABLE TB_NTT_REPLY ALTER COLUMN DEL_YN TYPE BPCHAR(1);</v>
      </c>
      <c r="AH290" s="125" t="str">
        <f t="shared" si="100"/>
        <v>ALTER TABLE TB_NTT_REPLY ADD COLUMN DEL_YN BPCHAR(1) NOT NULL DEFAULT ''N'::bpchar';</v>
      </c>
      <c r="AI290" s="125" t="str">
        <f t="shared" si="101"/>
        <v>ALTER TABLE TB_NTT_REPLY DROP COLUMN DEL_YN;</v>
      </c>
    </row>
    <row r="291" spans="2:35" ht="20.100000000000001" customHeight="1">
      <c r="B291" s="55">
        <v>286</v>
      </c>
      <c r="C291" s="26" t="s">
        <v>7</v>
      </c>
      <c r="D291" s="26" t="s">
        <v>17</v>
      </c>
      <c r="E291" s="10" t="s">
        <v>38</v>
      </c>
      <c r="F291" s="10" t="s">
        <v>17</v>
      </c>
      <c r="G291" s="87">
        <v>1</v>
      </c>
      <c r="H291" s="104" t="s">
        <v>343</v>
      </c>
      <c r="I291" s="104" t="s">
        <v>344</v>
      </c>
      <c r="J291" s="85" t="s">
        <v>350</v>
      </c>
      <c r="K291" s="85">
        <v>1</v>
      </c>
      <c r="L291" s="85"/>
      <c r="M291" s="85"/>
      <c r="N291" s="85"/>
      <c r="O291" s="85"/>
      <c r="P291" s="85"/>
      <c r="Q291" s="104" t="s">
        <v>351</v>
      </c>
      <c r="R291" s="87"/>
      <c r="S291" s="85"/>
      <c r="T291" s="104" t="s">
        <v>359</v>
      </c>
      <c r="U291" s="125" t="str">
        <f>"SEQ_"&amp;E291&amp;"_SN"</f>
        <v>SEQ_TB_POPUP_SN</v>
      </c>
      <c r="V291" s="125"/>
      <c r="W291" s="104"/>
      <c r="X291" s="85"/>
      <c r="Y291" s="123"/>
      <c r="Z291" s="130" t="str">
        <f t="shared" si="123"/>
        <v>/* 테이블 : 팝업 */ CREATE TABLE TB_POPUP (</v>
      </c>
      <c r="AA291" s="125" t="str">
        <f t="shared" si="118"/>
        <v>POPUP_SN INTEGER PRIMARY KEY,</v>
      </c>
      <c r="AB291" s="125" t="str">
        <f t="shared" si="116"/>
        <v/>
      </c>
      <c r="AC291" s="125" t="str">
        <f t="shared" si="117"/>
        <v>CREATE SEQUENCE SEQ_TB_POPUP_SN START 100000;</v>
      </c>
      <c r="AD291" s="125" t="str">
        <f t="shared" si="98"/>
        <v>ALTER TABLE TB_POPUP ALTER COLUMN POPUP_SN SET DEFAULT NEXTVAL('SEQ_TB_POPUP_SN');</v>
      </c>
      <c r="AE291" s="125" t="str">
        <f t="shared" si="124"/>
        <v/>
      </c>
      <c r="AF291" s="125" t="str">
        <f t="shared" si="125"/>
        <v>COMMENT ON COLUMN TB_POPUP.POPUP_SN IS '팝업 일련번호' ;</v>
      </c>
      <c r="AG291" s="125" t="str">
        <f t="shared" si="99"/>
        <v>ALTER TABLE TB_POPUP ALTER COLUMN POPUP_SN TYPE INTEGER;</v>
      </c>
      <c r="AH291" s="125" t="str">
        <f t="shared" si="100"/>
        <v>ALTER TABLE TB_POPUP ADD COLUMN POPUP_SN INTEGER NOT NULL;</v>
      </c>
      <c r="AI291" s="125" t="str">
        <f t="shared" si="101"/>
        <v>ALTER TABLE TB_POPUP DROP COLUMN POPUP_SN;</v>
      </c>
    </row>
    <row r="292" spans="2:35" ht="20.100000000000001" customHeight="1">
      <c r="B292" s="55">
        <v>287</v>
      </c>
      <c r="C292" s="26" t="s">
        <v>7</v>
      </c>
      <c r="D292" s="26" t="s">
        <v>17</v>
      </c>
      <c r="E292" s="10" t="s">
        <v>38</v>
      </c>
      <c r="F292" s="10" t="s">
        <v>17</v>
      </c>
      <c r="G292" s="87">
        <v>2</v>
      </c>
      <c r="H292" s="104" t="s">
        <v>354</v>
      </c>
      <c r="I292" s="104" t="s">
        <v>345</v>
      </c>
      <c r="J292" s="85"/>
      <c r="K292" s="85"/>
      <c r="L292" s="85"/>
      <c r="M292" s="85"/>
      <c r="N292" s="85"/>
      <c r="O292" s="85"/>
      <c r="P292" s="85"/>
      <c r="Q292" s="104" t="s">
        <v>352</v>
      </c>
      <c r="R292" s="119" t="s">
        <v>528</v>
      </c>
      <c r="S292" s="85"/>
      <c r="T292" s="104" t="s">
        <v>360</v>
      </c>
      <c r="U292" s="123"/>
      <c r="V292" s="123"/>
      <c r="W292" s="104"/>
      <c r="X292" s="85"/>
      <c r="Y292" s="123"/>
      <c r="Z292" s="130" t="str">
        <f t="shared" si="123"/>
        <v>/* 테이블 : 팝업 */ CREATE TABLE TB_POPUP (</v>
      </c>
      <c r="AA292" s="125" t="str">
        <f t="shared" si="118"/>
        <v>POPUP_SJ VARCHAR(255),</v>
      </c>
      <c r="AB292" s="125" t="str">
        <f t="shared" si="116"/>
        <v/>
      </c>
      <c r="AC292" s="125" t="str">
        <f t="shared" si="117"/>
        <v/>
      </c>
      <c r="AD292" s="125" t="str">
        <f t="shared" si="98"/>
        <v/>
      </c>
      <c r="AE292" s="125" t="str">
        <f t="shared" si="124"/>
        <v/>
      </c>
      <c r="AF292" s="125" t="str">
        <f t="shared" si="125"/>
        <v>COMMENT ON COLUMN TB_POPUP.POPUP_SJ IS '팝업 제목' ;</v>
      </c>
      <c r="AG292" s="125" t="str">
        <f t="shared" si="99"/>
        <v>ALTER TABLE TB_POPUP ALTER COLUMN POPUP_SJ TYPE VARCHAR(255);</v>
      </c>
      <c r="AH292" s="125" t="str">
        <f t="shared" si="100"/>
        <v>ALTER TABLE TB_POPUP ADD COLUMN POPUP_SJ VARCHAR(255);</v>
      </c>
      <c r="AI292" s="125" t="str">
        <f t="shared" si="101"/>
        <v>ALTER TABLE TB_POPUP DROP COLUMN POPUP_SJ;</v>
      </c>
    </row>
    <row r="293" spans="2:35" ht="20.100000000000001" customHeight="1">
      <c r="B293" s="55">
        <v>288</v>
      </c>
      <c r="C293" s="26" t="s">
        <v>7</v>
      </c>
      <c r="D293" s="26" t="s">
        <v>17</v>
      </c>
      <c r="E293" s="10" t="s">
        <v>38</v>
      </c>
      <c r="F293" s="10" t="s">
        <v>17</v>
      </c>
      <c r="G293" s="87">
        <v>3</v>
      </c>
      <c r="H293" s="104" t="s">
        <v>355</v>
      </c>
      <c r="I293" s="104" t="s">
        <v>346</v>
      </c>
      <c r="J293" s="85"/>
      <c r="K293" s="85"/>
      <c r="L293" s="85"/>
      <c r="M293" s="85"/>
      <c r="N293" s="85"/>
      <c r="O293" s="85"/>
      <c r="P293" s="85"/>
      <c r="Q293" s="104" t="s">
        <v>352</v>
      </c>
      <c r="R293" s="119" t="s">
        <v>530</v>
      </c>
      <c r="S293" s="85"/>
      <c r="T293" s="104" t="s">
        <v>361</v>
      </c>
      <c r="U293" s="123"/>
      <c r="V293" s="123"/>
      <c r="W293" s="104"/>
      <c r="X293" s="85"/>
      <c r="Y293" s="123"/>
      <c r="Z293" s="130" t="str">
        <f t="shared" si="123"/>
        <v>/* 테이블 : 팝업 */ CREATE TABLE TB_POPUP (</v>
      </c>
      <c r="AA293" s="125" t="str">
        <f t="shared" si="118"/>
        <v>POPUP_CN VARCHAR(2000),</v>
      </c>
      <c r="AB293" s="125" t="str">
        <f t="shared" si="116"/>
        <v/>
      </c>
      <c r="AC293" s="125" t="str">
        <f t="shared" si="117"/>
        <v/>
      </c>
      <c r="AD293" s="125" t="str">
        <f t="shared" si="98"/>
        <v/>
      </c>
      <c r="AE293" s="125" t="str">
        <f t="shared" si="124"/>
        <v/>
      </c>
      <c r="AF293" s="125" t="str">
        <f t="shared" si="125"/>
        <v>COMMENT ON COLUMN TB_POPUP.POPUP_CN IS '팝업 내용' ;</v>
      </c>
      <c r="AG293" s="125" t="str">
        <f t="shared" si="99"/>
        <v>ALTER TABLE TB_POPUP ALTER COLUMN POPUP_CN TYPE VARCHAR(2000);</v>
      </c>
      <c r="AH293" s="125" t="str">
        <f t="shared" si="100"/>
        <v>ALTER TABLE TB_POPUP ADD COLUMN POPUP_CN VARCHAR(2000);</v>
      </c>
      <c r="AI293" s="125" t="str">
        <f t="shared" si="101"/>
        <v>ALTER TABLE TB_POPUP DROP COLUMN POPUP_CN;</v>
      </c>
    </row>
    <row r="294" spans="2:35" ht="20.100000000000001" customHeight="1">
      <c r="B294" s="135">
        <v>289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4</v>
      </c>
      <c r="H294" s="104" t="s">
        <v>409</v>
      </c>
      <c r="I294" s="104" t="s">
        <v>410</v>
      </c>
      <c r="J294" s="85" t="s">
        <v>350</v>
      </c>
      <c r="K294" s="85"/>
      <c r="L294" s="85"/>
      <c r="M294" s="85"/>
      <c r="N294" s="85"/>
      <c r="O294" s="85"/>
      <c r="P294" s="85"/>
      <c r="Q294" s="51" t="s">
        <v>804</v>
      </c>
      <c r="R294" s="119" t="s">
        <v>522</v>
      </c>
      <c r="S294" s="85"/>
      <c r="T294" s="104" t="s">
        <v>411</v>
      </c>
      <c r="U294" s="123"/>
      <c r="V294" s="123"/>
      <c r="W294" s="104"/>
      <c r="X294" s="85"/>
      <c r="Y294" s="123"/>
      <c r="Z294" s="130" t="str">
        <f t="shared" si="123"/>
        <v>/* 테이블 : 팝업 */ CREATE TABLE TB_POPUP (</v>
      </c>
      <c r="AA294" s="125" t="str">
        <f t="shared" si="118"/>
        <v>USE_YN BPCHAR(1) NOT NULL,</v>
      </c>
      <c r="AB294" s="125" t="str">
        <f t="shared" si="116"/>
        <v/>
      </c>
      <c r="AC294" s="125" t="str">
        <f t="shared" si="117"/>
        <v/>
      </c>
      <c r="AD294" s="125" t="str">
        <f t="shared" si="98"/>
        <v/>
      </c>
      <c r="AE294" s="125" t="str">
        <f t="shared" si="124"/>
        <v/>
      </c>
      <c r="AF294" s="125" t="str">
        <f t="shared" si="125"/>
        <v>COMMENT ON COLUMN TB_POPUP.USE_YN IS '사용 여부' ;</v>
      </c>
      <c r="AG294" s="125" t="str">
        <f t="shared" si="99"/>
        <v>ALTER TABLE TB_POPUP ALTER COLUMN USE_YN TYPE BPCHAR(1);</v>
      </c>
      <c r="AH294" s="125" t="str">
        <f t="shared" si="100"/>
        <v>ALTER TABLE TB_POPUP ADD COLUMN USE_YN BPCHAR(1) NOT NULL;</v>
      </c>
      <c r="AI294" s="125" t="str">
        <f t="shared" si="101"/>
        <v>ALTER TABLE TB_POPUP DROP COLUMN USE_YN;</v>
      </c>
    </row>
    <row r="295" spans="2:35" ht="20.100000000000001" customHeight="1">
      <c r="B295" s="55">
        <v>290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5</v>
      </c>
      <c r="H295" s="102" t="s">
        <v>356</v>
      </c>
      <c r="I295" s="104" t="s">
        <v>347</v>
      </c>
      <c r="J295" s="85" t="s">
        <v>350</v>
      </c>
      <c r="K295" s="85"/>
      <c r="L295" s="85"/>
      <c r="M295" s="85"/>
      <c r="N295" s="85"/>
      <c r="O295" s="85"/>
      <c r="P295" s="85"/>
      <c r="Q295" s="51" t="s">
        <v>106</v>
      </c>
      <c r="R295" s="120" t="s">
        <v>753</v>
      </c>
      <c r="S295" s="85"/>
      <c r="T295" s="104" t="s">
        <v>362</v>
      </c>
      <c r="U295" s="123"/>
      <c r="V295" s="123"/>
      <c r="W295" s="104"/>
      <c r="X295" s="85"/>
      <c r="Y295" s="123"/>
      <c r="Z295" s="130" t="str">
        <f t="shared" si="123"/>
        <v>/* 테이블 : 팝업 */ CREATE TABLE TB_POPUP (</v>
      </c>
      <c r="AA295" s="125" t="str">
        <f t="shared" si="118"/>
        <v>POPUP_BEGIN_DT VARCHAR(16) NOT NULL,</v>
      </c>
      <c r="AB295" s="125" t="str">
        <f t="shared" si="116"/>
        <v/>
      </c>
      <c r="AC295" s="125" t="str">
        <f t="shared" si="117"/>
        <v/>
      </c>
      <c r="AD295" s="125" t="str">
        <f t="shared" si="98"/>
        <v/>
      </c>
      <c r="AE295" s="125" t="str">
        <f t="shared" si="124"/>
        <v/>
      </c>
      <c r="AF295" s="125" t="str">
        <f t="shared" si="125"/>
        <v>COMMENT ON COLUMN TB_POPUP.POPUP_BEGIN_DT IS '팝업 시작 일시' ;</v>
      </c>
      <c r="AG295" s="125" t="str">
        <f t="shared" si="99"/>
        <v>ALTER TABLE TB_POPUP ALTER COLUMN POPUP_BEGIN_DT TYPE VARCHAR(16);</v>
      </c>
      <c r="AH295" s="125" t="str">
        <f t="shared" si="100"/>
        <v>ALTER TABLE TB_POPUP ADD COLUMN POPUP_BEGIN_DT VARCHAR(16) NOT NULL;</v>
      </c>
      <c r="AI295" s="125" t="str">
        <f t="shared" si="101"/>
        <v>ALTER TABLE TB_POPUP DROP COLUMN POPUP_BEGIN_DT;</v>
      </c>
    </row>
    <row r="296" spans="2:35" ht="20.100000000000001" customHeight="1">
      <c r="B296" s="55">
        <v>291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6</v>
      </c>
      <c r="H296" s="101" t="s">
        <v>357</v>
      </c>
      <c r="I296" s="104" t="s">
        <v>348</v>
      </c>
      <c r="J296" s="85" t="s">
        <v>350</v>
      </c>
      <c r="K296" s="85"/>
      <c r="L296" s="85"/>
      <c r="M296" s="85"/>
      <c r="N296" s="85"/>
      <c r="O296" s="85"/>
      <c r="P296" s="85"/>
      <c r="Q296" s="51" t="s">
        <v>106</v>
      </c>
      <c r="R296" s="120" t="s">
        <v>753</v>
      </c>
      <c r="S296" s="85"/>
      <c r="T296" s="104" t="s">
        <v>363</v>
      </c>
      <c r="U296" s="123"/>
      <c r="V296" s="123"/>
      <c r="W296" s="104"/>
      <c r="X296" s="85"/>
      <c r="Y296" s="123"/>
      <c r="Z296" s="130" t="str">
        <f t="shared" si="123"/>
        <v>/* 테이블 : 팝업 */ CREATE TABLE TB_POPUP (</v>
      </c>
      <c r="AA296" s="125" t="str">
        <f t="shared" si="118"/>
        <v>POPUP_END_DT VARCHAR(16) NOT NULL,</v>
      </c>
      <c r="AB296" s="125" t="str">
        <f t="shared" si="116"/>
        <v/>
      </c>
      <c r="AC296" s="125" t="str">
        <f t="shared" si="117"/>
        <v/>
      </c>
      <c r="AD296" s="125" t="str">
        <f t="shared" si="98"/>
        <v/>
      </c>
      <c r="AE296" s="125" t="str">
        <f t="shared" si="124"/>
        <v/>
      </c>
      <c r="AF296" s="125" t="str">
        <f t="shared" si="125"/>
        <v>COMMENT ON COLUMN TB_POPUP.POPUP_END_DT IS '팝업 종료 일시' ;</v>
      </c>
      <c r="AG296" s="125" t="str">
        <f t="shared" si="99"/>
        <v>ALTER TABLE TB_POPUP ALTER COLUMN POPUP_END_DT TYPE VARCHAR(16);</v>
      </c>
      <c r="AH296" s="125" t="str">
        <f t="shared" si="100"/>
        <v>ALTER TABLE TB_POPUP ADD COLUMN POPUP_END_DT VARCHAR(16) NOT NULL;</v>
      </c>
      <c r="AI296" s="125" t="str">
        <f t="shared" si="101"/>
        <v>ALTER TABLE TB_POPUP DROP COLUMN POPUP_END_DT;</v>
      </c>
    </row>
    <row r="297" spans="2:35" ht="20.100000000000001" customHeight="1">
      <c r="B297" s="55">
        <v>292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7</v>
      </c>
      <c r="H297" s="101" t="s">
        <v>365</v>
      </c>
      <c r="I297" s="104" t="s">
        <v>367</v>
      </c>
      <c r="J297" s="85" t="s">
        <v>131</v>
      </c>
      <c r="K297" s="85"/>
      <c r="L297" s="85">
        <v>1</v>
      </c>
      <c r="M297" s="10" t="s">
        <v>364</v>
      </c>
      <c r="N297" s="96" t="s">
        <v>365</v>
      </c>
      <c r="O297" s="96" t="s">
        <v>539</v>
      </c>
      <c r="P297" s="96" t="s">
        <v>540</v>
      </c>
      <c r="Q297" s="51" t="s">
        <v>229</v>
      </c>
      <c r="R297" s="117"/>
      <c r="S297" s="85"/>
      <c r="T297" s="104" t="s">
        <v>369</v>
      </c>
      <c r="U297" s="123"/>
      <c r="V297" s="123"/>
      <c r="W297" s="104"/>
      <c r="X297" s="85"/>
      <c r="Y297" s="123"/>
      <c r="Z297" s="130" t="str">
        <f t="shared" si="123"/>
        <v>/* 테이블 : 팝업 */ CREATE TABLE TB_POPUP (</v>
      </c>
      <c r="AA297" s="125" t="str">
        <f t="shared" si="118"/>
        <v>ATCH_FILE_SN INTEGER NOT NULL,</v>
      </c>
      <c r="AB297" s="125" t="str">
        <f t="shared" si="116"/>
        <v>ALTER TABLE TB_POPUP ADD CONSTRAINT TB_POPUP_FKEY1 FOREIGN KEY(ATCH_FILE_SN) REFERENCES TB_ATCH_FILE(ATCH_FILE_SN) ON UPDATE CASCADE ON DELETE SET NULL;</v>
      </c>
      <c r="AC297" s="125" t="str">
        <f t="shared" si="117"/>
        <v/>
      </c>
      <c r="AD297" s="125" t="str">
        <f t="shared" ref="AD297:AD360" si="126">IF(ISBLANK(U297),"","ALTER TABLE "&amp;E297&amp;" ALTER COLUMN "&amp;H297&amp;" SET DEFAULT NEXTVAL('"&amp;U297&amp;"');")</f>
        <v/>
      </c>
      <c r="AE297" s="125" t="str">
        <f t="shared" si="124"/>
        <v/>
      </c>
      <c r="AF297" s="125" t="str">
        <f t="shared" si="125"/>
        <v>COMMENT ON COLUMN TB_POPUP.ATCH_FILE_SN IS '첨부 파일 일련번호' ;</v>
      </c>
      <c r="AG297" s="125" t="str">
        <f t="shared" si="99"/>
        <v>ALTER TABLE TB_POPUP ALTER COLUMN ATCH_FILE_SN TYPE INTEGER;</v>
      </c>
      <c r="AH297" s="125" t="str">
        <f t="shared" si="100"/>
        <v>ALTER TABLE TB_POPUP ADD COLUMN ATCH_FILE_SN INTEGER NOT NULL;</v>
      </c>
      <c r="AI297" s="125" t="str">
        <f t="shared" si="101"/>
        <v>ALTER TABLE TB_POPUP DROP COLUMN ATCH_FILE_SN;</v>
      </c>
    </row>
    <row r="298" spans="2:35" ht="20.100000000000001" customHeight="1">
      <c r="B298" s="135">
        <v>293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8</v>
      </c>
      <c r="H298" s="104" t="s">
        <v>358</v>
      </c>
      <c r="I298" s="104" t="s">
        <v>349</v>
      </c>
      <c r="J298" s="85"/>
      <c r="K298" s="85"/>
      <c r="L298" s="85"/>
      <c r="M298" s="85"/>
      <c r="N298" s="85"/>
      <c r="O298" s="85"/>
      <c r="P298" s="85"/>
      <c r="Q298" s="104" t="s">
        <v>352</v>
      </c>
      <c r="R298" s="119" t="s">
        <v>530</v>
      </c>
      <c r="S298" s="85"/>
      <c r="T298" s="104" t="s">
        <v>353</v>
      </c>
      <c r="U298" s="123"/>
      <c r="V298" s="123"/>
      <c r="W298" s="104"/>
      <c r="X298" s="85"/>
      <c r="Y298" s="123"/>
      <c r="Z298" s="130" t="str">
        <f t="shared" si="123"/>
        <v>/* 테이블 : 팝업 */ CREATE TABLE TB_POPUP (</v>
      </c>
      <c r="AA298" s="125" t="str">
        <f t="shared" si="118"/>
        <v>MOVE_URL VARCHAR(2000),</v>
      </c>
      <c r="AB298" s="125" t="str">
        <f t="shared" si="116"/>
        <v/>
      </c>
      <c r="AC298" s="125" t="str">
        <f t="shared" si="117"/>
        <v/>
      </c>
      <c r="AD298" s="125" t="str">
        <f t="shared" si="126"/>
        <v/>
      </c>
      <c r="AE298" s="125" t="str">
        <f t="shared" si="124"/>
        <v/>
      </c>
      <c r="AF298" s="125" t="str">
        <f t="shared" si="125"/>
        <v>COMMENT ON COLUMN TB_POPUP.MOVE_URL IS '클릭시 이동 URL' ;</v>
      </c>
      <c r="AG298" s="125" t="str">
        <f t="shared" si="99"/>
        <v>ALTER TABLE TB_POPUP ALTER COLUMN MOVE_URL TYPE VARCHAR(2000);</v>
      </c>
      <c r="AH298" s="125" t="str">
        <f t="shared" si="100"/>
        <v>ALTER TABLE TB_POPUP ADD COLUMN MOVE_URL VARCHAR(2000);</v>
      </c>
      <c r="AI298" s="125" t="str">
        <f t="shared" si="101"/>
        <v>ALTER TABLE TB_POPUP DROP COLUMN MOVE_URL;</v>
      </c>
    </row>
    <row r="299" spans="2:35" ht="20.100000000000001" customHeight="1">
      <c r="B299" s="55">
        <v>294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9</v>
      </c>
      <c r="H299" s="97" t="s">
        <v>107</v>
      </c>
      <c r="I299" s="51" t="s">
        <v>76</v>
      </c>
      <c r="J299" s="73" t="s">
        <v>72</v>
      </c>
      <c r="K299" s="67"/>
      <c r="L299" s="67"/>
      <c r="M299" s="77"/>
      <c r="N299" s="77"/>
      <c r="O299" s="77"/>
      <c r="P299" s="77"/>
      <c r="Q299" s="100" t="s">
        <v>521</v>
      </c>
      <c r="R299" s="119" t="s">
        <v>526</v>
      </c>
      <c r="S299" s="80"/>
      <c r="T299" s="107" t="s">
        <v>219</v>
      </c>
      <c r="U299" s="123"/>
      <c r="V299" s="123"/>
      <c r="W299" s="116" t="s">
        <v>496</v>
      </c>
      <c r="X299" s="85"/>
      <c r="Y299" s="123"/>
      <c r="Z299" s="130" t="str">
        <f t="shared" si="123"/>
        <v>/* 테이블 : 팝업 */ CREATE TABLE TB_POPUP (</v>
      </c>
      <c r="AA299" s="125" t="str">
        <f t="shared" si="118"/>
        <v>REGISTER_ID VARCHAR(50) NOT NULL,</v>
      </c>
      <c r="AB299" s="125" t="str">
        <f t="shared" si="116"/>
        <v/>
      </c>
      <c r="AC299" s="125" t="str">
        <f t="shared" si="117"/>
        <v/>
      </c>
      <c r="AD299" s="125" t="str">
        <f t="shared" si="126"/>
        <v/>
      </c>
      <c r="AE299" s="125" t="str">
        <f t="shared" si="124"/>
        <v/>
      </c>
      <c r="AF299" s="125" t="str">
        <f t="shared" si="125"/>
        <v>COMMENT ON COLUMN TB_POPUP.REGISTER_ID IS '등록자 ID' ;</v>
      </c>
      <c r="AG299" s="125" t="str">
        <f t="shared" si="99"/>
        <v>ALTER TABLE TB_POPUP ALTER COLUMN REGISTER_ID TYPE VARCHAR(50);</v>
      </c>
      <c r="AH299" s="125" t="str">
        <f t="shared" si="100"/>
        <v>ALTER TABLE TB_POPUP ADD COLUMN REGISTER_ID VARCHAR(50) NOT NULL;</v>
      </c>
      <c r="AI299" s="125" t="str">
        <f t="shared" si="101"/>
        <v>ALTER TABLE TB_POPUP DROP COLUMN REGISTER_ID;</v>
      </c>
    </row>
    <row r="300" spans="2:35" ht="20.100000000000001" customHeight="1">
      <c r="B300" s="55">
        <v>295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10</v>
      </c>
      <c r="H300" s="97" t="s">
        <v>91</v>
      </c>
      <c r="I300" s="51" t="s">
        <v>77</v>
      </c>
      <c r="J300" s="73" t="s">
        <v>72</v>
      </c>
      <c r="K300" s="52"/>
      <c r="L300" s="52"/>
      <c r="M300" s="52"/>
      <c r="N300" s="52"/>
      <c r="O300" s="52"/>
      <c r="P300" s="52"/>
      <c r="Q300" s="56" t="s">
        <v>106</v>
      </c>
      <c r="R300" s="119" t="s">
        <v>527</v>
      </c>
      <c r="S300" s="80"/>
      <c r="T300" s="107" t="s">
        <v>218</v>
      </c>
      <c r="U300" s="123"/>
      <c r="V300" s="123"/>
      <c r="W300" s="104"/>
      <c r="X300" s="85"/>
      <c r="Y300" s="123"/>
      <c r="Z300" s="130" t="str">
        <f t="shared" si="123"/>
        <v>/* 테이블 : 팝업 */ CREATE TABLE TB_POPUP (</v>
      </c>
      <c r="AA300" s="125" t="str">
        <f t="shared" si="118"/>
        <v>REGISTER_IP VARCHAR(100) NOT NULL,</v>
      </c>
      <c r="AB300" s="125" t="str">
        <f t="shared" si="116"/>
        <v/>
      </c>
      <c r="AC300" s="125" t="str">
        <f t="shared" si="117"/>
        <v/>
      </c>
      <c r="AD300" s="125" t="str">
        <f t="shared" si="126"/>
        <v/>
      </c>
      <c r="AE300" s="125" t="str">
        <f t="shared" si="124"/>
        <v/>
      </c>
      <c r="AF300" s="125" t="str">
        <f t="shared" si="125"/>
        <v>COMMENT ON COLUMN TB_POPUP.REGISTER_IP IS '등록자 IP' ;</v>
      </c>
      <c r="AG300" s="125" t="str">
        <f t="shared" si="99"/>
        <v>ALTER TABLE TB_POPUP ALTER COLUMN REGISTER_IP TYPE VARCHAR(100);</v>
      </c>
      <c r="AH300" s="125" t="str">
        <f t="shared" si="100"/>
        <v>ALTER TABLE TB_POPUP ADD COLUMN REGISTER_IP VARCHAR(100) NOT NULL;</v>
      </c>
      <c r="AI300" s="125" t="str">
        <f t="shared" si="101"/>
        <v>ALTER TABLE TB_POPUP DROP COLUMN REGISTER_IP;</v>
      </c>
    </row>
    <row r="301" spans="2:35" ht="20.100000000000001" customHeight="1">
      <c r="B301" s="55">
        <v>296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11</v>
      </c>
      <c r="H301" s="97" t="s">
        <v>92</v>
      </c>
      <c r="I301" s="96" t="s">
        <v>78</v>
      </c>
      <c r="J301" s="73" t="s">
        <v>72</v>
      </c>
      <c r="K301" s="52"/>
      <c r="L301" s="52"/>
      <c r="M301" s="52"/>
      <c r="N301" s="52"/>
      <c r="O301" s="52"/>
      <c r="P301" s="52"/>
      <c r="Q301" s="51" t="s">
        <v>706</v>
      </c>
      <c r="R301" s="119"/>
      <c r="S301" s="80"/>
      <c r="T301" s="107" t="s">
        <v>217</v>
      </c>
      <c r="U301" s="123"/>
      <c r="V301" s="123"/>
      <c r="W301" s="104"/>
      <c r="X301" s="85"/>
      <c r="Y301" s="123"/>
      <c r="Z301" s="130" t="str">
        <f t="shared" si="123"/>
        <v>/* 테이블 : 팝업 */ CREATE TABLE TB_POPUP (</v>
      </c>
      <c r="AA301" s="125" t="str">
        <f t="shared" si="118"/>
        <v>REG_DT TIMESTAMP NOT NULL,</v>
      </c>
      <c r="AB301" s="125" t="str">
        <f t="shared" si="116"/>
        <v/>
      </c>
      <c r="AC301" s="125" t="str">
        <f t="shared" si="117"/>
        <v/>
      </c>
      <c r="AD301" s="125" t="str">
        <f t="shared" si="126"/>
        <v/>
      </c>
      <c r="AE301" s="125" t="str">
        <f t="shared" si="124"/>
        <v/>
      </c>
      <c r="AF301" s="125" t="str">
        <f t="shared" si="125"/>
        <v>COMMENT ON COLUMN TB_POPUP.REG_DT IS '등록 일시' ;</v>
      </c>
      <c r="AG301" s="125" t="str">
        <f t="shared" si="99"/>
        <v>ALTER TABLE TB_POPUP ALTER COLUMN REG_DT TYPE TIMESTAMP;</v>
      </c>
      <c r="AH301" s="125" t="str">
        <f t="shared" si="100"/>
        <v>ALTER TABLE TB_POPUP ADD COLUMN REG_DT TIMESTAMP NOT NULL;</v>
      </c>
      <c r="AI301" s="125" t="str">
        <f t="shared" si="101"/>
        <v>ALTER TABLE TB_POPUP DROP COLUMN REG_DT;</v>
      </c>
    </row>
    <row r="302" spans="2:35" ht="20.100000000000001" customHeight="1">
      <c r="B302" s="135">
        <v>297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12</v>
      </c>
      <c r="H302" s="97" t="s">
        <v>93</v>
      </c>
      <c r="I302" s="96" t="s">
        <v>80</v>
      </c>
      <c r="J302" s="52"/>
      <c r="K302" s="52"/>
      <c r="L302" s="52"/>
      <c r="M302" s="79"/>
      <c r="N302" s="79"/>
      <c r="O302" s="79"/>
      <c r="P302" s="79"/>
      <c r="Q302" s="100" t="s">
        <v>521</v>
      </c>
      <c r="R302" s="119" t="s">
        <v>526</v>
      </c>
      <c r="S302" s="80"/>
      <c r="T302" s="107" t="s">
        <v>216</v>
      </c>
      <c r="U302" s="123"/>
      <c r="V302" s="123"/>
      <c r="W302" s="116" t="s">
        <v>496</v>
      </c>
      <c r="X302" s="85"/>
      <c r="Y302" s="123"/>
      <c r="Z302" s="130" t="str">
        <f t="shared" si="123"/>
        <v>/* 테이블 : 팝업 */ CREATE TABLE TB_POPUP (</v>
      </c>
      <c r="AA302" s="125" t="str">
        <f t="shared" si="118"/>
        <v>UPDUSR_ID VARCHAR(50),</v>
      </c>
      <c r="AB302" s="125" t="str">
        <f t="shared" si="116"/>
        <v/>
      </c>
      <c r="AC302" s="125" t="str">
        <f t="shared" si="117"/>
        <v/>
      </c>
      <c r="AD302" s="125" t="str">
        <f t="shared" si="126"/>
        <v/>
      </c>
      <c r="AE302" s="125" t="str">
        <f t="shared" si="124"/>
        <v/>
      </c>
      <c r="AF302" s="125" t="str">
        <f t="shared" si="125"/>
        <v>COMMENT ON COLUMN TB_POPUP.UPDUSR_ID IS '수정자 ID' ;</v>
      </c>
      <c r="AG302" s="125" t="str">
        <f t="shared" si="99"/>
        <v>ALTER TABLE TB_POPUP ALTER COLUMN UPDUSR_ID TYPE VARCHAR(50);</v>
      </c>
      <c r="AH302" s="125" t="str">
        <f t="shared" si="100"/>
        <v>ALTER TABLE TB_POPUP ADD COLUMN UPDUSR_ID VARCHAR(50);</v>
      </c>
      <c r="AI302" s="125" t="str">
        <f t="shared" si="101"/>
        <v>ALTER TABLE TB_POPUP DROP COLUMN UPDUSR_ID;</v>
      </c>
    </row>
    <row r="303" spans="2:35" ht="20.100000000000001" customHeight="1">
      <c r="B303" s="55">
        <v>298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13</v>
      </c>
      <c r="H303" s="97" t="s">
        <v>94</v>
      </c>
      <c r="I303" s="96" t="s">
        <v>79</v>
      </c>
      <c r="J303" s="52"/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215</v>
      </c>
      <c r="U303" s="123"/>
      <c r="V303" s="123"/>
      <c r="W303" s="104"/>
      <c r="X303" s="85"/>
      <c r="Y303" s="123"/>
      <c r="Z303" s="130" t="str">
        <f t="shared" si="123"/>
        <v>/* 테이블 : 팝업 */ CREATE TABLE TB_POPUP (</v>
      </c>
      <c r="AA303" s="125" t="str">
        <f t="shared" si="118"/>
        <v>UPDUSR_IP VARCHAR(100),</v>
      </c>
      <c r="AB303" s="125" t="str">
        <f t="shared" si="116"/>
        <v/>
      </c>
      <c r="AC303" s="125" t="str">
        <f t="shared" si="117"/>
        <v/>
      </c>
      <c r="AD303" s="125" t="str">
        <f t="shared" si="126"/>
        <v/>
      </c>
      <c r="AE303" s="125" t="str">
        <f t="shared" si="124"/>
        <v/>
      </c>
      <c r="AF303" s="125" t="str">
        <f t="shared" si="125"/>
        <v>COMMENT ON COLUMN TB_POPUP.UPDUSR_IP IS '수정자 IP' ;</v>
      </c>
      <c r="AG303" s="125" t="str">
        <f t="shared" si="99"/>
        <v>ALTER TABLE TB_POPUP ALTER COLUMN UPDUSR_IP TYPE VARCHAR(100);</v>
      </c>
      <c r="AH303" s="125" t="str">
        <f t="shared" si="100"/>
        <v>ALTER TABLE TB_POPUP ADD COLUMN UPDUSR_IP VARCHAR(100);</v>
      </c>
      <c r="AI303" s="125" t="str">
        <f t="shared" si="101"/>
        <v>ALTER TABLE TB_POPUP DROP COLUMN UPDUSR_IP;</v>
      </c>
    </row>
    <row r="304" spans="2:35" ht="20.100000000000001" customHeight="1">
      <c r="B304" s="55">
        <v>299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14</v>
      </c>
      <c r="H304" s="98" t="s">
        <v>95</v>
      </c>
      <c r="I304" s="97" t="s">
        <v>81</v>
      </c>
      <c r="J304" s="61"/>
      <c r="K304" s="61"/>
      <c r="L304" s="61"/>
      <c r="M304" s="61"/>
      <c r="N304" s="61"/>
      <c r="O304" s="61"/>
      <c r="P304" s="61"/>
      <c r="Q304" s="51" t="s">
        <v>706</v>
      </c>
      <c r="R304" s="119"/>
      <c r="S304" s="77"/>
      <c r="T304" s="107" t="s">
        <v>214</v>
      </c>
      <c r="U304" s="123"/>
      <c r="V304" s="123"/>
      <c r="W304" s="104"/>
      <c r="X304" s="85"/>
      <c r="Y304" s="123"/>
      <c r="Z304" s="130" t="str">
        <f t="shared" si="123"/>
        <v>/* 테이블 : 팝업 */ CREATE TABLE TB_POPUP (</v>
      </c>
      <c r="AA304" s="125" t="str">
        <f t="shared" si="118"/>
        <v>UPDT_DT TIMESTAMP,</v>
      </c>
      <c r="AB304" s="125" t="str">
        <f t="shared" si="116"/>
        <v/>
      </c>
      <c r="AC304" s="125" t="str">
        <f t="shared" si="117"/>
        <v/>
      </c>
      <c r="AD304" s="125" t="str">
        <f t="shared" si="126"/>
        <v/>
      </c>
      <c r="AE304" s="125" t="str">
        <f t="shared" si="124"/>
        <v/>
      </c>
      <c r="AF304" s="125" t="str">
        <f t="shared" si="125"/>
        <v>COMMENT ON COLUMN TB_POPUP.UPDT_DT IS '수정 일시' ;</v>
      </c>
      <c r="AG304" s="125" t="str">
        <f t="shared" si="99"/>
        <v>ALTER TABLE TB_POPUP ALTER COLUMN UPDT_DT TYPE TIMESTAMP;</v>
      </c>
      <c r="AH304" s="125" t="str">
        <f t="shared" si="100"/>
        <v>ALTER TABLE TB_POPUP ADD COLUMN UPDT_DT TIMESTAMP;</v>
      </c>
      <c r="AI304" s="125" t="str">
        <f t="shared" si="101"/>
        <v>ALTER TABLE TB_POPUP DROP COLUMN UPDT_DT;</v>
      </c>
    </row>
    <row r="305" spans="2:35" ht="20.100000000000001" customHeight="1">
      <c r="B305" s="55">
        <v>300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15</v>
      </c>
      <c r="H305" s="97" t="s">
        <v>96</v>
      </c>
      <c r="I305" s="97" t="s">
        <v>82</v>
      </c>
      <c r="J305" s="73" t="s">
        <v>72</v>
      </c>
      <c r="K305" s="61"/>
      <c r="L305" s="61"/>
      <c r="M305" s="61"/>
      <c r="N305" s="61"/>
      <c r="O305" s="61"/>
      <c r="P305" s="61"/>
      <c r="Q305" s="51" t="s">
        <v>804</v>
      </c>
      <c r="R305" s="119" t="s">
        <v>522</v>
      </c>
      <c r="S305" s="82" t="s">
        <v>803</v>
      </c>
      <c r="T305" s="107" t="s">
        <v>213</v>
      </c>
      <c r="U305" s="123"/>
      <c r="V305" s="123"/>
      <c r="W305" s="104"/>
      <c r="X305" s="85"/>
      <c r="Y305" s="123"/>
      <c r="Z305" s="130" t="str">
        <f t="shared" si="123"/>
        <v>/* 테이블 : 팝업 */ CREATE TABLE TB_POPUP (</v>
      </c>
      <c r="AA305" s="125" t="str">
        <f t="shared" si="118"/>
        <v>DEL_YN BPCHAR(1) NOT NULL,</v>
      </c>
      <c r="AB305" s="125" t="str">
        <f t="shared" si="116"/>
        <v/>
      </c>
      <c r="AC305" s="125" t="str">
        <f t="shared" si="117"/>
        <v/>
      </c>
      <c r="AD305" s="125" t="str">
        <f t="shared" si="126"/>
        <v/>
      </c>
      <c r="AE305" s="125" t="str">
        <f t="shared" si="124"/>
        <v>ALTER TABLE TB_POPUP ALTER COLUMN DEL_YN SET DEFAULT 'N'::bpchar;</v>
      </c>
      <c r="AF305" s="125" t="str">
        <f t="shared" si="125"/>
        <v>COMMENT ON COLUMN TB_POPUP.DEL_YN IS '삭제 여부' ;</v>
      </c>
      <c r="AG305" s="125" t="str">
        <f t="shared" ref="AG305:AG368" si="127">"ALTER TABLE "&amp;$E305&amp;" ALTER COLUMN "&amp;$H305&amp;" TYPE "&amp;$Q305&amp;IF(ISBLANK(R305),"",R305)&amp;";"</f>
        <v>ALTER TABLE TB_POPUP ALTER COLUMN DEL_YN TYPE BPCHAR(1);</v>
      </c>
      <c r="AH305" s="125" t="str">
        <f t="shared" ref="AH305:AH368" si="128">"ALTER TABLE "&amp;$E305&amp;" ADD COLUMN "&amp;$H305&amp;" "&amp;$Q305&amp;IF(ISBLANK(R305),"",$R305)&amp;IF(ISBLANK($J305),""," NOT NULL")&amp;IF(ISBLANK($S305),""," DEFAULT '" &amp; $S305 &amp; "'") &amp; ";"</f>
        <v>ALTER TABLE TB_POPUP ADD COLUMN DEL_YN BPCHAR(1) NOT NULL DEFAULT ''N'::bpchar';</v>
      </c>
      <c r="AI305" s="125" t="str">
        <f t="shared" ref="AI305:AI368" si="129">"ALTER TABLE "&amp;$E305&amp;" DROP COLUMN "&amp;$H305&amp;";"</f>
        <v>ALTER TABLE TB_POPUP DROP COLUMN DEL_YN;</v>
      </c>
    </row>
    <row r="306" spans="2:35" ht="20.100000000000001" customHeight="1">
      <c r="B306" s="135">
        <v>301</v>
      </c>
      <c r="C306" s="26" t="s">
        <v>7</v>
      </c>
      <c r="D306" s="26" t="s">
        <v>634</v>
      </c>
      <c r="E306" s="11" t="s">
        <v>637</v>
      </c>
      <c r="F306" s="10" t="s">
        <v>635</v>
      </c>
      <c r="G306" s="87">
        <v>1</v>
      </c>
      <c r="H306" s="97" t="s">
        <v>638</v>
      </c>
      <c r="I306" s="97" t="s">
        <v>636</v>
      </c>
      <c r="J306" s="73" t="s">
        <v>72</v>
      </c>
      <c r="K306" s="69">
        <v>1</v>
      </c>
      <c r="L306" s="69"/>
      <c r="M306" s="69"/>
      <c r="N306" s="69"/>
      <c r="O306" s="69"/>
      <c r="P306" s="69"/>
      <c r="Q306" s="62" t="s">
        <v>646</v>
      </c>
      <c r="R306" s="119"/>
      <c r="S306" s="82"/>
      <c r="T306" s="97" t="s">
        <v>653</v>
      </c>
      <c r="U306" s="125" t="str">
        <f>"SEQ_"&amp;E306&amp;"_SN"</f>
        <v>SEQ_TB_QESTNAR_GROUP_SN</v>
      </c>
      <c r="V306" s="123"/>
      <c r="W306" s="104"/>
      <c r="X306" s="85"/>
      <c r="Y306" s="123"/>
      <c r="Z306" s="130" t="str">
        <f t="shared" si="123"/>
        <v>/* 테이블 : 설문조사그룹 */ CREATE TABLE TB_QESTNAR_GROUP (</v>
      </c>
      <c r="AA306" s="125" t="str">
        <f t="shared" si="118"/>
        <v>QESTNAR_GROUP_SN INTEGER PRIMARY KEY,</v>
      </c>
      <c r="AB306" s="125" t="str">
        <f t="shared" si="116"/>
        <v/>
      </c>
      <c r="AC306" s="125" t="str">
        <f t="shared" si="117"/>
        <v>CREATE SEQUENCE SEQ_TB_QESTNAR_GROUP_SN START 100000;</v>
      </c>
      <c r="AD306" s="125" t="str">
        <f t="shared" si="126"/>
        <v>ALTER TABLE TB_QESTNAR_GROUP ALTER COLUMN QESTNAR_GROUP_SN SET DEFAULT NEXTVAL('SEQ_TB_QESTNAR_GROUP_SN');</v>
      </c>
      <c r="AE306" s="125" t="str">
        <f t="shared" si="124"/>
        <v/>
      </c>
      <c r="AF306" s="125" t="str">
        <f t="shared" si="125"/>
        <v>COMMENT ON COLUMN TB_QESTNAR_GROUP.QESTNAR_GROUP_SN IS '설문조사 그룹 일련번호' ;</v>
      </c>
      <c r="AG306" s="125" t="str">
        <f t="shared" si="127"/>
        <v>ALTER TABLE TB_QESTNAR_GROUP ALTER COLUMN QESTNAR_GROUP_SN TYPE INTEGER;</v>
      </c>
      <c r="AH306" s="125" t="str">
        <f t="shared" si="128"/>
        <v>ALTER TABLE TB_QESTNAR_GROUP ADD COLUMN QESTNAR_GROUP_SN INTEGER NOT NULL;</v>
      </c>
      <c r="AI306" s="125" t="str">
        <f t="shared" si="129"/>
        <v>ALTER TABLE TB_QESTNAR_GROUP DROP COLUMN QESTNAR_GROUP_SN;</v>
      </c>
    </row>
    <row r="307" spans="2:35" ht="20.100000000000001" customHeight="1">
      <c r="B307" s="55">
        <v>302</v>
      </c>
      <c r="C307" s="26" t="s">
        <v>7</v>
      </c>
      <c r="D307" s="26" t="s">
        <v>634</v>
      </c>
      <c r="E307" s="11" t="s">
        <v>637</v>
      </c>
      <c r="F307" s="10" t="s">
        <v>635</v>
      </c>
      <c r="G307" s="87">
        <v>2</v>
      </c>
      <c r="H307" s="97" t="s">
        <v>640</v>
      </c>
      <c r="I307" s="97" t="s">
        <v>639</v>
      </c>
      <c r="J307" s="73" t="s">
        <v>72</v>
      </c>
      <c r="K307" s="69"/>
      <c r="L307" s="69"/>
      <c r="M307" s="69"/>
      <c r="N307" s="69"/>
      <c r="O307" s="69"/>
      <c r="P307" s="69"/>
      <c r="Q307" s="62" t="s">
        <v>647</v>
      </c>
      <c r="R307" s="119" t="s">
        <v>526</v>
      </c>
      <c r="S307" s="82"/>
      <c r="T307" s="97" t="s">
        <v>654</v>
      </c>
      <c r="U307" s="123"/>
      <c r="V307" s="123"/>
      <c r="W307" s="104"/>
      <c r="X307" s="85"/>
      <c r="Y307" s="123"/>
      <c r="Z307" s="130" t="str">
        <f t="shared" si="123"/>
        <v>/* 테이블 : 설문조사그룹 */ CREATE TABLE TB_QESTNAR_GROUP (</v>
      </c>
      <c r="AA307" s="125" t="str">
        <f t="shared" si="118"/>
        <v>QESTNAR_GROUP_CD VARCHAR(50) NOT NULL,</v>
      </c>
      <c r="AB307" s="125" t="str">
        <f t="shared" si="116"/>
        <v/>
      </c>
      <c r="AC307" s="125" t="str">
        <f t="shared" si="117"/>
        <v/>
      </c>
      <c r="AD307" s="125" t="str">
        <f t="shared" si="126"/>
        <v/>
      </c>
      <c r="AE307" s="125" t="str">
        <f t="shared" si="124"/>
        <v/>
      </c>
      <c r="AF307" s="125" t="str">
        <f t="shared" si="125"/>
        <v>COMMENT ON COLUMN TB_QESTNAR_GROUP.QESTNAR_GROUP_CD IS '설문조사 그룹 코드' ;</v>
      </c>
      <c r="AG307" s="125" t="str">
        <f t="shared" si="127"/>
        <v>ALTER TABLE TB_QESTNAR_GROUP ALTER COLUMN QESTNAR_GROUP_CD TYPE VARCHAR(50);</v>
      </c>
      <c r="AH307" s="125" t="str">
        <f t="shared" si="128"/>
        <v>ALTER TABLE TB_QESTNAR_GROUP ADD COLUMN QESTNAR_GROUP_CD VARCHAR(50) NOT NULL;</v>
      </c>
      <c r="AI307" s="125" t="str">
        <f t="shared" si="129"/>
        <v>ALTER TABLE TB_QESTNAR_GROUP DROP COLUMN QESTNAR_GROUP_CD;</v>
      </c>
    </row>
    <row r="308" spans="2:35" ht="20.100000000000001" customHeight="1">
      <c r="B308" s="55">
        <v>303</v>
      </c>
      <c r="C308" s="26" t="s">
        <v>7</v>
      </c>
      <c r="D308" s="26" t="s">
        <v>634</v>
      </c>
      <c r="E308" s="11" t="s">
        <v>637</v>
      </c>
      <c r="F308" s="10" t="s">
        <v>635</v>
      </c>
      <c r="G308" s="87">
        <v>3</v>
      </c>
      <c r="H308" s="97" t="s">
        <v>644</v>
      </c>
      <c r="I308" s="97" t="s">
        <v>641</v>
      </c>
      <c r="J308" s="73"/>
      <c r="K308" s="69"/>
      <c r="L308" s="69"/>
      <c r="M308" s="69"/>
      <c r="N308" s="69"/>
      <c r="O308" s="69"/>
      <c r="P308" s="69"/>
      <c r="Q308" s="62" t="s">
        <v>647</v>
      </c>
      <c r="R308" s="119" t="s">
        <v>527</v>
      </c>
      <c r="S308" s="82"/>
      <c r="T308" s="97" t="s">
        <v>655</v>
      </c>
      <c r="U308" s="123"/>
      <c r="V308" s="123"/>
      <c r="W308" s="104"/>
      <c r="X308" s="85"/>
      <c r="Y308" s="123"/>
      <c r="Z308" s="130" t="str">
        <f t="shared" si="123"/>
        <v>/* 테이블 : 설문조사그룹 */ CREATE TABLE TB_QESTNAR_GROUP (</v>
      </c>
      <c r="AA308" s="125" t="str">
        <f t="shared" si="118"/>
        <v>QESTNAR_GROUP_NM VARCHAR(100),</v>
      </c>
      <c r="AB308" s="125" t="str">
        <f t="shared" si="116"/>
        <v/>
      </c>
      <c r="AC308" s="125" t="str">
        <f t="shared" si="117"/>
        <v/>
      </c>
      <c r="AD308" s="125" t="str">
        <f t="shared" si="126"/>
        <v/>
      </c>
      <c r="AE308" s="125" t="str">
        <f t="shared" si="124"/>
        <v/>
      </c>
      <c r="AF308" s="125" t="str">
        <f t="shared" si="125"/>
        <v>COMMENT ON COLUMN TB_QESTNAR_GROUP.QESTNAR_GROUP_NM IS '설문조사 그룹 이름' ;</v>
      </c>
      <c r="AG308" s="125" t="str">
        <f t="shared" si="127"/>
        <v>ALTER TABLE TB_QESTNAR_GROUP ALTER COLUMN QESTNAR_GROUP_NM TYPE VARCHAR(100);</v>
      </c>
      <c r="AH308" s="125" t="str">
        <f t="shared" si="128"/>
        <v>ALTER TABLE TB_QESTNAR_GROUP ADD COLUMN QESTNAR_GROUP_NM VARCHAR(100);</v>
      </c>
      <c r="AI308" s="125" t="str">
        <f t="shared" si="129"/>
        <v>ALTER TABLE TB_QESTNAR_GROUP DROP COLUMN QESTNAR_GROUP_NM;</v>
      </c>
    </row>
    <row r="309" spans="2:35" ht="20.100000000000001" customHeight="1">
      <c r="B309" s="55">
        <v>304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4</v>
      </c>
      <c r="H309" s="97" t="s">
        <v>645</v>
      </c>
      <c r="I309" s="97" t="s">
        <v>642</v>
      </c>
      <c r="J309" s="73"/>
      <c r="K309" s="69"/>
      <c r="L309" s="69"/>
      <c r="M309" s="69"/>
      <c r="N309" s="69"/>
      <c r="O309" s="69"/>
      <c r="P309" s="69"/>
      <c r="Q309" s="100" t="s">
        <v>106</v>
      </c>
      <c r="R309" s="119" t="s">
        <v>528</v>
      </c>
      <c r="S309" s="82"/>
      <c r="T309" s="97" t="s">
        <v>656</v>
      </c>
      <c r="U309" s="123"/>
      <c r="V309" s="123"/>
      <c r="W309" s="104"/>
      <c r="X309" s="85"/>
      <c r="Y309" s="123"/>
      <c r="Z309" s="130" t="str">
        <f t="shared" si="123"/>
        <v>/* 테이블 : 설문조사그룹 */ CREATE TABLE TB_QESTNAR_GROUP (</v>
      </c>
      <c r="AA309" s="125" t="str">
        <f t="shared" si="118"/>
        <v>QESTNAR_GROUP_DC VARCHAR(255),</v>
      </c>
      <c r="AB309" s="125" t="str">
        <f t="shared" si="116"/>
        <v/>
      </c>
      <c r="AC309" s="125" t="str">
        <f t="shared" si="117"/>
        <v/>
      </c>
      <c r="AD309" s="125" t="str">
        <f t="shared" si="126"/>
        <v/>
      </c>
      <c r="AE309" s="125" t="str">
        <f t="shared" si="124"/>
        <v/>
      </c>
      <c r="AF309" s="125" t="str">
        <f t="shared" si="125"/>
        <v>COMMENT ON COLUMN TB_QESTNAR_GROUP.QESTNAR_GROUP_DC IS '설문조사 그룹 설명' ;</v>
      </c>
      <c r="AG309" s="125" t="str">
        <f t="shared" si="127"/>
        <v>ALTER TABLE TB_QESTNAR_GROUP ALTER COLUMN QESTNAR_GROUP_DC TYPE VARCHAR(255);</v>
      </c>
      <c r="AH309" s="125" t="str">
        <f t="shared" si="128"/>
        <v>ALTER TABLE TB_QESTNAR_GROUP ADD COLUMN QESTNAR_GROUP_DC VARCHAR(255);</v>
      </c>
      <c r="AI309" s="125" t="str">
        <f t="shared" si="129"/>
        <v>ALTER TABLE TB_QESTNAR_GROUP DROP COLUMN QESTNAR_GROUP_DC;</v>
      </c>
    </row>
    <row r="310" spans="2:35" ht="20.100000000000001" customHeight="1">
      <c r="B310" s="135">
        <v>305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5</v>
      </c>
      <c r="H310" s="97" t="s">
        <v>648</v>
      </c>
      <c r="I310" s="97" t="s">
        <v>650</v>
      </c>
      <c r="J310" s="73" t="s">
        <v>72</v>
      </c>
      <c r="K310" s="69"/>
      <c r="L310" s="69"/>
      <c r="M310" s="69"/>
      <c r="N310" s="69"/>
      <c r="O310" s="69"/>
      <c r="P310" s="69"/>
      <c r="Q310" s="51" t="s">
        <v>804</v>
      </c>
      <c r="R310" s="119" t="s">
        <v>522</v>
      </c>
      <c r="S310" s="82"/>
      <c r="T310" s="107" t="s">
        <v>649</v>
      </c>
      <c r="U310" s="123"/>
      <c r="V310" s="123" t="s">
        <v>651</v>
      </c>
      <c r="W310" s="104"/>
      <c r="X310" s="85"/>
      <c r="Y310" s="123"/>
      <c r="Z310" s="130" t="str">
        <f t="shared" si="123"/>
        <v>/* 테이블 : 설문조사그룹 */ CREATE TABLE TB_QESTNAR_GROUP (</v>
      </c>
      <c r="AA310" s="125" t="str">
        <f t="shared" si="118"/>
        <v>PRIVCY_YN BPCHAR(1) NOT NULL,</v>
      </c>
      <c r="AB310" s="125" t="str">
        <f t="shared" si="116"/>
        <v/>
      </c>
      <c r="AC310" s="125" t="str">
        <f t="shared" si="117"/>
        <v/>
      </c>
      <c r="AD310" s="125" t="str">
        <f t="shared" si="126"/>
        <v/>
      </c>
      <c r="AE310" s="125" t="str">
        <f t="shared" si="124"/>
        <v/>
      </c>
      <c r="AF310" s="125" t="str">
        <f t="shared" si="125"/>
        <v>COMMENT ON COLUMN TB_QESTNAR_GROUP.PRIVCY_YN IS '프라이버시 여부' ;</v>
      </c>
      <c r="AG310" s="125" t="str">
        <f t="shared" si="127"/>
        <v>ALTER TABLE TB_QESTNAR_GROUP ALTER COLUMN PRIVCY_YN TYPE BPCHAR(1);</v>
      </c>
      <c r="AH310" s="125" t="str">
        <f t="shared" si="128"/>
        <v>ALTER TABLE TB_QESTNAR_GROUP ADD COLUMN PRIVCY_YN BPCHAR(1) NOT NULL;</v>
      </c>
      <c r="AI310" s="125" t="str">
        <f t="shared" si="129"/>
        <v>ALTER TABLE TB_QESTNAR_GROUP DROP COLUMN PRIVCY_YN;</v>
      </c>
    </row>
    <row r="311" spans="2:35" ht="20.100000000000001" customHeight="1">
      <c r="B311" s="55">
        <v>306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6</v>
      </c>
      <c r="H311" s="97" t="s">
        <v>408</v>
      </c>
      <c r="I311" s="97" t="s">
        <v>643</v>
      </c>
      <c r="J311" s="73" t="s">
        <v>72</v>
      </c>
      <c r="K311" s="69"/>
      <c r="L311" s="69"/>
      <c r="M311" s="69"/>
      <c r="N311" s="69"/>
      <c r="O311" s="69"/>
      <c r="P311" s="69"/>
      <c r="Q311" s="51" t="s">
        <v>804</v>
      </c>
      <c r="R311" s="119" t="s">
        <v>522</v>
      </c>
      <c r="S311" s="82"/>
      <c r="T311" s="107" t="s">
        <v>652</v>
      </c>
      <c r="U311" s="123"/>
      <c r="V311" s="123"/>
      <c r="W311" s="104"/>
      <c r="X311" s="85"/>
      <c r="Y311" s="123"/>
      <c r="Z311" s="130" t="str">
        <f t="shared" si="123"/>
        <v>/* 테이블 : 설문조사그룹 */ CREATE TABLE TB_QESTNAR_GROUP (</v>
      </c>
      <c r="AA311" s="125" t="str">
        <f t="shared" si="118"/>
        <v>USE_YN BPCHAR(1) NOT NULL,</v>
      </c>
      <c r="AB311" s="125" t="str">
        <f t="shared" si="116"/>
        <v/>
      </c>
      <c r="AC311" s="125" t="str">
        <f t="shared" si="117"/>
        <v/>
      </c>
      <c r="AD311" s="125" t="str">
        <f t="shared" si="126"/>
        <v/>
      </c>
      <c r="AE311" s="125" t="str">
        <f t="shared" si="124"/>
        <v/>
      </c>
      <c r="AF311" s="125" t="str">
        <f t="shared" si="125"/>
        <v>COMMENT ON COLUMN TB_QESTNAR_GROUP.USE_YN IS '사용 여부' ;</v>
      </c>
      <c r="AG311" s="125" t="str">
        <f t="shared" si="127"/>
        <v>ALTER TABLE TB_QESTNAR_GROUP ALTER COLUMN USE_YN TYPE BPCHAR(1);</v>
      </c>
      <c r="AH311" s="125" t="str">
        <f t="shared" si="128"/>
        <v>ALTER TABLE TB_QESTNAR_GROUP ADD COLUMN USE_YN BPCHAR(1) NOT NULL;</v>
      </c>
      <c r="AI311" s="125" t="str">
        <f t="shared" si="129"/>
        <v>ALTER TABLE TB_QESTNAR_GROUP DROP COLUMN USE_YN;</v>
      </c>
    </row>
    <row r="312" spans="2:35" ht="20.100000000000001" customHeight="1">
      <c r="B312" s="55">
        <v>307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7</v>
      </c>
      <c r="H312" s="97" t="s">
        <v>107</v>
      </c>
      <c r="I312" s="51" t="s">
        <v>76</v>
      </c>
      <c r="J312" s="73" t="s">
        <v>72</v>
      </c>
      <c r="K312" s="67"/>
      <c r="L312" s="67"/>
      <c r="M312" s="77"/>
      <c r="N312" s="77"/>
      <c r="O312" s="77"/>
      <c r="P312" s="77"/>
      <c r="Q312" s="100" t="s">
        <v>521</v>
      </c>
      <c r="R312" s="119" t="s">
        <v>526</v>
      </c>
      <c r="S312" s="80"/>
      <c r="T312" s="107" t="s">
        <v>219</v>
      </c>
      <c r="U312" s="123"/>
      <c r="V312" s="123"/>
      <c r="W312" s="116" t="s">
        <v>496</v>
      </c>
      <c r="X312" s="85"/>
      <c r="Y312" s="123"/>
      <c r="Z312" s="130" t="str">
        <f t="shared" si="123"/>
        <v>/* 테이블 : 설문조사그룹 */ CREATE TABLE TB_QESTNAR_GROUP (</v>
      </c>
      <c r="AA312" s="125" t="str">
        <f t="shared" si="118"/>
        <v>REGISTER_ID VARCHAR(50) NOT NULL,</v>
      </c>
      <c r="AB312" s="125" t="str">
        <f t="shared" si="116"/>
        <v/>
      </c>
      <c r="AC312" s="125" t="str">
        <f t="shared" si="117"/>
        <v/>
      </c>
      <c r="AD312" s="125" t="str">
        <f t="shared" si="126"/>
        <v/>
      </c>
      <c r="AE312" s="125" t="str">
        <f t="shared" si="124"/>
        <v/>
      </c>
      <c r="AF312" s="125" t="str">
        <f t="shared" si="125"/>
        <v>COMMENT ON COLUMN TB_QESTNAR_GROUP.REGISTER_ID IS '등록자 ID' ;</v>
      </c>
      <c r="AG312" s="125" t="str">
        <f t="shared" si="127"/>
        <v>ALTER TABLE TB_QESTNAR_GROUP ALTER COLUMN REGISTER_ID TYPE VARCHAR(50);</v>
      </c>
      <c r="AH312" s="125" t="str">
        <f t="shared" si="128"/>
        <v>ALTER TABLE TB_QESTNAR_GROUP ADD COLUMN REGISTER_ID VARCHAR(50) NOT NULL;</v>
      </c>
      <c r="AI312" s="125" t="str">
        <f t="shared" si="129"/>
        <v>ALTER TABLE TB_QESTNAR_GROUP DROP COLUMN REGISTER_ID;</v>
      </c>
    </row>
    <row r="313" spans="2:35" ht="20.100000000000001" customHeight="1">
      <c r="B313" s="55">
        <v>308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8</v>
      </c>
      <c r="H313" s="97" t="s">
        <v>91</v>
      </c>
      <c r="I313" s="51" t="s">
        <v>77</v>
      </c>
      <c r="J313" s="73" t="s">
        <v>72</v>
      </c>
      <c r="K313" s="52"/>
      <c r="L313" s="52"/>
      <c r="M313" s="52"/>
      <c r="N313" s="52"/>
      <c r="O313" s="52"/>
      <c r="P313" s="52"/>
      <c r="Q313" s="56" t="s">
        <v>106</v>
      </c>
      <c r="R313" s="119" t="s">
        <v>527</v>
      </c>
      <c r="S313" s="80"/>
      <c r="T313" s="107" t="s">
        <v>218</v>
      </c>
      <c r="U313" s="123"/>
      <c r="V313" s="123"/>
      <c r="W313" s="104"/>
      <c r="X313" s="85"/>
      <c r="Y313" s="123"/>
      <c r="Z313" s="130" t="str">
        <f t="shared" si="123"/>
        <v>/* 테이블 : 설문조사그룹 */ CREATE TABLE TB_QESTNAR_GROUP (</v>
      </c>
      <c r="AA313" s="125" t="str">
        <f t="shared" si="118"/>
        <v>REGISTER_IP VARCHAR(100) NOT NULL,</v>
      </c>
      <c r="AB313" s="125" t="str">
        <f t="shared" si="116"/>
        <v/>
      </c>
      <c r="AC313" s="125" t="str">
        <f t="shared" si="117"/>
        <v/>
      </c>
      <c r="AD313" s="125" t="str">
        <f t="shared" si="126"/>
        <v/>
      </c>
      <c r="AE313" s="125" t="str">
        <f t="shared" si="124"/>
        <v/>
      </c>
      <c r="AF313" s="125" t="str">
        <f t="shared" si="125"/>
        <v>COMMENT ON COLUMN TB_QESTNAR_GROUP.REGISTER_IP IS '등록자 IP' ;</v>
      </c>
      <c r="AG313" s="125" t="str">
        <f t="shared" si="127"/>
        <v>ALTER TABLE TB_QESTNAR_GROUP ALTER COLUMN REGISTER_IP TYPE VARCHAR(100);</v>
      </c>
      <c r="AH313" s="125" t="str">
        <f t="shared" si="128"/>
        <v>ALTER TABLE TB_QESTNAR_GROUP ADD COLUMN REGISTER_IP VARCHAR(100) NOT NULL;</v>
      </c>
      <c r="AI313" s="125" t="str">
        <f t="shared" si="129"/>
        <v>ALTER TABLE TB_QESTNAR_GROUP DROP COLUMN REGISTER_IP;</v>
      </c>
    </row>
    <row r="314" spans="2:35" ht="20.100000000000001" customHeight="1">
      <c r="B314" s="135">
        <v>309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9</v>
      </c>
      <c r="H314" s="97" t="s">
        <v>92</v>
      </c>
      <c r="I314" s="96" t="s">
        <v>78</v>
      </c>
      <c r="J314" s="73" t="s">
        <v>72</v>
      </c>
      <c r="K314" s="52"/>
      <c r="L314" s="52"/>
      <c r="M314" s="52"/>
      <c r="N314" s="52"/>
      <c r="O314" s="52"/>
      <c r="P314" s="52"/>
      <c r="Q314" s="51" t="s">
        <v>706</v>
      </c>
      <c r="R314" s="119"/>
      <c r="S314" s="80"/>
      <c r="T314" s="107" t="s">
        <v>217</v>
      </c>
      <c r="U314" s="123"/>
      <c r="V314" s="123"/>
      <c r="W314" s="104"/>
      <c r="X314" s="85"/>
      <c r="Y314" s="123"/>
      <c r="Z314" s="130" t="str">
        <f t="shared" si="123"/>
        <v>/* 테이블 : 설문조사그룹 */ CREATE TABLE TB_QESTNAR_GROUP (</v>
      </c>
      <c r="AA314" s="125" t="str">
        <f t="shared" si="118"/>
        <v>REG_DT TIMESTAMP NOT NULL,</v>
      </c>
      <c r="AB314" s="125" t="str">
        <f t="shared" si="116"/>
        <v/>
      </c>
      <c r="AC314" s="125" t="str">
        <f t="shared" si="117"/>
        <v/>
      </c>
      <c r="AD314" s="125" t="str">
        <f t="shared" si="126"/>
        <v/>
      </c>
      <c r="AE314" s="125" t="str">
        <f t="shared" si="124"/>
        <v/>
      </c>
      <c r="AF314" s="125" t="str">
        <f t="shared" si="125"/>
        <v>COMMENT ON COLUMN TB_QESTNAR_GROUP.REG_DT IS '등록 일시' ;</v>
      </c>
      <c r="AG314" s="125" t="str">
        <f t="shared" si="127"/>
        <v>ALTER TABLE TB_QESTNAR_GROUP ALTER COLUMN REG_DT TYPE TIMESTAMP;</v>
      </c>
      <c r="AH314" s="125" t="str">
        <f t="shared" si="128"/>
        <v>ALTER TABLE TB_QESTNAR_GROUP ADD COLUMN REG_DT TIMESTAMP NOT NULL;</v>
      </c>
      <c r="AI314" s="125" t="str">
        <f t="shared" si="129"/>
        <v>ALTER TABLE TB_QESTNAR_GROUP DROP COLUMN REG_DT;</v>
      </c>
    </row>
    <row r="315" spans="2:35" ht="20.100000000000001" customHeight="1">
      <c r="B315" s="55">
        <v>310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10</v>
      </c>
      <c r="H315" s="97" t="s">
        <v>93</v>
      </c>
      <c r="I315" s="96" t="s">
        <v>80</v>
      </c>
      <c r="J315" s="52"/>
      <c r="K315" s="52"/>
      <c r="L315" s="52"/>
      <c r="M315" s="79"/>
      <c r="N315" s="79"/>
      <c r="O315" s="79"/>
      <c r="P315" s="79"/>
      <c r="Q315" s="100" t="s">
        <v>521</v>
      </c>
      <c r="R315" s="119" t="s">
        <v>526</v>
      </c>
      <c r="S315" s="80"/>
      <c r="T315" s="107" t="s">
        <v>216</v>
      </c>
      <c r="U315" s="123"/>
      <c r="V315" s="123"/>
      <c r="W315" s="116" t="s">
        <v>496</v>
      </c>
      <c r="X315" s="85"/>
      <c r="Y315" s="123"/>
      <c r="Z315" s="130" t="str">
        <f t="shared" si="123"/>
        <v>/* 테이블 : 설문조사그룹 */ CREATE TABLE TB_QESTNAR_GROUP (</v>
      </c>
      <c r="AA315" s="125" t="str">
        <f t="shared" si="118"/>
        <v>UPDUSR_ID VARCHAR(50),</v>
      </c>
      <c r="AB315" s="125" t="str">
        <f t="shared" si="116"/>
        <v/>
      </c>
      <c r="AC315" s="125" t="str">
        <f t="shared" si="117"/>
        <v/>
      </c>
      <c r="AD315" s="125" t="str">
        <f t="shared" si="126"/>
        <v/>
      </c>
      <c r="AE315" s="125" t="str">
        <f t="shared" si="124"/>
        <v/>
      </c>
      <c r="AF315" s="125" t="str">
        <f t="shared" si="125"/>
        <v>COMMENT ON COLUMN TB_QESTNAR_GROUP.UPDUSR_ID IS '수정자 ID' ;</v>
      </c>
      <c r="AG315" s="125" t="str">
        <f t="shared" si="127"/>
        <v>ALTER TABLE TB_QESTNAR_GROUP ALTER COLUMN UPDUSR_ID TYPE VARCHAR(50);</v>
      </c>
      <c r="AH315" s="125" t="str">
        <f t="shared" si="128"/>
        <v>ALTER TABLE TB_QESTNAR_GROUP ADD COLUMN UPDUSR_ID VARCHAR(50);</v>
      </c>
      <c r="AI315" s="125" t="str">
        <f t="shared" si="129"/>
        <v>ALTER TABLE TB_QESTNAR_GROUP DROP COLUMN UPDUSR_ID;</v>
      </c>
    </row>
    <row r="316" spans="2:35" ht="20.100000000000001" customHeight="1">
      <c r="B316" s="55">
        <v>311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11</v>
      </c>
      <c r="H316" s="97" t="s">
        <v>94</v>
      </c>
      <c r="I316" s="96" t="s">
        <v>79</v>
      </c>
      <c r="J316" s="52"/>
      <c r="K316" s="52"/>
      <c r="L316" s="52"/>
      <c r="M316" s="52"/>
      <c r="N316" s="52"/>
      <c r="O316" s="52"/>
      <c r="P316" s="52"/>
      <c r="Q316" s="56" t="s">
        <v>106</v>
      </c>
      <c r="R316" s="119" t="s">
        <v>527</v>
      </c>
      <c r="S316" s="80"/>
      <c r="T316" s="107" t="s">
        <v>215</v>
      </c>
      <c r="U316" s="123"/>
      <c r="V316" s="123"/>
      <c r="W316" s="104"/>
      <c r="X316" s="85"/>
      <c r="Y316" s="123"/>
      <c r="Z316" s="130" t="str">
        <f t="shared" si="123"/>
        <v>/* 테이블 : 설문조사그룹 */ CREATE TABLE TB_QESTNAR_GROUP (</v>
      </c>
      <c r="AA316" s="125" t="str">
        <f t="shared" si="118"/>
        <v>UPDUSR_IP VARCHAR(100),</v>
      </c>
      <c r="AB316" s="125" t="str">
        <f t="shared" si="116"/>
        <v/>
      </c>
      <c r="AC316" s="125" t="str">
        <f t="shared" si="117"/>
        <v/>
      </c>
      <c r="AD316" s="125" t="str">
        <f t="shared" si="126"/>
        <v/>
      </c>
      <c r="AE316" s="125" t="str">
        <f t="shared" si="124"/>
        <v/>
      </c>
      <c r="AF316" s="125" t="str">
        <f t="shared" si="125"/>
        <v>COMMENT ON COLUMN TB_QESTNAR_GROUP.UPDUSR_IP IS '수정자 IP' ;</v>
      </c>
      <c r="AG316" s="125" t="str">
        <f t="shared" si="127"/>
        <v>ALTER TABLE TB_QESTNAR_GROUP ALTER COLUMN UPDUSR_IP TYPE VARCHAR(100);</v>
      </c>
      <c r="AH316" s="125" t="str">
        <f t="shared" si="128"/>
        <v>ALTER TABLE TB_QESTNAR_GROUP ADD COLUMN UPDUSR_IP VARCHAR(100);</v>
      </c>
      <c r="AI316" s="125" t="str">
        <f t="shared" si="129"/>
        <v>ALTER TABLE TB_QESTNAR_GROUP DROP COLUMN UPDUSR_IP;</v>
      </c>
    </row>
    <row r="317" spans="2:35" ht="20.100000000000001" customHeight="1">
      <c r="B317" s="55">
        <v>312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12</v>
      </c>
      <c r="H317" s="98" t="s">
        <v>95</v>
      </c>
      <c r="I317" s="97" t="s">
        <v>81</v>
      </c>
      <c r="J317" s="61"/>
      <c r="K317" s="61"/>
      <c r="L317" s="61"/>
      <c r="M317" s="61"/>
      <c r="N317" s="61"/>
      <c r="O317" s="61"/>
      <c r="P317" s="61"/>
      <c r="Q317" s="51" t="s">
        <v>706</v>
      </c>
      <c r="R317" s="119"/>
      <c r="S317" s="77"/>
      <c r="T317" s="107" t="s">
        <v>214</v>
      </c>
      <c r="U317" s="123"/>
      <c r="V317" s="123"/>
      <c r="W317" s="104"/>
      <c r="X317" s="85"/>
      <c r="Y317" s="123"/>
      <c r="Z317" s="130" t="str">
        <f t="shared" si="123"/>
        <v>/* 테이블 : 설문조사그룹 */ CREATE TABLE TB_QESTNAR_GROUP (</v>
      </c>
      <c r="AA317" s="125" t="str">
        <f t="shared" si="118"/>
        <v>UPDT_DT TIMESTAMP,</v>
      </c>
      <c r="AB317" s="125" t="str">
        <f t="shared" si="116"/>
        <v/>
      </c>
      <c r="AC317" s="125" t="str">
        <f t="shared" si="117"/>
        <v/>
      </c>
      <c r="AD317" s="125" t="str">
        <f t="shared" si="126"/>
        <v/>
      </c>
      <c r="AE317" s="125" t="str">
        <f t="shared" si="124"/>
        <v/>
      </c>
      <c r="AF317" s="125" t="str">
        <f t="shared" si="125"/>
        <v>COMMENT ON COLUMN TB_QESTNAR_GROUP.UPDT_DT IS '수정 일시' ;</v>
      </c>
      <c r="AG317" s="125" t="str">
        <f t="shared" si="127"/>
        <v>ALTER TABLE TB_QESTNAR_GROUP ALTER COLUMN UPDT_DT TYPE TIMESTAMP;</v>
      </c>
      <c r="AH317" s="125" t="str">
        <f t="shared" si="128"/>
        <v>ALTER TABLE TB_QESTNAR_GROUP ADD COLUMN UPDT_DT TIMESTAMP;</v>
      </c>
      <c r="AI317" s="125" t="str">
        <f t="shared" si="129"/>
        <v>ALTER TABLE TB_QESTNAR_GROUP DROP COLUMN UPDT_DT;</v>
      </c>
    </row>
    <row r="318" spans="2:35" ht="20.100000000000001" customHeight="1">
      <c r="B318" s="135">
        <v>313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13</v>
      </c>
      <c r="H318" s="97" t="s">
        <v>96</v>
      </c>
      <c r="I318" s="97" t="s">
        <v>82</v>
      </c>
      <c r="J318" s="73" t="s">
        <v>72</v>
      </c>
      <c r="K318" s="61"/>
      <c r="L318" s="61"/>
      <c r="M318" s="61"/>
      <c r="N318" s="61"/>
      <c r="O318" s="61"/>
      <c r="P318" s="61"/>
      <c r="Q318" s="51" t="s">
        <v>804</v>
      </c>
      <c r="R318" s="119" t="s">
        <v>522</v>
      </c>
      <c r="S318" s="82" t="s">
        <v>803</v>
      </c>
      <c r="T318" s="107" t="s">
        <v>213</v>
      </c>
      <c r="U318" s="123"/>
      <c r="V318" s="123"/>
      <c r="W318" s="104"/>
      <c r="X318" s="85"/>
      <c r="Y318" s="123"/>
      <c r="Z318" s="130" t="str">
        <f t="shared" si="123"/>
        <v>/* 테이블 : 설문조사그룹 */ CREATE TABLE TB_QESTNAR_GROUP (</v>
      </c>
      <c r="AA318" s="125" t="str">
        <f t="shared" si="118"/>
        <v>DEL_YN BPCHAR(1) NOT NULL,</v>
      </c>
      <c r="AB318" s="125" t="str">
        <f t="shared" si="116"/>
        <v/>
      </c>
      <c r="AC318" s="125" t="str">
        <f t="shared" si="117"/>
        <v/>
      </c>
      <c r="AD318" s="125" t="str">
        <f t="shared" si="126"/>
        <v/>
      </c>
      <c r="AE318" s="125" t="str">
        <f t="shared" si="124"/>
        <v>ALTER TABLE TB_QESTNAR_GROUP ALTER COLUMN DEL_YN SET DEFAULT 'N'::bpchar;</v>
      </c>
      <c r="AF318" s="125" t="str">
        <f t="shared" si="125"/>
        <v>COMMENT ON COLUMN TB_QESTNAR_GROUP.DEL_YN IS '삭제 여부' ;</v>
      </c>
      <c r="AG318" s="125" t="str">
        <f t="shared" si="127"/>
        <v>ALTER TABLE TB_QESTNAR_GROUP ALTER COLUMN DEL_YN TYPE BPCHAR(1);</v>
      </c>
      <c r="AH318" s="125" t="str">
        <f t="shared" si="128"/>
        <v>ALTER TABLE TB_QESTNAR_GROUP ADD COLUMN DEL_YN BPCHAR(1) NOT NULL DEFAULT ''N'::bpchar';</v>
      </c>
      <c r="AI318" s="125" t="str">
        <f t="shared" si="129"/>
        <v>ALTER TABLE TB_QESTNAR_GROUP DROP COLUMN DEL_YN;</v>
      </c>
    </row>
    <row r="319" spans="2:35" ht="20.100000000000001" customHeight="1">
      <c r="B319" s="55">
        <v>314</v>
      </c>
      <c r="C319" s="26" t="s">
        <v>7</v>
      </c>
      <c r="D319" s="26" t="s">
        <v>634</v>
      </c>
      <c r="E319" s="11" t="s">
        <v>659</v>
      </c>
      <c r="F319" s="10" t="s">
        <v>657</v>
      </c>
      <c r="G319" s="87">
        <v>1</v>
      </c>
      <c r="H319" s="97" t="s">
        <v>660</v>
      </c>
      <c r="I319" s="97" t="s">
        <v>658</v>
      </c>
      <c r="J319" s="73" t="s">
        <v>673</v>
      </c>
      <c r="K319" s="69">
        <v>1</v>
      </c>
      <c r="L319" s="69"/>
      <c r="M319" s="69"/>
      <c r="N319" s="69"/>
      <c r="O319" s="69"/>
      <c r="P319" s="69"/>
      <c r="Q319" s="62" t="s">
        <v>646</v>
      </c>
      <c r="R319" s="119"/>
      <c r="S319" s="82"/>
      <c r="T319" s="97" t="s">
        <v>703</v>
      </c>
      <c r="U319" s="125" t="str">
        <f>"SEQ_"&amp;E319&amp;"_SN"</f>
        <v>SEQ_TB_QESTNAR_QESTN_SN</v>
      </c>
      <c r="V319" s="123"/>
      <c r="W319" s="104"/>
      <c r="X319" s="85"/>
      <c r="Y319" s="123"/>
      <c r="Z319" s="130" t="str">
        <f t="shared" si="123"/>
        <v>/* 테이블 : 설문조사질문 */ CREATE TABLE TB_QESTNAR_QESTN (</v>
      </c>
      <c r="AA319" s="125" t="str">
        <f t="shared" si="118"/>
        <v>QESTNAR_QESTN_SN INTEGER PRIMARY KEY,</v>
      </c>
      <c r="AB319" s="125" t="str">
        <f t="shared" si="116"/>
        <v/>
      </c>
      <c r="AC319" s="125" t="str">
        <f t="shared" si="117"/>
        <v>CREATE SEQUENCE SEQ_TB_QESTNAR_QESTN_SN START 100000;</v>
      </c>
      <c r="AD319" s="125" t="str">
        <f t="shared" si="126"/>
        <v>ALTER TABLE TB_QESTNAR_QESTN ALTER COLUMN QESTNAR_QESTN_SN SET DEFAULT NEXTVAL('SEQ_TB_QESTNAR_QESTN_SN');</v>
      </c>
      <c r="AE319" s="125" t="str">
        <f t="shared" si="124"/>
        <v/>
      </c>
      <c r="AF319" s="125" t="str">
        <f t="shared" si="125"/>
        <v>COMMENT ON COLUMN TB_QESTNAR_QESTN.QESTNAR_QESTN_SN IS '설문조사 질문 일련번호' ;</v>
      </c>
      <c r="AG319" s="125" t="str">
        <f t="shared" si="127"/>
        <v>ALTER TABLE TB_QESTNAR_QESTN ALTER COLUMN QESTNAR_QESTN_SN TYPE INTEGER;</v>
      </c>
      <c r="AH319" s="125" t="str">
        <f t="shared" si="128"/>
        <v>ALTER TABLE TB_QESTNAR_QESTN ADD COLUMN QESTNAR_QESTN_SN INTEGER NOT NULL;</v>
      </c>
      <c r="AI319" s="125" t="str">
        <f t="shared" si="129"/>
        <v>ALTER TABLE TB_QESTNAR_QESTN DROP COLUMN QESTNAR_QESTN_SN;</v>
      </c>
    </row>
    <row r="320" spans="2:35" ht="20.100000000000001" customHeight="1">
      <c r="B320" s="55">
        <v>315</v>
      </c>
      <c r="C320" s="26" t="s">
        <v>7</v>
      </c>
      <c r="D320" s="26" t="s">
        <v>634</v>
      </c>
      <c r="E320" s="11" t="s">
        <v>659</v>
      </c>
      <c r="F320" s="10" t="s">
        <v>657</v>
      </c>
      <c r="G320" s="87">
        <v>2</v>
      </c>
      <c r="H320" s="97" t="s">
        <v>638</v>
      </c>
      <c r="I320" s="97" t="s">
        <v>636</v>
      </c>
      <c r="J320" s="73" t="s">
        <v>673</v>
      </c>
      <c r="K320" s="69"/>
      <c r="L320" s="69">
        <v>1</v>
      </c>
      <c r="M320" s="11" t="s">
        <v>637</v>
      </c>
      <c r="N320" s="97" t="s">
        <v>638</v>
      </c>
      <c r="O320" s="96" t="s">
        <v>539</v>
      </c>
      <c r="P320" s="96" t="s">
        <v>540</v>
      </c>
      <c r="Q320" s="62" t="s">
        <v>646</v>
      </c>
      <c r="R320" s="119"/>
      <c r="S320" s="82"/>
      <c r="T320" s="97" t="s">
        <v>653</v>
      </c>
      <c r="U320" s="123"/>
      <c r="V320" s="123"/>
      <c r="W320" s="104"/>
      <c r="X320" s="85"/>
      <c r="Y320" s="123"/>
      <c r="Z320" s="130" t="str">
        <f t="shared" si="123"/>
        <v>/* 테이블 : 설문조사질문 */ CREATE TABLE TB_QESTNAR_QESTN (</v>
      </c>
      <c r="AA320" s="125" t="str">
        <f t="shared" si="118"/>
        <v>QESTNAR_GROUP_SN INTEGER NOT NULL,</v>
      </c>
      <c r="AB320" s="125" t="str">
        <f t="shared" si="116"/>
        <v>ALTER TABLE TB_QESTNAR_QESTN ADD CONSTRAINT TB_QESTNAR_QESTN_FKEY1 FOREIGN KEY(QESTNAR_GROUP_SN) REFERENCES TB_QESTNAR_GROUP(QESTNAR_GROUP_SN) ON UPDATE CASCADE ON DELETE SET NULL;</v>
      </c>
      <c r="AC320" s="125" t="str">
        <f t="shared" si="117"/>
        <v/>
      </c>
      <c r="AD320" s="125" t="str">
        <f t="shared" si="126"/>
        <v/>
      </c>
      <c r="AE320" s="125" t="str">
        <f t="shared" si="124"/>
        <v/>
      </c>
      <c r="AF320" s="125" t="str">
        <f t="shared" si="125"/>
        <v>COMMENT ON COLUMN TB_QESTNAR_QESTN.QESTNAR_GROUP_SN IS '설문조사 그룹 일련번호' ;</v>
      </c>
      <c r="AG320" s="125" t="str">
        <f t="shared" si="127"/>
        <v>ALTER TABLE TB_QESTNAR_QESTN ALTER COLUMN QESTNAR_GROUP_SN TYPE INTEGER;</v>
      </c>
      <c r="AH320" s="125" t="str">
        <f t="shared" si="128"/>
        <v>ALTER TABLE TB_QESTNAR_QESTN ADD COLUMN QESTNAR_GROUP_SN INTEGER NOT NULL;</v>
      </c>
      <c r="AI320" s="125" t="str">
        <f t="shared" si="129"/>
        <v>ALTER TABLE TB_QESTNAR_QESTN DROP COLUMN QESTNAR_GROUP_SN;</v>
      </c>
    </row>
    <row r="321" spans="2:35" ht="20.100000000000001" customHeight="1">
      <c r="B321" s="55">
        <v>316</v>
      </c>
      <c r="C321" s="26" t="s">
        <v>7</v>
      </c>
      <c r="D321" s="26" t="s">
        <v>634</v>
      </c>
      <c r="E321" s="11" t="s">
        <v>659</v>
      </c>
      <c r="F321" s="10" t="s">
        <v>657</v>
      </c>
      <c r="G321" s="87">
        <v>3</v>
      </c>
      <c r="H321" s="101" t="s">
        <v>661</v>
      </c>
      <c r="I321" s="101" t="s">
        <v>665</v>
      </c>
      <c r="J321" s="73" t="s">
        <v>72</v>
      </c>
      <c r="K321" s="45"/>
      <c r="L321" s="45"/>
      <c r="M321" s="45"/>
      <c r="N321" s="45"/>
      <c r="O321" s="45"/>
      <c r="P321" s="45"/>
      <c r="Q321" s="104" t="s">
        <v>229</v>
      </c>
      <c r="R321" s="47"/>
      <c r="S321" s="45"/>
      <c r="T321" s="101" t="s">
        <v>669</v>
      </c>
      <c r="U321" s="125"/>
      <c r="V321" s="125"/>
      <c r="W321" s="101"/>
      <c r="X321" s="45"/>
      <c r="Y321" s="78"/>
      <c r="Z321" s="130" t="str">
        <f t="shared" si="123"/>
        <v>/* 테이블 : 설문조사질문 */ CREATE TABLE TB_QESTNAR_QESTN (</v>
      </c>
      <c r="AA321" s="125" t="str">
        <f t="shared" si="118"/>
        <v>QESTNAR_QESTN_SEQ INTEGER NOT NULL,</v>
      </c>
      <c r="AB321" s="125" t="str">
        <f t="shared" si="116"/>
        <v/>
      </c>
      <c r="AC321" s="125" t="str">
        <f t="shared" si="117"/>
        <v/>
      </c>
      <c r="AD321" s="125" t="str">
        <f t="shared" si="126"/>
        <v/>
      </c>
      <c r="AE321" s="125" t="str">
        <f t="shared" si="124"/>
        <v/>
      </c>
      <c r="AF321" s="125" t="str">
        <f t="shared" si="125"/>
        <v>COMMENT ON COLUMN TB_QESTNAR_QESTN.QESTNAR_QESTN_SEQ IS '설문조사 질문 순번' ;</v>
      </c>
      <c r="AG321" s="125" t="str">
        <f t="shared" si="127"/>
        <v>ALTER TABLE TB_QESTNAR_QESTN ALTER COLUMN QESTNAR_QESTN_SEQ TYPE INTEGER;</v>
      </c>
      <c r="AH321" s="125" t="str">
        <f t="shared" si="128"/>
        <v>ALTER TABLE TB_QESTNAR_QESTN ADD COLUMN QESTNAR_QESTN_SEQ INTEGER NOT NULL;</v>
      </c>
      <c r="AI321" s="125" t="str">
        <f t="shared" si="129"/>
        <v>ALTER TABLE TB_QESTNAR_QESTN DROP COLUMN QESTNAR_QESTN_SEQ;</v>
      </c>
    </row>
    <row r="322" spans="2:35" ht="20.100000000000001" customHeight="1">
      <c r="B322" s="135">
        <v>317</v>
      </c>
      <c r="C322" s="26" t="s">
        <v>7</v>
      </c>
      <c r="D322" s="26" t="s">
        <v>634</v>
      </c>
      <c r="E322" s="11" t="s">
        <v>659</v>
      </c>
      <c r="F322" s="10" t="s">
        <v>657</v>
      </c>
      <c r="G322" s="87">
        <v>4</v>
      </c>
      <c r="H322" s="101" t="s">
        <v>662</v>
      </c>
      <c r="I322" s="101" t="s">
        <v>666</v>
      </c>
      <c r="J322" s="73" t="s">
        <v>72</v>
      </c>
      <c r="K322" s="45"/>
      <c r="L322" s="45"/>
      <c r="M322" s="45"/>
      <c r="N322" s="45"/>
      <c r="O322" s="45"/>
      <c r="P322" s="45"/>
      <c r="Q322" s="101" t="s">
        <v>106</v>
      </c>
      <c r="R322" s="119" t="s">
        <v>526</v>
      </c>
      <c r="S322" s="45"/>
      <c r="T322" s="101" t="s">
        <v>670</v>
      </c>
      <c r="U322" s="78"/>
      <c r="V322" s="78"/>
      <c r="W322" s="101" t="s">
        <v>208</v>
      </c>
      <c r="X322" s="45"/>
      <c r="Y322" s="78" t="s">
        <v>190</v>
      </c>
      <c r="Z322" s="130" t="str">
        <f t="shared" si="123"/>
        <v>/* 테이블 : 설문조사질문 */ CREATE TABLE TB_QESTNAR_QESTN (</v>
      </c>
      <c r="AA322" s="125" t="str">
        <f t="shared" si="118"/>
        <v>QESTNAR_QESTN_ITEM_TY_CD VARCHAR(50) NOT NULL,</v>
      </c>
      <c r="AB322" s="125" t="str">
        <f t="shared" si="116"/>
        <v/>
      </c>
      <c r="AC322" s="125" t="str">
        <f t="shared" si="117"/>
        <v/>
      </c>
      <c r="AD322" s="125" t="str">
        <f t="shared" si="126"/>
        <v/>
      </c>
      <c r="AE322" s="125" t="str">
        <f t="shared" si="124"/>
        <v/>
      </c>
      <c r="AF322" s="125" t="str">
        <f t="shared" si="125"/>
        <v>COMMENT ON COLUMN TB_QESTNAR_QESTN.QESTNAR_QESTN_ITEM_TY_CD IS '설문조사 질문 항목 유형 코드' ;</v>
      </c>
      <c r="AG322" s="125" t="str">
        <f t="shared" si="127"/>
        <v>ALTER TABLE TB_QESTNAR_QESTN ALTER COLUMN QESTNAR_QESTN_ITEM_TY_CD TYPE VARCHAR(50);</v>
      </c>
      <c r="AH322" s="125" t="str">
        <f t="shared" si="128"/>
        <v>ALTER TABLE TB_QESTNAR_QESTN ADD COLUMN QESTNAR_QESTN_ITEM_TY_CD VARCHAR(50) NOT NULL;</v>
      </c>
      <c r="AI322" s="125" t="str">
        <f t="shared" si="129"/>
        <v>ALTER TABLE TB_QESTNAR_QESTN DROP COLUMN QESTNAR_QESTN_ITEM_TY_CD;</v>
      </c>
    </row>
    <row r="323" spans="2:35" ht="20.100000000000001" customHeight="1">
      <c r="B323" s="55">
        <v>318</v>
      </c>
      <c r="C323" s="26" t="s">
        <v>7</v>
      </c>
      <c r="D323" s="26" t="s">
        <v>634</v>
      </c>
      <c r="E323" s="11" t="s">
        <v>659</v>
      </c>
      <c r="F323" s="10" t="s">
        <v>657</v>
      </c>
      <c r="G323" s="87">
        <v>5</v>
      </c>
      <c r="H323" s="101" t="s">
        <v>663</v>
      </c>
      <c r="I323" s="101" t="s">
        <v>667</v>
      </c>
      <c r="J323" s="45"/>
      <c r="K323" s="45"/>
      <c r="L323" s="45"/>
      <c r="M323" s="45"/>
      <c r="N323" s="45"/>
      <c r="O323" s="45"/>
      <c r="P323" s="45"/>
      <c r="Q323" s="101" t="s">
        <v>106</v>
      </c>
      <c r="R323" s="119" t="s">
        <v>530</v>
      </c>
      <c r="S323" s="45"/>
      <c r="T323" s="101" t="s">
        <v>671</v>
      </c>
      <c r="U323" s="78"/>
      <c r="V323" s="78"/>
      <c r="W323" s="101"/>
      <c r="X323" s="45"/>
      <c r="Y323" s="78"/>
      <c r="Z323" s="130" t="str">
        <f t="shared" si="123"/>
        <v>/* 테이블 : 설문조사질문 */ CREATE TABLE TB_QESTNAR_QESTN (</v>
      </c>
      <c r="AA323" s="125" t="str">
        <f t="shared" si="118"/>
        <v>QESTNAR_QESTN_ITEM_CN VARCHAR(2000),</v>
      </c>
      <c r="AB323" s="125" t="str">
        <f t="shared" si="116"/>
        <v/>
      </c>
      <c r="AC323" s="125" t="str">
        <f t="shared" si="117"/>
        <v/>
      </c>
      <c r="AD323" s="125" t="str">
        <f t="shared" si="126"/>
        <v/>
      </c>
      <c r="AE323" s="125" t="str">
        <f t="shared" si="124"/>
        <v/>
      </c>
      <c r="AF323" s="125" t="str">
        <f t="shared" si="125"/>
        <v>COMMENT ON COLUMN TB_QESTNAR_QESTN.QESTNAR_QESTN_ITEM_CN IS '설문조사 질문 항목' ;</v>
      </c>
      <c r="AG323" s="125" t="str">
        <f t="shared" si="127"/>
        <v>ALTER TABLE TB_QESTNAR_QESTN ALTER COLUMN QESTNAR_QESTN_ITEM_CN TYPE VARCHAR(2000);</v>
      </c>
      <c r="AH323" s="125" t="str">
        <f t="shared" si="128"/>
        <v>ALTER TABLE TB_QESTNAR_QESTN ADD COLUMN QESTNAR_QESTN_ITEM_CN VARCHAR(2000);</v>
      </c>
      <c r="AI323" s="125" t="str">
        <f t="shared" si="129"/>
        <v>ALTER TABLE TB_QESTNAR_QESTN DROP COLUMN QESTNAR_QESTN_ITEM_CN;</v>
      </c>
    </row>
    <row r="324" spans="2:35" ht="20.100000000000001" customHeight="1">
      <c r="B324" s="55">
        <v>319</v>
      </c>
      <c r="C324" s="26" t="s">
        <v>7</v>
      </c>
      <c r="D324" s="26" t="s">
        <v>634</v>
      </c>
      <c r="E324" s="11" t="s">
        <v>659</v>
      </c>
      <c r="F324" s="10" t="s">
        <v>657</v>
      </c>
      <c r="G324" s="87">
        <v>6</v>
      </c>
      <c r="H324" s="101" t="s">
        <v>664</v>
      </c>
      <c r="I324" s="101" t="s">
        <v>668</v>
      </c>
      <c r="J324" s="45" t="s">
        <v>131</v>
      </c>
      <c r="K324" s="45"/>
      <c r="L324" s="45"/>
      <c r="M324" s="45"/>
      <c r="N324" s="45"/>
      <c r="O324" s="45"/>
      <c r="P324" s="45"/>
      <c r="Q324" s="51" t="s">
        <v>804</v>
      </c>
      <c r="R324" s="119" t="s">
        <v>522</v>
      </c>
      <c r="S324" s="81"/>
      <c r="T324" s="107" t="s">
        <v>672</v>
      </c>
      <c r="U324" s="123"/>
      <c r="V324" s="123"/>
      <c r="W324" s="101" t="s">
        <v>312</v>
      </c>
      <c r="X324" s="45"/>
      <c r="Y324" s="78"/>
      <c r="Z324" s="130" t="str">
        <f t="shared" si="123"/>
        <v>/* 테이블 : 설문조사질문 */ CREATE TABLE TB_QESTNAR_QESTN (</v>
      </c>
      <c r="AA324" s="125" t="str">
        <f t="shared" si="118"/>
        <v>QESTNAR_QESTN_ESSNTL_YN BPCHAR(1) NOT NULL,</v>
      </c>
      <c r="AB324" s="125" t="str">
        <f t="shared" si="116"/>
        <v/>
      </c>
      <c r="AC324" s="125" t="str">
        <f t="shared" si="117"/>
        <v/>
      </c>
      <c r="AD324" s="125" t="str">
        <f t="shared" si="126"/>
        <v/>
      </c>
      <c r="AE324" s="125" t="str">
        <f t="shared" si="124"/>
        <v/>
      </c>
      <c r="AF324" s="125" t="str">
        <f t="shared" si="125"/>
        <v>COMMENT ON COLUMN TB_QESTNAR_QESTN.QESTNAR_QESTN_ESSNTL_YN IS '설문조사 질문 필수 여부' ;</v>
      </c>
      <c r="AG324" s="125" t="str">
        <f t="shared" si="127"/>
        <v>ALTER TABLE TB_QESTNAR_QESTN ALTER COLUMN QESTNAR_QESTN_ESSNTL_YN TYPE BPCHAR(1);</v>
      </c>
      <c r="AH324" s="125" t="str">
        <f t="shared" si="128"/>
        <v>ALTER TABLE TB_QESTNAR_QESTN ADD COLUMN QESTNAR_QESTN_ESSNTL_YN BPCHAR(1) NOT NULL;</v>
      </c>
      <c r="AI324" s="125" t="str">
        <f t="shared" si="129"/>
        <v>ALTER TABLE TB_QESTNAR_QESTN DROP COLUMN QESTNAR_QESTN_ESSNTL_YN;</v>
      </c>
    </row>
    <row r="325" spans="2:35" ht="20.100000000000001" customHeight="1">
      <c r="B325" s="55">
        <v>320</v>
      </c>
      <c r="C325" s="26" t="s">
        <v>7</v>
      </c>
      <c r="D325" s="26" t="s">
        <v>634</v>
      </c>
      <c r="E325" s="11" t="s">
        <v>659</v>
      </c>
      <c r="F325" s="10" t="s">
        <v>657</v>
      </c>
      <c r="G325" s="87">
        <v>7</v>
      </c>
      <c r="H325" s="97" t="s">
        <v>107</v>
      </c>
      <c r="I325" s="51" t="s">
        <v>76</v>
      </c>
      <c r="J325" s="73" t="s">
        <v>72</v>
      </c>
      <c r="K325" s="67"/>
      <c r="L325" s="67"/>
      <c r="M325" s="77"/>
      <c r="N325" s="77"/>
      <c r="O325" s="77"/>
      <c r="P325" s="77"/>
      <c r="Q325" s="100" t="s">
        <v>521</v>
      </c>
      <c r="R325" s="119" t="s">
        <v>526</v>
      </c>
      <c r="S325" s="80"/>
      <c r="T325" s="107" t="s">
        <v>219</v>
      </c>
      <c r="U325" s="123"/>
      <c r="V325" s="123"/>
      <c r="W325" s="116" t="s">
        <v>496</v>
      </c>
      <c r="X325" s="85"/>
      <c r="Y325" s="123"/>
      <c r="Z325" s="130" t="str">
        <f t="shared" si="123"/>
        <v>/* 테이블 : 설문조사질문 */ CREATE TABLE TB_QESTNAR_QESTN (</v>
      </c>
      <c r="AA325" s="125" t="str">
        <f t="shared" si="118"/>
        <v>REGISTER_ID VARCHAR(50) NOT NULL,</v>
      </c>
      <c r="AB325" s="125" t="str">
        <f t="shared" si="116"/>
        <v/>
      </c>
      <c r="AC325" s="125" t="str">
        <f t="shared" si="117"/>
        <v/>
      </c>
      <c r="AD325" s="125" t="str">
        <f t="shared" si="126"/>
        <v/>
      </c>
      <c r="AE325" s="125" t="str">
        <f t="shared" si="124"/>
        <v/>
      </c>
      <c r="AF325" s="125" t="str">
        <f t="shared" si="125"/>
        <v>COMMENT ON COLUMN TB_QESTNAR_QESTN.REGISTER_ID IS '등록자 ID' ;</v>
      </c>
      <c r="AG325" s="125" t="str">
        <f t="shared" si="127"/>
        <v>ALTER TABLE TB_QESTNAR_QESTN ALTER COLUMN REGISTER_ID TYPE VARCHAR(50);</v>
      </c>
      <c r="AH325" s="125" t="str">
        <f t="shared" si="128"/>
        <v>ALTER TABLE TB_QESTNAR_QESTN ADD COLUMN REGISTER_ID VARCHAR(50) NOT NULL;</v>
      </c>
      <c r="AI325" s="125" t="str">
        <f t="shared" si="129"/>
        <v>ALTER TABLE TB_QESTNAR_QESTN DROP COLUMN REGISTER_ID;</v>
      </c>
    </row>
    <row r="326" spans="2:35" ht="20.100000000000001" customHeight="1">
      <c r="B326" s="135">
        <v>321</v>
      </c>
      <c r="C326" s="26" t="s">
        <v>7</v>
      </c>
      <c r="D326" s="26" t="s">
        <v>634</v>
      </c>
      <c r="E326" s="11" t="s">
        <v>659</v>
      </c>
      <c r="F326" s="10" t="s">
        <v>657</v>
      </c>
      <c r="G326" s="87">
        <v>8</v>
      </c>
      <c r="H326" s="97" t="s">
        <v>91</v>
      </c>
      <c r="I326" s="51" t="s">
        <v>77</v>
      </c>
      <c r="J326" s="73" t="s">
        <v>72</v>
      </c>
      <c r="K326" s="52"/>
      <c r="L326" s="52"/>
      <c r="M326" s="52"/>
      <c r="N326" s="52"/>
      <c r="O326" s="52"/>
      <c r="P326" s="52"/>
      <c r="Q326" s="56" t="s">
        <v>106</v>
      </c>
      <c r="R326" s="119" t="s">
        <v>527</v>
      </c>
      <c r="S326" s="80"/>
      <c r="T326" s="107" t="s">
        <v>218</v>
      </c>
      <c r="U326" s="123"/>
      <c r="V326" s="123"/>
      <c r="W326" s="104"/>
      <c r="X326" s="85"/>
      <c r="Y326" s="123"/>
      <c r="Z326" s="130" t="str">
        <f t="shared" si="123"/>
        <v>/* 테이블 : 설문조사질문 */ CREATE TABLE TB_QESTNAR_QESTN (</v>
      </c>
      <c r="AA326" s="125" t="str">
        <f t="shared" si="118"/>
        <v>REGISTER_IP VARCHAR(100) NOT NULL,</v>
      </c>
      <c r="AB326" s="125" t="str">
        <f t="shared" si="116"/>
        <v/>
      </c>
      <c r="AC326" s="125" t="str">
        <f t="shared" si="117"/>
        <v/>
      </c>
      <c r="AD326" s="125" t="str">
        <f t="shared" si="126"/>
        <v/>
      </c>
      <c r="AE326" s="125" t="str">
        <f t="shared" si="124"/>
        <v/>
      </c>
      <c r="AF326" s="125" t="str">
        <f t="shared" si="125"/>
        <v>COMMENT ON COLUMN TB_QESTNAR_QESTN.REGISTER_IP IS '등록자 IP' ;</v>
      </c>
      <c r="AG326" s="125" t="str">
        <f t="shared" si="127"/>
        <v>ALTER TABLE TB_QESTNAR_QESTN ALTER COLUMN REGISTER_IP TYPE VARCHAR(100);</v>
      </c>
      <c r="AH326" s="125" t="str">
        <f t="shared" si="128"/>
        <v>ALTER TABLE TB_QESTNAR_QESTN ADD COLUMN REGISTER_IP VARCHAR(100) NOT NULL;</v>
      </c>
      <c r="AI326" s="125" t="str">
        <f t="shared" si="129"/>
        <v>ALTER TABLE TB_QESTNAR_QESTN DROP COLUMN REGISTER_IP;</v>
      </c>
    </row>
    <row r="327" spans="2:35" ht="20.100000000000001" customHeight="1">
      <c r="B327" s="55">
        <v>322</v>
      </c>
      <c r="C327" s="26" t="s">
        <v>7</v>
      </c>
      <c r="D327" s="26" t="s">
        <v>634</v>
      </c>
      <c r="E327" s="11" t="s">
        <v>659</v>
      </c>
      <c r="F327" s="10" t="s">
        <v>657</v>
      </c>
      <c r="G327" s="87">
        <v>9</v>
      </c>
      <c r="H327" s="97" t="s">
        <v>92</v>
      </c>
      <c r="I327" s="96" t="s">
        <v>78</v>
      </c>
      <c r="J327" s="73" t="s">
        <v>72</v>
      </c>
      <c r="K327" s="52"/>
      <c r="L327" s="52"/>
      <c r="M327" s="52"/>
      <c r="N327" s="52"/>
      <c r="O327" s="52"/>
      <c r="P327" s="52"/>
      <c r="Q327" s="51" t="s">
        <v>706</v>
      </c>
      <c r="R327" s="119"/>
      <c r="S327" s="80"/>
      <c r="T327" s="107" t="s">
        <v>217</v>
      </c>
      <c r="U327" s="123"/>
      <c r="V327" s="123"/>
      <c r="W327" s="104"/>
      <c r="X327" s="85"/>
      <c r="Y327" s="123"/>
      <c r="Z327" s="130" t="str">
        <f t="shared" si="123"/>
        <v>/* 테이블 : 설문조사질문 */ CREATE TABLE TB_QESTNAR_QESTN (</v>
      </c>
      <c r="AA327" s="125" t="str">
        <f t="shared" si="118"/>
        <v>REG_DT TIMESTAMP NOT NULL,</v>
      </c>
      <c r="AB327" s="125" t="str">
        <f t="shared" si="116"/>
        <v/>
      </c>
      <c r="AC327" s="125" t="str">
        <f t="shared" si="117"/>
        <v/>
      </c>
      <c r="AD327" s="125" t="str">
        <f t="shared" si="126"/>
        <v/>
      </c>
      <c r="AE327" s="125" t="str">
        <f t="shared" si="124"/>
        <v/>
      </c>
      <c r="AF327" s="125" t="str">
        <f t="shared" si="125"/>
        <v>COMMENT ON COLUMN TB_QESTNAR_QESTN.REG_DT IS '등록 일시' ;</v>
      </c>
      <c r="AG327" s="125" t="str">
        <f t="shared" si="127"/>
        <v>ALTER TABLE TB_QESTNAR_QESTN ALTER COLUMN REG_DT TYPE TIMESTAMP;</v>
      </c>
      <c r="AH327" s="125" t="str">
        <f t="shared" si="128"/>
        <v>ALTER TABLE TB_QESTNAR_QESTN ADD COLUMN REG_DT TIMESTAMP NOT NULL;</v>
      </c>
      <c r="AI327" s="125" t="str">
        <f t="shared" si="129"/>
        <v>ALTER TABLE TB_QESTNAR_QESTN DROP COLUMN REG_DT;</v>
      </c>
    </row>
    <row r="328" spans="2:35" ht="20.100000000000001" customHeight="1">
      <c r="B328" s="55">
        <v>323</v>
      </c>
      <c r="C328" s="26" t="s">
        <v>7</v>
      </c>
      <c r="D328" s="26" t="s">
        <v>634</v>
      </c>
      <c r="E328" s="11" t="s">
        <v>659</v>
      </c>
      <c r="F328" s="10" t="s">
        <v>657</v>
      </c>
      <c r="G328" s="87">
        <v>10</v>
      </c>
      <c r="H328" s="97" t="s">
        <v>93</v>
      </c>
      <c r="I328" s="96" t="s">
        <v>80</v>
      </c>
      <c r="J328" s="52"/>
      <c r="K328" s="52"/>
      <c r="L328" s="52"/>
      <c r="M328" s="79"/>
      <c r="N328" s="79"/>
      <c r="O328" s="79"/>
      <c r="P328" s="79"/>
      <c r="Q328" s="100" t="s">
        <v>521</v>
      </c>
      <c r="R328" s="119" t="s">
        <v>526</v>
      </c>
      <c r="S328" s="80"/>
      <c r="T328" s="107" t="s">
        <v>216</v>
      </c>
      <c r="U328" s="123"/>
      <c r="V328" s="123"/>
      <c r="W328" s="116" t="s">
        <v>496</v>
      </c>
      <c r="X328" s="85"/>
      <c r="Y328" s="123"/>
      <c r="Z328" s="130" t="str">
        <f t="shared" si="123"/>
        <v>/* 테이블 : 설문조사질문 */ CREATE TABLE TB_QESTNAR_QESTN (</v>
      </c>
      <c r="AA328" s="125" t="str">
        <f t="shared" si="118"/>
        <v>UPDUSR_ID VARCHAR(50),</v>
      </c>
      <c r="AB328" s="125" t="str">
        <f t="shared" si="116"/>
        <v/>
      </c>
      <c r="AC328" s="125" t="str">
        <f t="shared" si="117"/>
        <v/>
      </c>
      <c r="AD328" s="125" t="str">
        <f t="shared" si="126"/>
        <v/>
      </c>
      <c r="AE328" s="125" t="str">
        <f t="shared" si="124"/>
        <v/>
      </c>
      <c r="AF328" s="125" t="str">
        <f t="shared" si="125"/>
        <v>COMMENT ON COLUMN TB_QESTNAR_QESTN.UPDUSR_ID IS '수정자 ID' ;</v>
      </c>
      <c r="AG328" s="125" t="str">
        <f t="shared" si="127"/>
        <v>ALTER TABLE TB_QESTNAR_QESTN ALTER COLUMN UPDUSR_ID TYPE VARCHAR(50);</v>
      </c>
      <c r="AH328" s="125" t="str">
        <f t="shared" si="128"/>
        <v>ALTER TABLE TB_QESTNAR_QESTN ADD COLUMN UPDUSR_ID VARCHAR(50);</v>
      </c>
      <c r="AI328" s="125" t="str">
        <f t="shared" si="129"/>
        <v>ALTER TABLE TB_QESTNAR_QESTN DROP COLUMN UPDUSR_ID;</v>
      </c>
    </row>
    <row r="329" spans="2:35" ht="20.100000000000001" customHeight="1">
      <c r="B329" s="55">
        <v>324</v>
      </c>
      <c r="C329" s="26" t="s">
        <v>7</v>
      </c>
      <c r="D329" s="26" t="s">
        <v>634</v>
      </c>
      <c r="E329" s="11" t="s">
        <v>659</v>
      </c>
      <c r="F329" s="10" t="s">
        <v>657</v>
      </c>
      <c r="G329" s="87">
        <v>11</v>
      </c>
      <c r="H329" s="97" t="s">
        <v>94</v>
      </c>
      <c r="I329" s="96" t="s">
        <v>79</v>
      </c>
      <c r="J329" s="52"/>
      <c r="K329" s="52"/>
      <c r="L329" s="52"/>
      <c r="M329" s="52"/>
      <c r="N329" s="52"/>
      <c r="O329" s="52"/>
      <c r="P329" s="52"/>
      <c r="Q329" s="56" t="s">
        <v>106</v>
      </c>
      <c r="R329" s="119" t="s">
        <v>527</v>
      </c>
      <c r="S329" s="80"/>
      <c r="T329" s="107" t="s">
        <v>215</v>
      </c>
      <c r="U329" s="123"/>
      <c r="V329" s="123"/>
      <c r="W329" s="104"/>
      <c r="X329" s="85"/>
      <c r="Y329" s="123"/>
      <c r="Z329" s="130" t="str">
        <f t="shared" si="123"/>
        <v>/* 테이블 : 설문조사질문 */ CREATE TABLE TB_QESTNAR_QESTN (</v>
      </c>
      <c r="AA329" s="125" t="str">
        <f t="shared" si="118"/>
        <v>UPDUSR_IP VARCHAR(100),</v>
      </c>
      <c r="AB329" s="125" t="str">
        <f t="shared" si="116"/>
        <v/>
      </c>
      <c r="AC329" s="125" t="str">
        <f t="shared" si="117"/>
        <v/>
      </c>
      <c r="AD329" s="125" t="str">
        <f t="shared" si="126"/>
        <v/>
      </c>
      <c r="AE329" s="125" t="str">
        <f t="shared" si="124"/>
        <v/>
      </c>
      <c r="AF329" s="125" t="str">
        <f t="shared" si="125"/>
        <v>COMMENT ON COLUMN TB_QESTNAR_QESTN.UPDUSR_IP IS '수정자 IP' ;</v>
      </c>
      <c r="AG329" s="125" t="str">
        <f t="shared" si="127"/>
        <v>ALTER TABLE TB_QESTNAR_QESTN ALTER COLUMN UPDUSR_IP TYPE VARCHAR(100);</v>
      </c>
      <c r="AH329" s="125" t="str">
        <f t="shared" si="128"/>
        <v>ALTER TABLE TB_QESTNAR_QESTN ADD COLUMN UPDUSR_IP VARCHAR(100);</v>
      </c>
      <c r="AI329" s="125" t="str">
        <f t="shared" si="129"/>
        <v>ALTER TABLE TB_QESTNAR_QESTN DROP COLUMN UPDUSR_IP;</v>
      </c>
    </row>
    <row r="330" spans="2:35" ht="20.100000000000001" customHeight="1">
      <c r="B330" s="135">
        <v>325</v>
      </c>
      <c r="C330" s="26" t="s">
        <v>7</v>
      </c>
      <c r="D330" s="26" t="s">
        <v>634</v>
      </c>
      <c r="E330" s="11" t="s">
        <v>659</v>
      </c>
      <c r="F330" s="10" t="s">
        <v>657</v>
      </c>
      <c r="G330" s="87">
        <v>12</v>
      </c>
      <c r="H330" s="98" t="s">
        <v>95</v>
      </c>
      <c r="I330" s="97" t="s">
        <v>81</v>
      </c>
      <c r="J330" s="61"/>
      <c r="K330" s="61"/>
      <c r="L330" s="61"/>
      <c r="M330" s="61"/>
      <c r="N330" s="61"/>
      <c r="O330" s="61"/>
      <c r="P330" s="61"/>
      <c r="Q330" s="51" t="s">
        <v>706</v>
      </c>
      <c r="R330" s="119"/>
      <c r="S330" s="77"/>
      <c r="T330" s="107" t="s">
        <v>214</v>
      </c>
      <c r="U330" s="123"/>
      <c r="V330" s="123"/>
      <c r="W330" s="104"/>
      <c r="X330" s="85"/>
      <c r="Y330" s="123"/>
      <c r="Z330" s="130" t="str">
        <f t="shared" si="123"/>
        <v>/* 테이블 : 설문조사질문 */ CREATE TABLE TB_QESTNAR_QESTN (</v>
      </c>
      <c r="AA330" s="125" t="str">
        <f t="shared" si="118"/>
        <v>UPDT_DT TIMESTAMP,</v>
      </c>
      <c r="AB330" s="125" t="str">
        <f t="shared" si="116"/>
        <v/>
      </c>
      <c r="AC330" s="125" t="str">
        <f t="shared" si="117"/>
        <v/>
      </c>
      <c r="AD330" s="125" t="str">
        <f t="shared" si="126"/>
        <v/>
      </c>
      <c r="AE330" s="125" t="str">
        <f t="shared" si="124"/>
        <v/>
      </c>
      <c r="AF330" s="125" t="str">
        <f t="shared" si="125"/>
        <v>COMMENT ON COLUMN TB_QESTNAR_QESTN.UPDT_DT IS '수정 일시' ;</v>
      </c>
      <c r="AG330" s="125" t="str">
        <f t="shared" si="127"/>
        <v>ALTER TABLE TB_QESTNAR_QESTN ALTER COLUMN UPDT_DT TYPE TIMESTAMP;</v>
      </c>
      <c r="AH330" s="125" t="str">
        <f t="shared" si="128"/>
        <v>ALTER TABLE TB_QESTNAR_QESTN ADD COLUMN UPDT_DT TIMESTAMP;</v>
      </c>
      <c r="AI330" s="125" t="str">
        <f t="shared" si="129"/>
        <v>ALTER TABLE TB_QESTNAR_QESTN DROP COLUMN UPDT_DT;</v>
      </c>
    </row>
    <row r="331" spans="2:35" ht="20.100000000000001" customHeight="1">
      <c r="B331" s="55">
        <v>326</v>
      </c>
      <c r="C331" s="26" t="s">
        <v>7</v>
      </c>
      <c r="D331" s="26" t="s">
        <v>634</v>
      </c>
      <c r="E331" s="11" t="s">
        <v>659</v>
      </c>
      <c r="F331" s="10" t="s">
        <v>657</v>
      </c>
      <c r="G331" s="87">
        <v>13</v>
      </c>
      <c r="H331" s="97" t="s">
        <v>96</v>
      </c>
      <c r="I331" s="97" t="s">
        <v>82</v>
      </c>
      <c r="J331" s="73" t="s">
        <v>72</v>
      </c>
      <c r="K331" s="61"/>
      <c r="L331" s="61"/>
      <c r="M331" s="61"/>
      <c r="N331" s="61"/>
      <c r="O331" s="61"/>
      <c r="P331" s="61"/>
      <c r="Q331" s="51" t="s">
        <v>804</v>
      </c>
      <c r="R331" s="119" t="s">
        <v>522</v>
      </c>
      <c r="S331" s="82" t="s">
        <v>803</v>
      </c>
      <c r="T331" s="107" t="s">
        <v>213</v>
      </c>
      <c r="U331" s="123"/>
      <c r="V331" s="123"/>
      <c r="W331" s="104"/>
      <c r="X331" s="85"/>
      <c r="Y331" s="123"/>
      <c r="Z331" s="130" t="str">
        <f t="shared" si="123"/>
        <v>/* 테이블 : 설문조사질문 */ CREATE TABLE TB_QESTNAR_QESTN (</v>
      </c>
      <c r="AA331" s="125" t="str">
        <f t="shared" si="118"/>
        <v>DEL_YN BPCHAR(1) NOT NULL,</v>
      </c>
      <c r="AB331" s="125" t="str">
        <f t="shared" si="116"/>
        <v/>
      </c>
      <c r="AC331" s="125" t="str">
        <f t="shared" si="117"/>
        <v/>
      </c>
      <c r="AD331" s="125" t="str">
        <f t="shared" si="126"/>
        <v/>
      </c>
      <c r="AE331" s="125" t="str">
        <f t="shared" si="124"/>
        <v>ALTER TABLE TB_QESTNAR_QESTN ALTER COLUMN DEL_YN SET DEFAULT 'N'::bpchar;</v>
      </c>
      <c r="AF331" s="125" t="str">
        <f t="shared" si="125"/>
        <v>COMMENT ON COLUMN TB_QESTNAR_QESTN.DEL_YN IS '삭제 여부' ;</v>
      </c>
      <c r="AG331" s="125" t="str">
        <f t="shared" si="127"/>
        <v>ALTER TABLE TB_QESTNAR_QESTN ALTER COLUMN DEL_YN TYPE BPCHAR(1);</v>
      </c>
      <c r="AH331" s="125" t="str">
        <f t="shared" si="128"/>
        <v>ALTER TABLE TB_QESTNAR_QESTN ADD COLUMN DEL_YN BPCHAR(1) NOT NULL DEFAULT ''N'::bpchar';</v>
      </c>
      <c r="AI331" s="125" t="str">
        <f t="shared" si="129"/>
        <v>ALTER TABLE TB_QESTNAR_QESTN DROP COLUMN DEL_YN;</v>
      </c>
    </row>
    <row r="332" spans="2:35" ht="20.100000000000001" customHeight="1">
      <c r="B332" s="55">
        <v>327</v>
      </c>
      <c r="C332" s="26" t="s">
        <v>7</v>
      </c>
      <c r="D332" s="26" t="s">
        <v>634</v>
      </c>
      <c r="E332" s="11" t="s">
        <v>676</v>
      </c>
      <c r="F332" s="10" t="s">
        <v>675</v>
      </c>
      <c r="G332" s="87">
        <v>1</v>
      </c>
      <c r="H332" s="97" t="s">
        <v>677</v>
      </c>
      <c r="I332" s="97" t="s">
        <v>681</v>
      </c>
      <c r="J332" s="45" t="s">
        <v>131</v>
      </c>
      <c r="K332" s="45">
        <v>1</v>
      </c>
      <c r="L332" s="61"/>
      <c r="M332" s="69"/>
      <c r="N332" s="69"/>
      <c r="O332" s="69"/>
      <c r="P332" s="69"/>
      <c r="Q332" s="101" t="s">
        <v>172</v>
      </c>
      <c r="R332" s="83"/>
      <c r="S332" s="81"/>
      <c r="T332" s="97" t="s">
        <v>685</v>
      </c>
      <c r="U332" s="125" t="str">
        <f>"SEQ_"&amp;E332&amp;"_SN"</f>
        <v>SEQ_TB_QESTNAR_QESTN_DETAIL_SN</v>
      </c>
      <c r="V332" s="125"/>
      <c r="W332" s="101" t="s">
        <v>519</v>
      </c>
      <c r="X332" s="45"/>
      <c r="Y332" s="78"/>
      <c r="Z332" s="130" t="str">
        <f t="shared" ref="Z332:Z395" si="130">"/* 테이블 : "&amp; $F332 &amp;" */ CREATE TABLE "&amp;$E332&amp;" ("</f>
        <v>/* 테이블 : 설문조사질문상세 */ CREATE TABLE TB_QESTNAR_QESTN_DETAIL (</v>
      </c>
      <c r="AA332" s="125" t="str">
        <f t="shared" si="118"/>
        <v>QESTNAR_QESTN_DETAIL_SN INTEGER PRIMARY KEY,</v>
      </c>
      <c r="AB332" s="125" t="str">
        <f t="shared" si="116"/>
        <v/>
      </c>
      <c r="AC332" s="125" t="str">
        <f t="shared" si="117"/>
        <v>CREATE SEQUENCE SEQ_TB_QESTNAR_QESTN_DETAIL_SN START 100000;</v>
      </c>
      <c r="AD332" s="125" t="str">
        <f t="shared" si="126"/>
        <v>ALTER TABLE TB_QESTNAR_QESTN_DETAIL ALTER COLUMN QESTNAR_QESTN_DETAIL_SN SET DEFAULT NEXTVAL('SEQ_TB_QESTNAR_QESTN_DETAIL_SN');</v>
      </c>
      <c r="AE332" s="125" t="str">
        <f t="shared" ref="AE332:AE395" si="131">IF(ISBLANK($S332),"","ALTER TABLE " &amp; $E332 &amp; " ALTER COLUMN " &amp; $H332 &amp; " SET DEFAULT " &amp; $S332 &amp; ";")</f>
        <v/>
      </c>
      <c r="AF332" s="125" t="str">
        <f t="shared" ref="AF332:AF395" si="132">"COMMENT ON COLUMN "&amp;$E332&amp;"."&amp;$H332&amp;" IS '"&amp;$T332&amp;"' ;"</f>
        <v>COMMENT ON COLUMN TB_QESTNAR_QESTN_DETAIL.QESTNAR_QESTN_DETAIL_SN IS '설문조사 질문 상세 일련번호' ;</v>
      </c>
      <c r="AG332" s="125" t="str">
        <f t="shared" si="127"/>
        <v>ALTER TABLE TB_QESTNAR_QESTN_DETAIL ALTER COLUMN QESTNAR_QESTN_DETAIL_SN TYPE INTEGER;</v>
      </c>
      <c r="AH332" s="125" t="str">
        <f t="shared" si="128"/>
        <v>ALTER TABLE TB_QESTNAR_QESTN_DETAIL ADD COLUMN QESTNAR_QESTN_DETAIL_SN INTEGER NOT NULL;</v>
      </c>
      <c r="AI332" s="125" t="str">
        <f t="shared" si="129"/>
        <v>ALTER TABLE TB_QESTNAR_QESTN_DETAIL DROP COLUMN QESTNAR_QESTN_DETAIL_SN;</v>
      </c>
    </row>
    <row r="333" spans="2:35" ht="20.100000000000001" customHeight="1">
      <c r="B333" s="55">
        <v>328</v>
      </c>
      <c r="C333" s="26" t="s">
        <v>7</v>
      </c>
      <c r="D333" s="26" t="s">
        <v>634</v>
      </c>
      <c r="E333" s="11" t="s">
        <v>674</v>
      </c>
      <c r="F333" s="10" t="s">
        <v>675</v>
      </c>
      <c r="G333" s="87">
        <v>2</v>
      </c>
      <c r="H333" s="101" t="s">
        <v>678</v>
      </c>
      <c r="I333" s="101" t="s">
        <v>682</v>
      </c>
      <c r="J333" s="45" t="s">
        <v>131</v>
      </c>
      <c r="K333" s="45"/>
      <c r="L333" s="45">
        <v>1</v>
      </c>
      <c r="M333" s="11" t="s">
        <v>659</v>
      </c>
      <c r="N333" s="101" t="s">
        <v>678</v>
      </c>
      <c r="O333" s="95" t="s">
        <v>539</v>
      </c>
      <c r="P333" s="95" t="s">
        <v>541</v>
      </c>
      <c r="Q333" s="101" t="s">
        <v>172</v>
      </c>
      <c r="R333" s="92"/>
      <c r="S333" s="45"/>
      <c r="T333" s="101" t="s">
        <v>686</v>
      </c>
      <c r="U333" s="78"/>
      <c r="V333" s="78"/>
      <c r="W333" s="101"/>
      <c r="X333" s="45"/>
      <c r="Y333" s="78"/>
      <c r="Z333" s="130" t="str">
        <f t="shared" si="130"/>
        <v>/* 테이블 : 설문조사질문상세 */ CREATE TABLE TB_QESTNAR_QESTN_DETAIL (</v>
      </c>
      <c r="AA333" s="125" t="str">
        <f t="shared" si="118"/>
        <v>QESTNAR_QESTN_SN INTEGER NOT NULL,</v>
      </c>
      <c r="AB333" s="125" t="str">
        <f t="shared" si="116"/>
        <v>ALTER TABLE TB_QESTNAR_QESTN_DETAIL ADD CONSTRAINT TB_QESTNAR_QESTN_DETAIL_FKEY1 FOREIGN KEY(QESTNAR_QESTN_SN) REFERENCES TB_QESTNAR_QESTN(QESTNAR_QESTN_SN) ON UPDATE CASCADE ON DELETE CASCADE;</v>
      </c>
      <c r="AC333" s="125" t="str">
        <f t="shared" si="117"/>
        <v/>
      </c>
      <c r="AD333" s="125" t="str">
        <f t="shared" si="126"/>
        <v/>
      </c>
      <c r="AE333" s="125" t="str">
        <f t="shared" si="131"/>
        <v/>
      </c>
      <c r="AF333" s="125" t="str">
        <f t="shared" si="132"/>
        <v>COMMENT ON COLUMN TB_QESTNAR_QESTN_DETAIL.QESTNAR_QESTN_SN IS '설문조사 질문 일련번호' ;</v>
      </c>
      <c r="AG333" s="125" t="str">
        <f t="shared" si="127"/>
        <v>ALTER TABLE TB_QESTNAR_QESTN_DETAIL ALTER COLUMN QESTNAR_QESTN_SN TYPE INTEGER;</v>
      </c>
      <c r="AH333" s="125" t="str">
        <f t="shared" si="128"/>
        <v>ALTER TABLE TB_QESTNAR_QESTN_DETAIL ADD COLUMN QESTNAR_QESTN_SN INTEGER NOT NULL;</v>
      </c>
      <c r="AI333" s="125" t="str">
        <f t="shared" si="129"/>
        <v>ALTER TABLE TB_QESTNAR_QESTN_DETAIL DROP COLUMN QESTNAR_QESTN_SN;</v>
      </c>
    </row>
    <row r="334" spans="2:35" ht="20.100000000000001" customHeight="1">
      <c r="B334" s="135">
        <v>329</v>
      </c>
      <c r="C334" s="26" t="s">
        <v>7</v>
      </c>
      <c r="D334" s="26" t="s">
        <v>634</v>
      </c>
      <c r="E334" s="11" t="s">
        <v>674</v>
      </c>
      <c r="F334" s="10" t="s">
        <v>675</v>
      </c>
      <c r="G334" s="87">
        <v>3</v>
      </c>
      <c r="H334" s="97" t="s">
        <v>679</v>
      </c>
      <c r="I334" s="97" t="s">
        <v>683</v>
      </c>
      <c r="J334" s="73"/>
      <c r="K334" s="61"/>
      <c r="L334" s="61"/>
      <c r="M334" s="69"/>
      <c r="N334" s="69"/>
      <c r="O334" s="69"/>
      <c r="P334" s="69"/>
      <c r="Q334" s="104" t="s">
        <v>229</v>
      </c>
      <c r="R334" s="47"/>
      <c r="S334" s="81"/>
      <c r="T334" s="97" t="s">
        <v>687</v>
      </c>
      <c r="U334" s="125"/>
      <c r="V334" s="125"/>
      <c r="W334" s="101"/>
      <c r="X334" s="45"/>
      <c r="Y334" s="78"/>
      <c r="Z334" s="130" t="str">
        <f t="shared" si="130"/>
        <v>/* 테이블 : 설문조사질문상세 */ CREATE TABLE TB_QESTNAR_QESTN_DETAIL (</v>
      </c>
      <c r="AA334" s="125" t="str">
        <f t="shared" si="118"/>
        <v>QESTNAR_QESTN_DETAIL_SEQ INTEGER,</v>
      </c>
      <c r="AB334" s="125" t="str">
        <f t="shared" si="116"/>
        <v/>
      </c>
      <c r="AC334" s="125" t="str">
        <f t="shared" si="117"/>
        <v/>
      </c>
      <c r="AD334" s="125" t="str">
        <f t="shared" si="126"/>
        <v/>
      </c>
      <c r="AE334" s="125" t="str">
        <f t="shared" si="131"/>
        <v/>
      </c>
      <c r="AF334" s="125" t="str">
        <f t="shared" si="132"/>
        <v>COMMENT ON COLUMN TB_QESTNAR_QESTN_DETAIL.QESTNAR_QESTN_DETAIL_SEQ IS '설문조사 질문 상세 순번' ;</v>
      </c>
      <c r="AG334" s="125" t="str">
        <f t="shared" si="127"/>
        <v>ALTER TABLE TB_QESTNAR_QESTN_DETAIL ALTER COLUMN QESTNAR_QESTN_DETAIL_SEQ TYPE INTEGER;</v>
      </c>
      <c r="AH334" s="125" t="str">
        <f t="shared" si="128"/>
        <v>ALTER TABLE TB_QESTNAR_QESTN_DETAIL ADD COLUMN QESTNAR_QESTN_DETAIL_SEQ INTEGER;</v>
      </c>
      <c r="AI334" s="125" t="str">
        <f t="shared" si="129"/>
        <v>ALTER TABLE TB_QESTNAR_QESTN_DETAIL DROP COLUMN QESTNAR_QESTN_DETAIL_SEQ;</v>
      </c>
    </row>
    <row r="335" spans="2:35" ht="20.100000000000001" customHeight="1">
      <c r="B335" s="55">
        <v>330</v>
      </c>
      <c r="C335" s="26" t="s">
        <v>7</v>
      </c>
      <c r="D335" s="26" t="s">
        <v>634</v>
      </c>
      <c r="E335" s="11" t="s">
        <v>674</v>
      </c>
      <c r="F335" s="10" t="s">
        <v>675</v>
      </c>
      <c r="G335" s="87">
        <v>4</v>
      </c>
      <c r="H335" s="97" t="s">
        <v>680</v>
      </c>
      <c r="I335" s="97" t="s">
        <v>684</v>
      </c>
      <c r="J335" s="73"/>
      <c r="K335" s="61"/>
      <c r="L335" s="61"/>
      <c r="M335" s="61"/>
      <c r="N335" s="61"/>
      <c r="O335" s="61"/>
      <c r="P335" s="61"/>
      <c r="Q335" s="62" t="s">
        <v>106</v>
      </c>
      <c r="R335" s="119" t="s">
        <v>530</v>
      </c>
      <c r="S335" s="81"/>
      <c r="T335" s="97" t="s">
        <v>688</v>
      </c>
      <c r="U335" s="78"/>
      <c r="V335" s="78"/>
      <c r="W335" s="101"/>
      <c r="X335" s="45"/>
      <c r="Y335" s="78"/>
      <c r="Z335" s="130" t="str">
        <f t="shared" si="130"/>
        <v>/* 테이블 : 설문조사질문상세 */ CREATE TABLE TB_QESTNAR_QESTN_DETAIL (</v>
      </c>
      <c r="AA335" s="125" t="str">
        <f t="shared" si="118"/>
        <v>QESTNAR_QESTN_DETAIL_CN VARCHAR(2000),</v>
      </c>
      <c r="AB335" s="125" t="str">
        <f t="shared" si="116"/>
        <v/>
      </c>
      <c r="AC335" s="125" t="str">
        <f t="shared" si="117"/>
        <v/>
      </c>
      <c r="AD335" s="125" t="str">
        <f t="shared" si="126"/>
        <v/>
      </c>
      <c r="AE335" s="125" t="str">
        <f t="shared" si="131"/>
        <v/>
      </c>
      <c r="AF335" s="125" t="str">
        <f t="shared" si="132"/>
        <v>COMMENT ON COLUMN TB_QESTNAR_QESTN_DETAIL.QESTNAR_QESTN_DETAIL_CN IS '설문조사 질문 상세 내용' ;</v>
      </c>
      <c r="AG335" s="125" t="str">
        <f t="shared" si="127"/>
        <v>ALTER TABLE TB_QESTNAR_QESTN_DETAIL ALTER COLUMN QESTNAR_QESTN_DETAIL_CN TYPE VARCHAR(2000);</v>
      </c>
      <c r="AH335" s="125" t="str">
        <f t="shared" si="128"/>
        <v>ALTER TABLE TB_QESTNAR_QESTN_DETAIL ADD COLUMN QESTNAR_QESTN_DETAIL_CN VARCHAR(2000);</v>
      </c>
      <c r="AI335" s="125" t="str">
        <f t="shared" si="129"/>
        <v>ALTER TABLE TB_QESTNAR_QESTN_DETAIL DROP COLUMN QESTNAR_QESTN_DETAIL_CN;</v>
      </c>
    </row>
    <row r="336" spans="2:35" ht="20.100000000000001" customHeight="1">
      <c r="B336" s="55">
        <v>331</v>
      </c>
      <c r="C336" s="26" t="s">
        <v>7</v>
      </c>
      <c r="D336" s="26" t="s">
        <v>634</v>
      </c>
      <c r="E336" s="11" t="s">
        <v>674</v>
      </c>
      <c r="F336" s="10" t="s">
        <v>675</v>
      </c>
      <c r="G336" s="87">
        <v>5</v>
      </c>
      <c r="H336" s="97" t="s">
        <v>107</v>
      </c>
      <c r="I336" s="51" t="s">
        <v>76</v>
      </c>
      <c r="J336" s="73" t="s">
        <v>72</v>
      </c>
      <c r="K336" s="67"/>
      <c r="L336" s="67"/>
      <c r="M336" s="77"/>
      <c r="N336" s="77"/>
      <c r="O336" s="77"/>
      <c r="P336" s="77"/>
      <c r="Q336" s="100" t="s">
        <v>521</v>
      </c>
      <c r="R336" s="119" t="s">
        <v>526</v>
      </c>
      <c r="S336" s="80"/>
      <c r="T336" s="107" t="s">
        <v>219</v>
      </c>
      <c r="U336" s="78"/>
      <c r="V336" s="78"/>
      <c r="W336" s="116" t="s">
        <v>496</v>
      </c>
      <c r="X336" s="45"/>
      <c r="Y336" s="78"/>
      <c r="Z336" s="130" t="str">
        <f t="shared" si="130"/>
        <v>/* 테이블 : 설문조사질문상세 */ CREATE TABLE TB_QESTNAR_QESTN_DETAIL (</v>
      </c>
      <c r="AA336" s="125" t="str">
        <f t="shared" si="118"/>
        <v>REGISTER_ID VARCHAR(50) NOT NULL,</v>
      </c>
      <c r="AB336" s="125" t="str">
        <f t="shared" si="116"/>
        <v/>
      </c>
      <c r="AC336" s="125" t="str">
        <f t="shared" si="117"/>
        <v/>
      </c>
      <c r="AD336" s="125" t="str">
        <f t="shared" si="126"/>
        <v/>
      </c>
      <c r="AE336" s="125" t="str">
        <f t="shared" si="131"/>
        <v/>
      </c>
      <c r="AF336" s="125" t="str">
        <f t="shared" si="132"/>
        <v>COMMENT ON COLUMN TB_QESTNAR_QESTN_DETAIL.REGISTER_ID IS '등록자 ID' ;</v>
      </c>
      <c r="AG336" s="125" t="str">
        <f t="shared" si="127"/>
        <v>ALTER TABLE TB_QESTNAR_QESTN_DETAIL ALTER COLUMN REGISTER_ID TYPE VARCHAR(50);</v>
      </c>
      <c r="AH336" s="125" t="str">
        <f t="shared" si="128"/>
        <v>ALTER TABLE TB_QESTNAR_QESTN_DETAIL ADD COLUMN REGISTER_ID VARCHAR(50) NOT NULL;</v>
      </c>
      <c r="AI336" s="125" t="str">
        <f t="shared" si="129"/>
        <v>ALTER TABLE TB_QESTNAR_QESTN_DETAIL DROP COLUMN REGISTER_ID;</v>
      </c>
    </row>
    <row r="337" spans="2:35" ht="20.100000000000001" customHeight="1">
      <c r="B337" s="55">
        <v>332</v>
      </c>
      <c r="C337" s="26" t="s">
        <v>7</v>
      </c>
      <c r="D337" s="26" t="s">
        <v>634</v>
      </c>
      <c r="E337" s="11" t="s">
        <v>674</v>
      </c>
      <c r="F337" s="10" t="s">
        <v>675</v>
      </c>
      <c r="G337" s="87">
        <v>6</v>
      </c>
      <c r="H337" s="97" t="s">
        <v>91</v>
      </c>
      <c r="I337" s="51" t="s">
        <v>77</v>
      </c>
      <c r="J337" s="73" t="s">
        <v>72</v>
      </c>
      <c r="K337" s="52"/>
      <c r="L337" s="52"/>
      <c r="M337" s="52"/>
      <c r="N337" s="52"/>
      <c r="O337" s="52"/>
      <c r="P337" s="52"/>
      <c r="Q337" s="56" t="s">
        <v>106</v>
      </c>
      <c r="R337" s="119" t="s">
        <v>527</v>
      </c>
      <c r="S337" s="80"/>
      <c r="T337" s="107" t="s">
        <v>218</v>
      </c>
      <c r="U337" s="78"/>
      <c r="V337" s="78"/>
      <c r="W337" s="101"/>
      <c r="X337" s="45"/>
      <c r="Y337" s="78"/>
      <c r="Z337" s="130" t="str">
        <f t="shared" si="130"/>
        <v>/* 테이블 : 설문조사질문상세 */ CREATE TABLE TB_QESTNAR_QESTN_DETAIL (</v>
      </c>
      <c r="AA337" s="125" t="str">
        <f t="shared" si="118"/>
        <v>REGISTER_IP VARCHAR(100) NOT NULL,</v>
      </c>
      <c r="AB337" s="125" t="str">
        <f t="shared" si="116"/>
        <v/>
      </c>
      <c r="AC337" s="125" t="str">
        <f t="shared" si="117"/>
        <v/>
      </c>
      <c r="AD337" s="125" t="str">
        <f t="shared" si="126"/>
        <v/>
      </c>
      <c r="AE337" s="125" t="str">
        <f t="shared" si="131"/>
        <v/>
      </c>
      <c r="AF337" s="125" t="str">
        <f t="shared" si="132"/>
        <v>COMMENT ON COLUMN TB_QESTNAR_QESTN_DETAIL.REGISTER_IP IS '등록자 IP' ;</v>
      </c>
      <c r="AG337" s="125" t="str">
        <f t="shared" si="127"/>
        <v>ALTER TABLE TB_QESTNAR_QESTN_DETAIL ALTER COLUMN REGISTER_IP TYPE VARCHAR(100);</v>
      </c>
      <c r="AH337" s="125" t="str">
        <f t="shared" si="128"/>
        <v>ALTER TABLE TB_QESTNAR_QESTN_DETAIL ADD COLUMN REGISTER_IP VARCHAR(100) NOT NULL;</v>
      </c>
      <c r="AI337" s="125" t="str">
        <f t="shared" si="129"/>
        <v>ALTER TABLE TB_QESTNAR_QESTN_DETAIL DROP COLUMN REGISTER_IP;</v>
      </c>
    </row>
    <row r="338" spans="2:35" ht="20.100000000000001" customHeight="1">
      <c r="B338" s="135">
        <v>333</v>
      </c>
      <c r="C338" s="26" t="s">
        <v>7</v>
      </c>
      <c r="D338" s="26" t="s">
        <v>634</v>
      </c>
      <c r="E338" s="11" t="s">
        <v>674</v>
      </c>
      <c r="F338" s="10" t="s">
        <v>675</v>
      </c>
      <c r="G338" s="87">
        <v>7</v>
      </c>
      <c r="H338" s="97" t="s">
        <v>92</v>
      </c>
      <c r="I338" s="96" t="s">
        <v>78</v>
      </c>
      <c r="J338" s="73" t="s">
        <v>72</v>
      </c>
      <c r="K338" s="52"/>
      <c r="L338" s="52"/>
      <c r="M338" s="52"/>
      <c r="N338" s="52"/>
      <c r="O338" s="52"/>
      <c r="P338" s="52"/>
      <c r="Q338" s="51" t="s">
        <v>706</v>
      </c>
      <c r="R338" s="119"/>
      <c r="S338" s="80"/>
      <c r="T338" s="107" t="s">
        <v>217</v>
      </c>
      <c r="U338" s="78"/>
      <c r="V338" s="78"/>
      <c r="W338" s="101"/>
      <c r="X338" s="45"/>
      <c r="Y338" s="78"/>
      <c r="Z338" s="130" t="str">
        <f t="shared" si="130"/>
        <v>/* 테이블 : 설문조사질문상세 */ CREATE TABLE TB_QESTNAR_QESTN_DETAIL (</v>
      </c>
      <c r="AA338" s="125" t="str">
        <f t="shared" si="118"/>
        <v>REG_DT TIMESTAMP NOT NULL,</v>
      </c>
      <c r="AB338" s="125" t="str">
        <f t="shared" si="116"/>
        <v/>
      </c>
      <c r="AC338" s="125" t="str">
        <f t="shared" si="117"/>
        <v/>
      </c>
      <c r="AD338" s="125" t="str">
        <f t="shared" si="126"/>
        <v/>
      </c>
      <c r="AE338" s="125" t="str">
        <f t="shared" si="131"/>
        <v/>
      </c>
      <c r="AF338" s="125" t="str">
        <f t="shared" si="132"/>
        <v>COMMENT ON COLUMN TB_QESTNAR_QESTN_DETAIL.REG_DT IS '등록 일시' ;</v>
      </c>
      <c r="AG338" s="125" t="str">
        <f t="shared" si="127"/>
        <v>ALTER TABLE TB_QESTNAR_QESTN_DETAIL ALTER COLUMN REG_DT TYPE TIMESTAMP;</v>
      </c>
      <c r="AH338" s="125" t="str">
        <f t="shared" si="128"/>
        <v>ALTER TABLE TB_QESTNAR_QESTN_DETAIL ADD COLUMN REG_DT TIMESTAMP NOT NULL;</v>
      </c>
      <c r="AI338" s="125" t="str">
        <f t="shared" si="129"/>
        <v>ALTER TABLE TB_QESTNAR_QESTN_DETAIL DROP COLUMN REG_DT;</v>
      </c>
    </row>
    <row r="339" spans="2:35" ht="20.100000000000001" customHeight="1">
      <c r="B339" s="55">
        <v>334</v>
      </c>
      <c r="C339" s="26" t="s">
        <v>7</v>
      </c>
      <c r="D339" s="26" t="s">
        <v>634</v>
      </c>
      <c r="E339" s="11" t="s">
        <v>674</v>
      </c>
      <c r="F339" s="10" t="s">
        <v>675</v>
      </c>
      <c r="G339" s="87">
        <v>8</v>
      </c>
      <c r="H339" s="97" t="s">
        <v>93</v>
      </c>
      <c r="I339" s="96" t="s">
        <v>80</v>
      </c>
      <c r="J339" s="52"/>
      <c r="K339" s="52"/>
      <c r="L339" s="52"/>
      <c r="M339" s="79"/>
      <c r="N339" s="79"/>
      <c r="O339" s="79"/>
      <c r="P339" s="79"/>
      <c r="Q339" s="100" t="s">
        <v>521</v>
      </c>
      <c r="R339" s="119" t="s">
        <v>526</v>
      </c>
      <c r="S339" s="80"/>
      <c r="T339" s="107" t="s">
        <v>216</v>
      </c>
      <c r="U339" s="78"/>
      <c r="V339" s="78"/>
      <c r="W339" s="116" t="s">
        <v>496</v>
      </c>
      <c r="X339" s="45"/>
      <c r="Y339" s="78"/>
      <c r="Z339" s="130" t="str">
        <f t="shared" si="130"/>
        <v>/* 테이블 : 설문조사질문상세 */ CREATE TABLE TB_QESTNAR_QESTN_DETAIL (</v>
      </c>
      <c r="AA339" s="125" t="str">
        <f t="shared" si="118"/>
        <v>UPDUSR_ID VARCHAR(50),</v>
      </c>
      <c r="AB339" s="125" t="str">
        <f t="shared" si="116"/>
        <v/>
      </c>
      <c r="AC339" s="125" t="str">
        <f t="shared" si="117"/>
        <v/>
      </c>
      <c r="AD339" s="125" t="str">
        <f t="shared" si="126"/>
        <v/>
      </c>
      <c r="AE339" s="125" t="str">
        <f t="shared" si="131"/>
        <v/>
      </c>
      <c r="AF339" s="125" t="str">
        <f t="shared" si="132"/>
        <v>COMMENT ON COLUMN TB_QESTNAR_QESTN_DETAIL.UPDUSR_ID IS '수정자 ID' ;</v>
      </c>
      <c r="AG339" s="125" t="str">
        <f t="shared" si="127"/>
        <v>ALTER TABLE TB_QESTNAR_QESTN_DETAIL ALTER COLUMN UPDUSR_ID TYPE VARCHAR(50);</v>
      </c>
      <c r="AH339" s="125" t="str">
        <f t="shared" si="128"/>
        <v>ALTER TABLE TB_QESTNAR_QESTN_DETAIL ADD COLUMN UPDUSR_ID VARCHAR(50);</v>
      </c>
      <c r="AI339" s="125" t="str">
        <f t="shared" si="129"/>
        <v>ALTER TABLE TB_QESTNAR_QESTN_DETAIL DROP COLUMN UPDUSR_ID;</v>
      </c>
    </row>
    <row r="340" spans="2:35" ht="20.100000000000001" customHeight="1">
      <c r="B340" s="55">
        <v>335</v>
      </c>
      <c r="C340" s="26" t="s">
        <v>7</v>
      </c>
      <c r="D340" s="26" t="s">
        <v>634</v>
      </c>
      <c r="E340" s="11" t="s">
        <v>674</v>
      </c>
      <c r="F340" s="10" t="s">
        <v>675</v>
      </c>
      <c r="G340" s="87">
        <v>9</v>
      </c>
      <c r="H340" s="97" t="s">
        <v>94</v>
      </c>
      <c r="I340" s="96" t="s">
        <v>79</v>
      </c>
      <c r="J340" s="52"/>
      <c r="K340" s="52"/>
      <c r="L340" s="52"/>
      <c r="M340" s="52"/>
      <c r="N340" s="52"/>
      <c r="O340" s="52"/>
      <c r="P340" s="52"/>
      <c r="Q340" s="56" t="s">
        <v>106</v>
      </c>
      <c r="R340" s="119" t="s">
        <v>527</v>
      </c>
      <c r="S340" s="80"/>
      <c r="T340" s="107" t="s">
        <v>215</v>
      </c>
      <c r="U340" s="78"/>
      <c r="V340" s="78"/>
      <c r="W340" s="101"/>
      <c r="X340" s="45"/>
      <c r="Y340" s="78"/>
      <c r="Z340" s="130" t="str">
        <f t="shared" si="130"/>
        <v>/* 테이블 : 설문조사질문상세 */ CREATE TABLE TB_QESTNAR_QESTN_DETAIL (</v>
      </c>
      <c r="AA340" s="125" t="str">
        <f t="shared" si="118"/>
        <v>UPDUSR_IP VARCHAR(100),</v>
      </c>
      <c r="AB340" s="125" t="str">
        <f t="shared" si="116"/>
        <v/>
      </c>
      <c r="AC340" s="125" t="str">
        <f t="shared" si="117"/>
        <v/>
      </c>
      <c r="AD340" s="125" t="str">
        <f t="shared" si="126"/>
        <v/>
      </c>
      <c r="AE340" s="125" t="str">
        <f t="shared" si="131"/>
        <v/>
      </c>
      <c r="AF340" s="125" t="str">
        <f t="shared" si="132"/>
        <v>COMMENT ON COLUMN TB_QESTNAR_QESTN_DETAIL.UPDUSR_IP IS '수정자 IP' ;</v>
      </c>
      <c r="AG340" s="125" t="str">
        <f t="shared" si="127"/>
        <v>ALTER TABLE TB_QESTNAR_QESTN_DETAIL ALTER COLUMN UPDUSR_IP TYPE VARCHAR(100);</v>
      </c>
      <c r="AH340" s="125" t="str">
        <f t="shared" si="128"/>
        <v>ALTER TABLE TB_QESTNAR_QESTN_DETAIL ADD COLUMN UPDUSR_IP VARCHAR(100);</v>
      </c>
      <c r="AI340" s="125" t="str">
        <f t="shared" si="129"/>
        <v>ALTER TABLE TB_QESTNAR_QESTN_DETAIL DROP COLUMN UPDUSR_IP;</v>
      </c>
    </row>
    <row r="341" spans="2:35" ht="20.100000000000001" customHeight="1">
      <c r="B341" s="55">
        <v>336</v>
      </c>
      <c r="C341" s="26" t="s">
        <v>7</v>
      </c>
      <c r="D341" s="26" t="s">
        <v>634</v>
      </c>
      <c r="E341" s="11" t="s">
        <v>674</v>
      </c>
      <c r="F341" s="10" t="s">
        <v>675</v>
      </c>
      <c r="G341" s="87">
        <v>10</v>
      </c>
      <c r="H341" s="98" t="s">
        <v>95</v>
      </c>
      <c r="I341" s="97" t="s">
        <v>81</v>
      </c>
      <c r="J341" s="61"/>
      <c r="K341" s="61"/>
      <c r="L341" s="61"/>
      <c r="M341" s="61"/>
      <c r="N341" s="61"/>
      <c r="O341" s="61"/>
      <c r="P341" s="61"/>
      <c r="Q341" s="51" t="s">
        <v>706</v>
      </c>
      <c r="R341" s="119"/>
      <c r="S341" s="77"/>
      <c r="T341" s="107" t="s">
        <v>214</v>
      </c>
      <c r="U341" s="78"/>
      <c r="V341" s="78"/>
      <c r="W341" s="101"/>
      <c r="X341" s="45"/>
      <c r="Y341" s="78"/>
      <c r="Z341" s="130" t="str">
        <f t="shared" si="130"/>
        <v>/* 테이블 : 설문조사질문상세 */ CREATE TABLE TB_QESTNAR_QESTN_DETAIL (</v>
      </c>
      <c r="AA341" s="125" t="str">
        <f t="shared" si="118"/>
        <v>UPDT_DT TIMESTAMP,</v>
      </c>
      <c r="AB341" s="125" t="str">
        <f t="shared" si="116"/>
        <v/>
      </c>
      <c r="AC341" s="125" t="str">
        <f t="shared" si="117"/>
        <v/>
      </c>
      <c r="AD341" s="125" t="str">
        <f t="shared" si="126"/>
        <v/>
      </c>
      <c r="AE341" s="125" t="str">
        <f t="shared" si="131"/>
        <v/>
      </c>
      <c r="AF341" s="125" t="str">
        <f t="shared" si="132"/>
        <v>COMMENT ON COLUMN TB_QESTNAR_QESTN_DETAIL.UPDT_DT IS '수정 일시' ;</v>
      </c>
      <c r="AG341" s="125" t="str">
        <f t="shared" si="127"/>
        <v>ALTER TABLE TB_QESTNAR_QESTN_DETAIL ALTER COLUMN UPDT_DT TYPE TIMESTAMP;</v>
      </c>
      <c r="AH341" s="125" t="str">
        <f t="shared" si="128"/>
        <v>ALTER TABLE TB_QESTNAR_QESTN_DETAIL ADD COLUMN UPDT_DT TIMESTAMP;</v>
      </c>
      <c r="AI341" s="125" t="str">
        <f t="shared" si="129"/>
        <v>ALTER TABLE TB_QESTNAR_QESTN_DETAIL DROP COLUMN UPDT_DT;</v>
      </c>
    </row>
    <row r="342" spans="2:35" ht="20.100000000000001" customHeight="1">
      <c r="B342" s="135">
        <v>337</v>
      </c>
      <c r="C342" s="26" t="s">
        <v>7</v>
      </c>
      <c r="D342" s="26" t="s">
        <v>634</v>
      </c>
      <c r="E342" s="11" t="s">
        <v>674</v>
      </c>
      <c r="F342" s="10" t="s">
        <v>675</v>
      </c>
      <c r="G342" s="87">
        <v>11</v>
      </c>
      <c r="H342" s="97" t="s">
        <v>96</v>
      </c>
      <c r="I342" s="97" t="s">
        <v>82</v>
      </c>
      <c r="J342" s="73" t="s">
        <v>72</v>
      </c>
      <c r="K342" s="61"/>
      <c r="L342" s="61"/>
      <c r="M342" s="61"/>
      <c r="N342" s="61"/>
      <c r="O342" s="61"/>
      <c r="P342" s="61"/>
      <c r="Q342" s="51" t="s">
        <v>804</v>
      </c>
      <c r="R342" s="119" t="s">
        <v>522</v>
      </c>
      <c r="S342" s="82" t="s">
        <v>803</v>
      </c>
      <c r="T342" s="107" t="s">
        <v>213</v>
      </c>
      <c r="U342" s="78"/>
      <c r="V342" s="78"/>
      <c r="W342" s="101"/>
      <c r="X342" s="45"/>
      <c r="Y342" s="78"/>
      <c r="Z342" s="130" t="str">
        <f t="shared" si="130"/>
        <v>/* 테이블 : 설문조사질문상세 */ CREATE TABLE TB_QESTNAR_QESTN_DETAIL (</v>
      </c>
      <c r="AA342" s="125" t="str">
        <f t="shared" si="118"/>
        <v>DEL_YN BPCHAR(1) NOT NULL,</v>
      </c>
      <c r="AB342" s="125" t="str">
        <f t="shared" si="116"/>
        <v/>
      </c>
      <c r="AC342" s="125" t="str">
        <f t="shared" si="117"/>
        <v/>
      </c>
      <c r="AD342" s="125" t="str">
        <f t="shared" si="126"/>
        <v/>
      </c>
      <c r="AE342" s="125" t="str">
        <f t="shared" si="131"/>
        <v>ALTER TABLE TB_QESTNAR_QESTN_DETAIL ALTER COLUMN DEL_YN SET DEFAULT 'N'::bpchar;</v>
      </c>
      <c r="AF342" s="125" t="str">
        <f t="shared" si="132"/>
        <v>COMMENT ON COLUMN TB_QESTNAR_QESTN_DETAIL.DEL_YN IS '삭제 여부' ;</v>
      </c>
      <c r="AG342" s="125" t="str">
        <f t="shared" si="127"/>
        <v>ALTER TABLE TB_QESTNAR_QESTN_DETAIL ALTER COLUMN DEL_YN TYPE BPCHAR(1);</v>
      </c>
      <c r="AH342" s="125" t="str">
        <f t="shared" si="128"/>
        <v>ALTER TABLE TB_QESTNAR_QESTN_DETAIL ADD COLUMN DEL_YN BPCHAR(1) NOT NULL DEFAULT ''N'::bpchar';</v>
      </c>
      <c r="AI342" s="125" t="str">
        <f t="shared" si="129"/>
        <v>ALTER TABLE TB_QESTNAR_QESTN_DETAIL DROP COLUMN DEL_YN;</v>
      </c>
    </row>
    <row r="343" spans="2:35" ht="20.100000000000001" customHeight="1">
      <c r="B343" s="55">
        <v>338</v>
      </c>
      <c r="C343" s="26" t="s">
        <v>7</v>
      </c>
      <c r="D343" s="26" t="s">
        <v>634</v>
      </c>
      <c r="E343" s="11" t="s">
        <v>691</v>
      </c>
      <c r="F343" s="10" t="s">
        <v>689</v>
      </c>
      <c r="G343" s="87">
        <v>1</v>
      </c>
      <c r="H343" s="97" t="s">
        <v>692</v>
      </c>
      <c r="I343" s="97" t="s">
        <v>690</v>
      </c>
      <c r="J343" s="73" t="s">
        <v>72</v>
      </c>
      <c r="K343" s="69">
        <v>1</v>
      </c>
      <c r="L343" s="69"/>
      <c r="M343" s="69"/>
      <c r="N343" s="69"/>
      <c r="O343" s="69"/>
      <c r="P343" s="69"/>
      <c r="Q343" s="62" t="s">
        <v>229</v>
      </c>
      <c r="R343" s="119"/>
      <c r="S343" s="82"/>
      <c r="T343" s="107" t="s">
        <v>693</v>
      </c>
      <c r="U343" s="125" t="str">
        <f>"SEQ_"&amp;E343&amp;"_SN"</f>
        <v>SEQ_TB_QESTNAR_ANSWER_SN</v>
      </c>
      <c r="V343" s="123"/>
      <c r="W343" s="104"/>
      <c r="X343" s="85"/>
      <c r="Y343" s="123"/>
      <c r="Z343" s="130" t="str">
        <f t="shared" si="130"/>
        <v>/* 테이블 : 설문조사답변 */ CREATE TABLE TB_QESTNAR_ANSWER (</v>
      </c>
      <c r="AA343" s="125" t="str">
        <f t="shared" si="118"/>
        <v>QESTNAR_ANSWER_SN INTEGER PRIMARY KEY,</v>
      </c>
      <c r="AB343" s="125" t="str">
        <f t="shared" si="116"/>
        <v/>
      </c>
      <c r="AC343" s="125" t="str">
        <f t="shared" si="117"/>
        <v>CREATE SEQUENCE SEQ_TB_QESTNAR_ANSWER_SN START 100000;</v>
      </c>
      <c r="AD343" s="125" t="str">
        <f t="shared" si="126"/>
        <v>ALTER TABLE TB_QESTNAR_ANSWER ALTER COLUMN QESTNAR_ANSWER_SN SET DEFAULT NEXTVAL('SEQ_TB_QESTNAR_ANSWER_SN');</v>
      </c>
      <c r="AE343" s="125" t="str">
        <f t="shared" si="131"/>
        <v/>
      </c>
      <c r="AF343" s="125" t="str">
        <f t="shared" si="132"/>
        <v>COMMENT ON COLUMN TB_QESTNAR_ANSWER.QESTNAR_ANSWER_SN IS '설문조사 답변 일련번호' ;</v>
      </c>
      <c r="AG343" s="125" t="str">
        <f t="shared" si="127"/>
        <v>ALTER TABLE TB_QESTNAR_ANSWER ALTER COLUMN QESTNAR_ANSWER_SN TYPE INTEGER;</v>
      </c>
      <c r="AH343" s="125" t="str">
        <f t="shared" si="128"/>
        <v>ALTER TABLE TB_QESTNAR_ANSWER ADD COLUMN QESTNAR_ANSWER_SN INTEGER NOT NULL;</v>
      </c>
      <c r="AI343" s="125" t="str">
        <f t="shared" si="129"/>
        <v>ALTER TABLE TB_QESTNAR_ANSWER DROP COLUMN QESTNAR_ANSWER_SN;</v>
      </c>
    </row>
    <row r="344" spans="2:35" ht="20.100000000000001" customHeight="1">
      <c r="B344" s="55">
        <v>339</v>
      </c>
      <c r="C344" s="26" t="s">
        <v>7</v>
      </c>
      <c r="D344" s="26" t="s">
        <v>634</v>
      </c>
      <c r="E344" s="11" t="s">
        <v>691</v>
      </c>
      <c r="F344" s="10" t="s">
        <v>689</v>
      </c>
      <c r="G344" s="87">
        <v>2</v>
      </c>
      <c r="H344" s="97" t="s">
        <v>638</v>
      </c>
      <c r="I344" s="97" t="s">
        <v>636</v>
      </c>
      <c r="J344" s="73" t="s">
        <v>72</v>
      </c>
      <c r="K344" s="69"/>
      <c r="L344" s="69">
        <v>1</v>
      </c>
      <c r="M344" s="11" t="s">
        <v>637</v>
      </c>
      <c r="N344" s="97" t="s">
        <v>638</v>
      </c>
      <c r="O344" s="95" t="s">
        <v>539</v>
      </c>
      <c r="P344" s="95" t="s">
        <v>541</v>
      </c>
      <c r="Q344" s="62" t="s">
        <v>646</v>
      </c>
      <c r="R344" s="119"/>
      <c r="S344" s="82"/>
      <c r="T344" s="107" t="s">
        <v>653</v>
      </c>
      <c r="U344" s="123"/>
      <c r="V344" s="123"/>
      <c r="W344" s="104"/>
      <c r="X344" s="85"/>
      <c r="Y344" s="123"/>
      <c r="Z344" s="130" t="str">
        <f t="shared" si="130"/>
        <v>/* 테이블 : 설문조사답변 */ CREATE TABLE TB_QESTNAR_ANSWER (</v>
      </c>
      <c r="AA344" s="125" t="str">
        <f t="shared" si="118"/>
        <v>QESTNAR_GROUP_SN INTEGER NOT NULL,</v>
      </c>
      <c r="AB344" s="125" t="str">
        <f t="shared" si="116"/>
        <v>ALTER TABLE TB_QESTNAR_ANSWER ADD CONSTRAINT TB_QESTNAR_ANSWER_FKEY1 FOREIGN KEY(QESTNAR_GROUP_SN) REFERENCES TB_QESTNAR_GROUP(QESTNAR_GROUP_SN) ON UPDATE CASCADE ON DELETE CASCADE;</v>
      </c>
      <c r="AC344" s="125" t="str">
        <f t="shared" si="117"/>
        <v/>
      </c>
      <c r="AD344" s="125" t="str">
        <f t="shared" si="126"/>
        <v/>
      </c>
      <c r="AE344" s="125" t="str">
        <f t="shared" si="131"/>
        <v/>
      </c>
      <c r="AF344" s="125" t="str">
        <f t="shared" si="132"/>
        <v>COMMENT ON COLUMN TB_QESTNAR_ANSWER.QESTNAR_GROUP_SN IS '설문조사 그룹 일련번호' ;</v>
      </c>
      <c r="AG344" s="125" t="str">
        <f t="shared" si="127"/>
        <v>ALTER TABLE TB_QESTNAR_ANSWER ALTER COLUMN QESTNAR_GROUP_SN TYPE INTEGER;</v>
      </c>
      <c r="AH344" s="125" t="str">
        <f t="shared" si="128"/>
        <v>ALTER TABLE TB_QESTNAR_ANSWER ADD COLUMN QESTNAR_GROUP_SN INTEGER NOT NULL;</v>
      </c>
      <c r="AI344" s="125" t="str">
        <f t="shared" si="129"/>
        <v>ALTER TABLE TB_QESTNAR_ANSWER DROP COLUMN QESTNAR_GROUP_SN;</v>
      </c>
    </row>
    <row r="345" spans="2:35" ht="20.100000000000001" customHeight="1">
      <c r="B345" s="55">
        <v>340</v>
      </c>
      <c r="C345" s="26" t="s">
        <v>7</v>
      </c>
      <c r="D345" s="26" t="s">
        <v>634</v>
      </c>
      <c r="E345" s="11" t="s">
        <v>691</v>
      </c>
      <c r="F345" s="10" t="s">
        <v>689</v>
      </c>
      <c r="G345" s="87">
        <v>3</v>
      </c>
      <c r="H345" s="95" t="s">
        <v>718</v>
      </c>
      <c r="I345" s="95" t="s">
        <v>719</v>
      </c>
      <c r="J345" s="73" t="s">
        <v>72</v>
      </c>
      <c r="K345" s="69"/>
      <c r="L345" s="69">
        <v>2</v>
      </c>
      <c r="M345" s="78" t="s">
        <v>9</v>
      </c>
      <c r="N345" s="95" t="s">
        <v>718</v>
      </c>
      <c r="O345" s="95" t="s">
        <v>539</v>
      </c>
      <c r="P345" s="95" t="s">
        <v>541</v>
      </c>
      <c r="Q345" s="100" t="s">
        <v>172</v>
      </c>
      <c r="R345" s="119"/>
      <c r="S345" s="82"/>
      <c r="T345" s="107" t="s">
        <v>109</v>
      </c>
      <c r="U345" s="123"/>
      <c r="V345" s="123"/>
      <c r="W345" s="104"/>
      <c r="X345" s="85"/>
      <c r="Y345" s="123"/>
      <c r="Z345" s="130" t="str">
        <f t="shared" si="130"/>
        <v>/* 테이블 : 설문조사답변 */ CREATE TABLE TB_QESTNAR_ANSWER (</v>
      </c>
      <c r="AA345" s="125" t="str">
        <f t="shared" si="118"/>
        <v>USER_SN INTEGER NOT NULL,</v>
      </c>
      <c r="AB345" s="125" t="str">
        <f t="shared" si="116"/>
        <v>ALTER TABLE TB_QESTNAR_ANSWER ADD CONSTRAINT TB_QESTNAR_ANSWER_FKEY2 FOREIGN KEY(USER_SN) REFERENCES TB_USER(USER_SN) ON UPDATE CASCADE ON DELETE CASCADE;</v>
      </c>
      <c r="AC345" s="125" t="str">
        <f t="shared" si="117"/>
        <v/>
      </c>
      <c r="AD345" s="125" t="str">
        <f t="shared" si="126"/>
        <v/>
      </c>
      <c r="AE345" s="125" t="str">
        <f t="shared" si="131"/>
        <v/>
      </c>
      <c r="AF345" s="125" t="str">
        <f t="shared" si="132"/>
        <v>COMMENT ON COLUMN TB_QESTNAR_ANSWER.USER_SN IS '사용자 일련번호' ;</v>
      </c>
      <c r="AG345" s="125" t="str">
        <f t="shared" si="127"/>
        <v>ALTER TABLE TB_QESTNAR_ANSWER ALTER COLUMN USER_SN TYPE INTEGER;</v>
      </c>
      <c r="AH345" s="125" t="str">
        <f t="shared" si="128"/>
        <v>ALTER TABLE TB_QESTNAR_ANSWER ADD COLUMN USER_SN INTEGER NOT NULL;</v>
      </c>
      <c r="AI345" s="125" t="str">
        <f t="shared" si="129"/>
        <v>ALTER TABLE TB_QESTNAR_ANSWER DROP COLUMN USER_SN;</v>
      </c>
    </row>
    <row r="346" spans="2:35" ht="20.100000000000001" customHeight="1">
      <c r="B346" s="135">
        <v>341</v>
      </c>
      <c r="C346" s="26" t="s">
        <v>7</v>
      </c>
      <c r="D346" s="26" t="s">
        <v>634</v>
      </c>
      <c r="E346" s="11" t="s">
        <v>691</v>
      </c>
      <c r="F346" s="10" t="s">
        <v>689</v>
      </c>
      <c r="G346" s="87">
        <v>4</v>
      </c>
      <c r="H346" s="97" t="s">
        <v>107</v>
      </c>
      <c r="I346" s="51" t="s">
        <v>76</v>
      </c>
      <c r="J346" s="73" t="s">
        <v>72</v>
      </c>
      <c r="K346" s="67"/>
      <c r="L346" s="67"/>
      <c r="M346" s="77"/>
      <c r="N346" s="77"/>
      <c r="O346" s="77"/>
      <c r="P346" s="77"/>
      <c r="Q346" s="100" t="s">
        <v>521</v>
      </c>
      <c r="R346" s="119" t="s">
        <v>526</v>
      </c>
      <c r="S346" s="80"/>
      <c r="T346" s="107" t="s">
        <v>219</v>
      </c>
      <c r="U346" s="78"/>
      <c r="V346" s="78"/>
      <c r="W346" s="116" t="s">
        <v>496</v>
      </c>
      <c r="X346" s="45"/>
      <c r="Y346" s="78"/>
      <c r="Z346" s="130" t="str">
        <f t="shared" si="130"/>
        <v>/* 테이블 : 설문조사답변 */ CREATE TABLE TB_QESTNAR_ANSWER (</v>
      </c>
      <c r="AA346" s="125" t="str">
        <f t="shared" si="118"/>
        <v>REGISTER_ID VARCHAR(50) NOT NULL,</v>
      </c>
      <c r="AB346" s="125" t="str">
        <f t="shared" si="116"/>
        <v/>
      </c>
      <c r="AC346" s="125" t="str">
        <f t="shared" si="117"/>
        <v/>
      </c>
      <c r="AD346" s="125" t="str">
        <f t="shared" si="126"/>
        <v/>
      </c>
      <c r="AE346" s="125" t="str">
        <f t="shared" si="131"/>
        <v/>
      </c>
      <c r="AF346" s="125" t="str">
        <f t="shared" si="132"/>
        <v>COMMENT ON COLUMN TB_QESTNAR_ANSWER.REGISTER_ID IS '등록자 ID' ;</v>
      </c>
      <c r="AG346" s="125" t="str">
        <f t="shared" si="127"/>
        <v>ALTER TABLE TB_QESTNAR_ANSWER ALTER COLUMN REGISTER_ID TYPE VARCHAR(50);</v>
      </c>
      <c r="AH346" s="125" t="str">
        <f t="shared" si="128"/>
        <v>ALTER TABLE TB_QESTNAR_ANSWER ADD COLUMN REGISTER_ID VARCHAR(50) NOT NULL;</v>
      </c>
      <c r="AI346" s="125" t="str">
        <f t="shared" si="129"/>
        <v>ALTER TABLE TB_QESTNAR_ANSWER DROP COLUMN REGISTER_ID;</v>
      </c>
    </row>
    <row r="347" spans="2:35" ht="20.100000000000001" customHeight="1">
      <c r="B347" s="55">
        <v>342</v>
      </c>
      <c r="C347" s="26" t="s">
        <v>7</v>
      </c>
      <c r="D347" s="26" t="s">
        <v>634</v>
      </c>
      <c r="E347" s="11" t="s">
        <v>691</v>
      </c>
      <c r="F347" s="10" t="s">
        <v>689</v>
      </c>
      <c r="G347" s="87">
        <v>5</v>
      </c>
      <c r="H347" s="97" t="s">
        <v>91</v>
      </c>
      <c r="I347" s="51" t="s">
        <v>77</v>
      </c>
      <c r="J347" s="73" t="s">
        <v>72</v>
      </c>
      <c r="K347" s="52"/>
      <c r="L347" s="52"/>
      <c r="M347" s="52"/>
      <c r="N347" s="52"/>
      <c r="O347" s="52"/>
      <c r="P347" s="52"/>
      <c r="Q347" s="56" t="s">
        <v>106</v>
      </c>
      <c r="R347" s="119" t="s">
        <v>527</v>
      </c>
      <c r="S347" s="80"/>
      <c r="T347" s="107" t="s">
        <v>218</v>
      </c>
      <c r="U347" s="78"/>
      <c r="V347" s="78"/>
      <c r="W347" s="101"/>
      <c r="X347" s="45"/>
      <c r="Y347" s="78"/>
      <c r="Z347" s="130" t="str">
        <f t="shared" si="130"/>
        <v>/* 테이블 : 설문조사답변 */ CREATE TABLE TB_QESTNAR_ANSWER (</v>
      </c>
      <c r="AA347" s="125" t="str">
        <f t="shared" si="118"/>
        <v>REGISTER_IP VARCHAR(100) NOT NULL,</v>
      </c>
      <c r="AB347" s="125" t="str">
        <f t="shared" si="116"/>
        <v/>
      </c>
      <c r="AC347" s="125" t="str">
        <f t="shared" si="117"/>
        <v/>
      </c>
      <c r="AD347" s="125" t="str">
        <f t="shared" si="126"/>
        <v/>
      </c>
      <c r="AE347" s="125" t="str">
        <f t="shared" si="131"/>
        <v/>
      </c>
      <c r="AF347" s="125" t="str">
        <f t="shared" si="132"/>
        <v>COMMENT ON COLUMN TB_QESTNAR_ANSWER.REGISTER_IP IS '등록자 IP' ;</v>
      </c>
      <c r="AG347" s="125" t="str">
        <f t="shared" si="127"/>
        <v>ALTER TABLE TB_QESTNAR_ANSWER ALTER COLUMN REGISTER_IP TYPE VARCHAR(100);</v>
      </c>
      <c r="AH347" s="125" t="str">
        <f t="shared" si="128"/>
        <v>ALTER TABLE TB_QESTNAR_ANSWER ADD COLUMN REGISTER_IP VARCHAR(100) NOT NULL;</v>
      </c>
      <c r="AI347" s="125" t="str">
        <f t="shared" si="129"/>
        <v>ALTER TABLE TB_QESTNAR_ANSWER DROP COLUMN REGISTER_IP;</v>
      </c>
    </row>
    <row r="348" spans="2:35" ht="20.100000000000001" customHeight="1">
      <c r="B348" s="55">
        <v>343</v>
      </c>
      <c r="C348" s="26" t="s">
        <v>7</v>
      </c>
      <c r="D348" s="26" t="s">
        <v>634</v>
      </c>
      <c r="E348" s="11" t="s">
        <v>691</v>
      </c>
      <c r="F348" s="10" t="s">
        <v>689</v>
      </c>
      <c r="G348" s="87">
        <v>6</v>
      </c>
      <c r="H348" s="97" t="s">
        <v>92</v>
      </c>
      <c r="I348" s="96" t="s">
        <v>78</v>
      </c>
      <c r="J348" s="73" t="s">
        <v>72</v>
      </c>
      <c r="K348" s="52"/>
      <c r="L348" s="52"/>
      <c r="M348" s="52"/>
      <c r="N348" s="52"/>
      <c r="O348" s="52"/>
      <c r="P348" s="52"/>
      <c r="Q348" s="51" t="s">
        <v>706</v>
      </c>
      <c r="R348" s="119"/>
      <c r="S348" s="80"/>
      <c r="T348" s="107" t="s">
        <v>217</v>
      </c>
      <c r="U348" s="78"/>
      <c r="V348" s="78"/>
      <c r="W348" s="101"/>
      <c r="X348" s="45"/>
      <c r="Y348" s="78"/>
      <c r="Z348" s="130" t="str">
        <f t="shared" si="130"/>
        <v>/* 테이블 : 설문조사답변 */ CREATE TABLE TB_QESTNAR_ANSWER (</v>
      </c>
      <c r="AA348" s="125" t="str">
        <f t="shared" si="118"/>
        <v>REG_DT TIMESTAMP NOT NULL,</v>
      </c>
      <c r="AB348" s="125" t="str">
        <f t="shared" si="116"/>
        <v/>
      </c>
      <c r="AC348" s="125" t="str">
        <f t="shared" si="117"/>
        <v/>
      </c>
      <c r="AD348" s="125" t="str">
        <f t="shared" si="126"/>
        <v/>
      </c>
      <c r="AE348" s="125" t="str">
        <f t="shared" si="131"/>
        <v/>
      </c>
      <c r="AF348" s="125" t="str">
        <f t="shared" si="132"/>
        <v>COMMENT ON COLUMN TB_QESTNAR_ANSWER.REG_DT IS '등록 일시' ;</v>
      </c>
      <c r="AG348" s="125" t="str">
        <f t="shared" si="127"/>
        <v>ALTER TABLE TB_QESTNAR_ANSWER ALTER COLUMN REG_DT TYPE TIMESTAMP;</v>
      </c>
      <c r="AH348" s="125" t="str">
        <f t="shared" si="128"/>
        <v>ALTER TABLE TB_QESTNAR_ANSWER ADD COLUMN REG_DT TIMESTAMP NOT NULL;</v>
      </c>
      <c r="AI348" s="125" t="str">
        <f t="shared" si="129"/>
        <v>ALTER TABLE TB_QESTNAR_ANSWER DROP COLUMN REG_DT;</v>
      </c>
    </row>
    <row r="349" spans="2:35" ht="20.100000000000001" customHeight="1">
      <c r="B349" s="55">
        <v>344</v>
      </c>
      <c r="C349" s="26" t="s">
        <v>7</v>
      </c>
      <c r="D349" s="26" t="s">
        <v>634</v>
      </c>
      <c r="E349" s="11" t="s">
        <v>691</v>
      </c>
      <c r="F349" s="10" t="s">
        <v>689</v>
      </c>
      <c r="G349" s="87">
        <v>7</v>
      </c>
      <c r="H349" s="97" t="s">
        <v>93</v>
      </c>
      <c r="I349" s="96" t="s">
        <v>80</v>
      </c>
      <c r="J349" s="52"/>
      <c r="K349" s="52"/>
      <c r="L349" s="52"/>
      <c r="M349" s="79"/>
      <c r="N349" s="79"/>
      <c r="O349" s="79"/>
      <c r="P349" s="79"/>
      <c r="Q349" s="100" t="s">
        <v>521</v>
      </c>
      <c r="R349" s="119" t="s">
        <v>526</v>
      </c>
      <c r="S349" s="80"/>
      <c r="T349" s="107" t="s">
        <v>216</v>
      </c>
      <c r="U349" s="78"/>
      <c r="V349" s="78"/>
      <c r="W349" s="116" t="s">
        <v>496</v>
      </c>
      <c r="X349" s="45"/>
      <c r="Y349" s="78"/>
      <c r="Z349" s="130" t="str">
        <f t="shared" si="130"/>
        <v>/* 테이블 : 설문조사답변 */ CREATE TABLE TB_QESTNAR_ANSWER (</v>
      </c>
      <c r="AA349" s="125" t="str">
        <f t="shared" si="118"/>
        <v>UPDUSR_ID VARCHAR(50),</v>
      </c>
      <c r="AB349" s="125" t="str">
        <f t="shared" si="116"/>
        <v/>
      </c>
      <c r="AC349" s="125" t="str">
        <f t="shared" si="117"/>
        <v/>
      </c>
      <c r="AD349" s="125" t="str">
        <f t="shared" si="126"/>
        <v/>
      </c>
      <c r="AE349" s="125" t="str">
        <f t="shared" si="131"/>
        <v/>
      </c>
      <c r="AF349" s="125" t="str">
        <f t="shared" si="132"/>
        <v>COMMENT ON COLUMN TB_QESTNAR_ANSWER.UPDUSR_ID IS '수정자 ID' ;</v>
      </c>
      <c r="AG349" s="125" t="str">
        <f t="shared" si="127"/>
        <v>ALTER TABLE TB_QESTNAR_ANSWER ALTER COLUMN UPDUSR_ID TYPE VARCHAR(50);</v>
      </c>
      <c r="AH349" s="125" t="str">
        <f t="shared" si="128"/>
        <v>ALTER TABLE TB_QESTNAR_ANSWER ADD COLUMN UPDUSR_ID VARCHAR(50);</v>
      </c>
      <c r="AI349" s="125" t="str">
        <f t="shared" si="129"/>
        <v>ALTER TABLE TB_QESTNAR_ANSWER DROP COLUMN UPDUSR_ID;</v>
      </c>
    </row>
    <row r="350" spans="2:35" ht="20.100000000000001" customHeight="1">
      <c r="B350" s="135">
        <v>345</v>
      </c>
      <c r="C350" s="26" t="s">
        <v>7</v>
      </c>
      <c r="D350" s="26" t="s">
        <v>634</v>
      </c>
      <c r="E350" s="11" t="s">
        <v>691</v>
      </c>
      <c r="F350" s="10" t="s">
        <v>689</v>
      </c>
      <c r="G350" s="87">
        <v>8</v>
      </c>
      <c r="H350" s="97" t="s">
        <v>94</v>
      </c>
      <c r="I350" s="96" t="s">
        <v>79</v>
      </c>
      <c r="J350" s="52"/>
      <c r="K350" s="52"/>
      <c r="L350" s="52"/>
      <c r="M350" s="52"/>
      <c r="N350" s="52"/>
      <c r="O350" s="52"/>
      <c r="P350" s="52"/>
      <c r="Q350" s="56" t="s">
        <v>106</v>
      </c>
      <c r="R350" s="119" t="s">
        <v>527</v>
      </c>
      <c r="S350" s="80"/>
      <c r="T350" s="107" t="s">
        <v>215</v>
      </c>
      <c r="U350" s="78"/>
      <c r="V350" s="78"/>
      <c r="W350" s="101"/>
      <c r="X350" s="45"/>
      <c r="Y350" s="78"/>
      <c r="Z350" s="130" t="str">
        <f t="shared" si="130"/>
        <v>/* 테이블 : 설문조사답변 */ CREATE TABLE TB_QESTNAR_ANSWER (</v>
      </c>
      <c r="AA350" s="125" t="str">
        <f t="shared" si="118"/>
        <v>UPDUSR_IP VARCHAR(100),</v>
      </c>
      <c r="AB350" s="125" t="str">
        <f t="shared" si="116"/>
        <v/>
      </c>
      <c r="AC350" s="125" t="str">
        <f t="shared" si="117"/>
        <v/>
      </c>
      <c r="AD350" s="125" t="str">
        <f t="shared" si="126"/>
        <v/>
      </c>
      <c r="AE350" s="125" t="str">
        <f t="shared" si="131"/>
        <v/>
      </c>
      <c r="AF350" s="125" t="str">
        <f t="shared" si="132"/>
        <v>COMMENT ON COLUMN TB_QESTNAR_ANSWER.UPDUSR_IP IS '수정자 IP' ;</v>
      </c>
      <c r="AG350" s="125" t="str">
        <f t="shared" si="127"/>
        <v>ALTER TABLE TB_QESTNAR_ANSWER ALTER COLUMN UPDUSR_IP TYPE VARCHAR(100);</v>
      </c>
      <c r="AH350" s="125" t="str">
        <f t="shared" si="128"/>
        <v>ALTER TABLE TB_QESTNAR_ANSWER ADD COLUMN UPDUSR_IP VARCHAR(100);</v>
      </c>
      <c r="AI350" s="125" t="str">
        <f t="shared" si="129"/>
        <v>ALTER TABLE TB_QESTNAR_ANSWER DROP COLUMN UPDUSR_IP;</v>
      </c>
    </row>
    <row r="351" spans="2:35" ht="20.100000000000001" customHeight="1">
      <c r="B351" s="55">
        <v>346</v>
      </c>
      <c r="C351" s="26" t="s">
        <v>7</v>
      </c>
      <c r="D351" s="26" t="s">
        <v>634</v>
      </c>
      <c r="E351" s="11" t="s">
        <v>691</v>
      </c>
      <c r="F351" s="10" t="s">
        <v>689</v>
      </c>
      <c r="G351" s="87">
        <v>9</v>
      </c>
      <c r="H351" s="98" t="s">
        <v>95</v>
      </c>
      <c r="I351" s="97" t="s">
        <v>81</v>
      </c>
      <c r="J351" s="61"/>
      <c r="K351" s="61"/>
      <c r="L351" s="61"/>
      <c r="M351" s="61"/>
      <c r="N351" s="61"/>
      <c r="O351" s="61"/>
      <c r="P351" s="61"/>
      <c r="Q351" s="51" t="s">
        <v>706</v>
      </c>
      <c r="R351" s="119"/>
      <c r="S351" s="77"/>
      <c r="T351" s="107" t="s">
        <v>214</v>
      </c>
      <c r="U351" s="78"/>
      <c r="V351" s="78"/>
      <c r="W351" s="101"/>
      <c r="X351" s="45"/>
      <c r="Y351" s="78"/>
      <c r="Z351" s="130" t="str">
        <f t="shared" si="130"/>
        <v>/* 테이블 : 설문조사답변 */ CREATE TABLE TB_QESTNAR_ANSWER (</v>
      </c>
      <c r="AA351" s="125" t="str">
        <f t="shared" si="118"/>
        <v>UPDT_DT TIMESTAMP,</v>
      </c>
      <c r="AB351" s="125" t="str">
        <f t="shared" si="116"/>
        <v/>
      </c>
      <c r="AC351" s="125" t="str">
        <f t="shared" si="117"/>
        <v/>
      </c>
      <c r="AD351" s="125" t="str">
        <f t="shared" si="126"/>
        <v/>
      </c>
      <c r="AE351" s="125" t="str">
        <f t="shared" si="131"/>
        <v/>
      </c>
      <c r="AF351" s="125" t="str">
        <f t="shared" si="132"/>
        <v>COMMENT ON COLUMN TB_QESTNAR_ANSWER.UPDT_DT IS '수정 일시' ;</v>
      </c>
      <c r="AG351" s="125" t="str">
        <f t="shared" si="127"/>
        <v>ALTER TABLE TB_QESTNAR_ANSWER ALTER COLUMN UPDT_DT TYPE TIMESTAMP;</v>
      </c>
      <c r="AH351" s="125" t="str">
        <f t="shared" si="128"/>
        <v>ALTER TABLE TB_QESTNAR_ANSWER ADD COLUMN UPDT_DT TIMESTAMP;</v>
      </c>
      <c r="AI351" s="125" t="str">
        <f t="shared" si="129"/>
        <v>ALTER TABLE TB_QESTNAR_ANSWER DROP COLUMN UPDT_DT;</v>
      </c>
    </row>
    <row r="352" spans="2:35" ht="20.100000000000001" customHeight="1">
      <c r="B352" s="55">
        <v>347</v>
      </c>
      <c r="C352" s="26" t="s">
        <v>7</v>
      </c>
      <c r="D352" s="26" t="s">
        <v>634</v>
      </c>
      <c r="E352" s="11" t="s">
        <v>691</v>
      </c>
      <c r="F352" s="10" t="s">
        <v>689</v>
      </c>
      <c r="G352" s="87">
        <v>10</v>
      </c>
      <c r="H352" s="97" t="s">
        <v>96</v>
      </c>
      <c r="I352" s="97" t="s">
        <v>82</v>
      </c>
      <c r="J352" s="73" t="s">
        <v>72</v>
      </c>
      <c r="K352" s="61"/>
      <c r="L352" s="61"/>
      <c r="M352" s="61"/>
      <c r="N352" s="61"/>
      <c r="O352" s="61"/>
      <c r="P352" s="61"/>
      <c r="Q352" s="51" t="s">
        <v>804</v>
      </c>
      <c r="R352" s="119" t="s">
        <v>522</v>
      </c>
      <c r="S352" s="82" t="s">
        <v>803</v>
      </c>
      <c r="T352" s="107" t="s">
        <v>213</v>
      </c>
      <c r="U352" s="78"/>
      <c r="V352" s="78"/>
      <c r="W352" s="101"/>
      <c r="X352" s="45"/>
      <c r="Y352" s="78"/>
      <c r="Z352" s="130" t="str">
        <f t="shared" si="130"/>
        <v>/* 테이블 : 설문조사답변 */ CREATE TABLE TB_QESTNAR_ANSWER (</v>
      </c>
      <c r="AA352" s="125" t="str">
        <f t="shared" si="118"/>
        <v>DEL_YN BPCHAR(1) NOT NULL,</v>
      </c>
      <c r="AB352" s="125" t="str">
        <f t="shared" si="116"/>
        <v/>
      </c>
      <c r="AC352" s="125" t="str">
        <f t="shared" si="117"/>
        <v/>
      </c>
      <c r="AD352" s="125" t="str">
        <f t="shared" si="126"/>
        <v/>
      </c>
      <c r="AE352" s="125" t="str">
        <f t="shared" si="131"/>
        <v>ALTER TABLE TB_QESTNAR_ANSWER ALTER COLUMN DEL_YN SET DEFAULT 'N'::bpchar;</v>
      </c>
      <c r="AF352" s="125" t="str">
        <f t="shared" si="132"/>
        <v>COMMENT ON COLUMN TB_QESTNAR_ANSWER.DEL_YN IS '삭제 여부' ;</v>
      </c>
      <c r="AG352" s="125" t="str">
        <f t="shared" si="127"/>
        <v>ALTER TABLE TB_QESTNAR_ANSWER ALTER COLUMN DEL_YN TYPE BPCHAR(1);</v>
      </c>
      <c r="AH352" s="125" t="str">
        <f t="shared" si="128"/>
        <v>ALTER TABLE TB_QESTNAR_ANSWER ADD COLUMN DEL_YN BPCHAR(1) NOT NULL DEFAULT ''N'::bpchar';</v>
      </c>
      <c r="AI352" s="125" t="str">
        <f t="shared" si="129"/>
        <v>ALTER TABLE TB_QESTNAR_ANSWER DROP COLUMN DEL_YN;</v>
      </c>
    </row>
    <row r="353" spans="2:35" ht="20.100000000000001" customHeight="1">
      <c r="B353" s="55">
        <v>348</v>
      </c>
      <c r="C353" s="26" t="s">
        <v>7</v>
      </c>
      <c r="D353" s="26" t="s">
        <v>634</v>
      </c>
      <c r="E353" s="11" t="s">
        <v>694</v>
      </c>
      <c r="F353" s="10" t="s">
        <v>695</v>
      </c>
      <c r="G353" s="87">
        <v>1</v>
      </c>
      <c r="H353" s="97" t="s">
        <v>696</v>
      </c>
      <c r="I353" s="97" t="s">
        <v>697</v>
      </c>
      <c r="J353" s="73" t="s">
        <v>673</v>
      </c>
      <c r="K353" s="69">
        <v>1</v>
      </c>
      <c r="L353" s="69"/>
      <c r="M353" s="69"/>
      <c r="N353" s="69"/>
      <c r="O353" s="69"/>
      <c r="P353" s="69"/>
      <c r="Q353" s="62" t="s">
        <v>229</v>
      </c>
      <c r="R353" s="119"/>
      <c r="S353" s="82"/>
      <c r="T353" s="97" t="s">
        <v>704</v>
      </c>
      <c r="U353" s="125" t="str">
        <f>"SEQ_"&amp;E353&amp;"_SN"</f>
        <v>SEQ_TB_QESTNAR_ANSWER_DETAIL_SN</v>
      </c>
      <c r="V353" s="123"/>
      <c r="W353" s="104"/>
      <c r="X353" s="85"/>
      <c r="Y353" s="123"/>
      <c r="Z353" s="130" t="str">
        <f t="shared" si="130"/>
        <v>/* 테이블 : 설문조사답변상세 */ CREATE TABLE TB_QESTNAR_ANSWER_DETAIL (</v>
      </c>
      <c r="AA353" s="125" t="str">
        <f t="shared" si="118"/>
        <v>QESTNAR_ANSWER_DETAIL_SN INTEGER PRIMARY KEY,</v>
      </c>
      <c r="AB353" s="125" t="str">
        <f t="shared" si="116"/>
        <v/>
      </c>
      <c r="AC353" s="125" t="str">
        <f t="shared" si="117"/>
        <v>CREATE SEQUENCE SEQ_TB_QESTNAR_ANSWER_DETAIL_SN START 100000;</v>
      </c>
      <c r="AD353" s="125" t="str">
        <f t="shared" si="126"/>
        <v>ALTER TABLE TB_QESTNAR_ANSWER_DETAIL ALTER COLUMN QESTNAR_ANSWER_DETAIL_SN SET DEFAULT NEXTVAL('SEQ_TB_QESTNAR_ANSWER_DETAIL_SN');</v>
      </c>
      <c r="AE353" s="125" t="str">
        <f t="shared" si="131"/>
        <v/>
      </c>
      <c r="AF353" s="125" t="str">
        <f t="shared" si="132"/>
        <v>COMMENT ON COLUMN TB_QESTNAR_ANSWER_DETAIL.QESTNAR_ANSWER_DETAIL_SN IS '설문조사 답변 상세 일련번호' ;</v>
      </c>
      <c r="AG353" s="125" t="str">
        <f t="shared" si="127"/>
        <v>ALTER TABLE TB_QESTNAR_ANSWER_DETAIL ALTER COLUMN QESTNAR_ANSWER_DETAIL_SN TYPE INTEGER;</v>
      </c>
      <c r="AH353" s="125" t="str">
        <f t="shared" si="128"/>
        <v>ALTER TABLE TB_QESTNAR_ANSWER_DETAIL ADD COLUMN QESTNAR_ANSWER_DETAIL_SN INTEGER NOT NULL;</v>
      </c>
      <c r="AI353" s="125" t="str">
        <f t="shared" si="129"/>
        <v>ALTER TABLE TB_QESTNAR_ANSWER_DETAIL DROP COLUMN QESTNAR_ANSWER_DETAIL_SN;</v>
      </c>
    </row>
    <row r="354" spans="2:35" ht="20.100000000000001" customHeight="1">
      <c r="B354" s="135">
        <v>349</v>
      </c>
      <c r="C354" s="26" t="s">
        <v>7</v>
      </c>
      <c r="D354" s="26" t="s">
        <v>634</v>
      </c>
      <c r="E354" s="11" t="s">
        <v>694</v>
      </c>
      <c r="F354" s="10" t="s">
        <v>695</v>
      </c>
      <c r="G354" s="87">
        <v>2</v>
      </c>
      <c r="H354" s="97" t="s">
        <v>692</v>
      </c>
      <c r="I354" s="97" t="s">
        <v>690</v>
      </c>
      <c r="J354" s="73" t="s">
        <v>673</v>
      </c>
      <c r="K354" s="69"/>
      <c r="L354" s="69">
        <v>1</v>
      </c>
      <c r="M354" s="11" t="s">
        <v>691</v>
      </c>
      <c r="N354" s="97" t="s">
        <v>692</v>
      </c>
      <c r="O354" s="96" t="s">
        <v>539</v>
      </c>
      <c r="P354" s="96" t="s">
        <v>540</v>
      </c>
      <c r="Q354" s="62" t="s">
        <v>229</v>
      </c>
      <c r="R354" s="119"/>
      <c r="S354" s="82"/>
      <c r="T354" s="97" t="s">
        <v>693</v>
      </c>
      <c r="U354" s="123"/>
      <c r="V354" s="123"/>
      <c r="W354" s="104"/>
      <c r="X354" s="85"/>
      <c r="Y354" s="123"/>
      <c r="Z354" s="130" t="str">
        <f t="shared" si="130"/>
        <v>/* 테이블 : 설문조사답변상세 */ CREATE TABLE TB_QESTNAR_ANSWER_DETAIL (</v>
      </c>
      <c r="AA354" s="125" t="str">
        <f t="shared" si="118"/>
        <v>QESTNAR_ANSWER_SN INTEGER NOT NULL,</v>
      </c>
      <c r="AB354" s="125" t="str">
        <f t="shared" si="116"/>
        <v>ALTER TABLE TB_QESTNAR_ANSWER_DETAIL ADD CONSTRAINT TB_QESTNAR_ANSWER_DETAIL_FKEY1 FOREIGN KEY(QESTNAR_ANSWER_SN) REFERENCES TB_QESTNAR_ANSWER(QESTNAR_ANSWER_SN) ON UPDATE CASCADE ON DELETE SET NULL;</v>
      </c>
      <c r="AC354" s="125" t="str">
        <f t="shared" si="117"/>
        <v/>
      </c>
      <c r="AD354" s="125" t="str">
        <f t="shared" si="126"/>
        <v/>
      </c>
      <c r="AE354" s="125" t="str">
        <f t="shared" si="131"/>
        <v/>
      </c>
      <c r="AF354" s="125" t="str">
        <f t="shared" si="132"/>
        <v>COMMENT ON COLUMN TB_QESTNAR_ANSWER_DETAIL.QESTNAR_ANSWER_SN IS '설문조사 답변 일련번호' ;</v>
      </c>
      <c r="AG354" s="125" t="str">
        <f t="shared" si="127"/>
        <v>ALTER TABLE TB_QESTNAR_ANSWER_DETAIL ALTER COLUMN QESTNAR_ANSWER_SN TYPE INTEGER;</v>
      </c>
      <c r="AH354" s="125" t="str">
        <f t="shared" si="128"/>
        <v>ALTER TABLE TB_QESTNAR_ANSWER_DETAIL ADD COLUMN QESTNAR_ANSWER_SN INTEGER NOT NULL;</v>
      </c>
      <c r="AI354" s="125" t="str">
        <f t="shared" si="129"/>
        <v>ALTER TABLE TB_QESTNAR_ANSWER_DETAIL DROP COLUMN QESTNAR_ANSWER_SN;</v>
      </c>
    </row>
    <row r="355" spans="2:35" ht="20.100000000000001" customHeight="1">
      <c r="B355" s="55">
        <v>350</v>
      </c>
      <c r="C355" s="26" t="s">
        <v>7</v>
      </c>
      <c r="D355" s="26" t="s">
        <v>634</v>
      </c>
      <c r="E355" s="11" t="s">
        <v>694</v>
      </c>
      <c r="F355" s="10" t="s">
        <v>695</v>
      </c>
      <c r="G355" s="87">
        <v>3</v>
      </c>
      <c r="H355" s="97" t="s">
        <v>660</v>
      </c>
      <c r="I355" s="97" t="s">
        <v>658</v>
      </c>
      <c r="J355" s="73" t="s">
        <v>673</v>
      </c>
      <c r="K355" s="69"/>
      <c r="L355" s="69">
        <v>2</v>
      </c>
      <c r="M355" s="11" t="s">
        <v>659</v>
      </c>
      <c r="N355" s="97" t="s">
        <v>660</v>
      </c>
      <c r="O355" s="96" t="s">
        <v>539</v>
      </c>
      <c r="P355" s="96" t="s">
        <v>540</v>
      </c>
      <c r="Q355" s="62" t="s">
        <v>229</v>
      </c>
      <c r="R355" s="119"/>
      <c r="S355" s="82"/>
      <c r="T355" s="97" t="s">
        <v>703</v>
      </c>
      <c r="U355" s="123"/>
      <c r="V355" s="123"/>
      <c r="W355" s="104"/>
      <c r="X355" s="85"/>
      <c r="Y355" s="123"/>
      <c r="Z355" s="130" t="str">
        <f t="shared" si="130"/>
        <v>/* 테이블 : 설문조사답변상세 */ CREATE TABLE TB_QESTNAR_ANSWER_DETAIL (</v>
      </c>
      <c r="AA355" s="125" t="str">
        <f t="shared" si="118"/>
        <v>QESTNAR_QESTN_SN INTEGER NOT NULL,</v>
      </c>
      <c r="AB355" s="125" t="str">
        <f t="shared" si="116"/>
        <v>ALTER TABLE TB_QESTNAR_ANSWER_DETAIL ADD CONSTRAINT TB_QESTNAR_ANSWER_DETAIL_FKEY2 FOREIGN KEY(QESTNAR_QESTN_SN) REFERENCES TB_QESTNAR_QESTN(QESTNAR_QESTN_SN) ON UPDATE CASCADE ON DELETE SET NULL;</v>
      </c>
      <c r="AC355" s="125" t="str">
        <f t="shared" si="117"/>
        <v/>
      </c>
      <c r="AD355" s="125" t="str">
        <f t="shared" si="126"/>
        <v/>
      </c>
      <c r="AE355" s="125" t="str">
        <f t="shared" si="131"/>
        <v/>
      </c>
      <c r="AF355" s="125" t="str">
        <f t="shared" si="132"/>
        <v>COMMENT ON COLUMN TB_QESTNAR_ANSWER_DETAIL.QESTNAR_QESTN_SN IS '설문조사 질문 일련번호' ;</v>
      </c>
      <c r="AG355" s="125" t="str">
        <f t="shared" si="127"/>
        <v>ALTER TABLE TB_QESTNAR_ANSWER_DETAIL ALTER COLUMN QESTNAR_QESTN_SN TYPE INTEGER;</v>
      </c>
      <c r="AH355" s="125" t="str">
        <f t="shared" si="128"/>
        <v>ALTER TABLE TB_QESTNAR_ANSWER_DETAIL ADD COLUMN QESTNAR_QESTN_SN INTEGER NOT NULL;</v>
      </c>
      <c r="AI355" s="125" t="str">
        <f t="shared" si="129"/>
        <v>ALTER TABLE TB_QESTNAR_ANSWER_DETAIL DROP COLUMN QESTNAR_QESTN_SN;</v>
      </c>
    </row>
    <row r="356" spans="2:35" ht="20.100000000000001" customHeight="1">
      <c r="B356" s="55">
        <v>351</v>
      </c>
      <c r="C356" s="26" t="s">
        <v>7</v>
      </c>
      <c r="D356" s="26" t="s">
        <v>634</v>
      </c>
      <c r="E356" s="11" t="s">
        <v>694</v>
      </c>
      <c r="F356" s="10" t="s">
        <v>695</v>
      </c>
      <c r="G356" s="87">
        <v>4</v>
      </c>
      <c r="H356" s="97" t="s">
        <v>698</v>
      </c>
      <c r="I356" s="97" t="s">
        <v>699</v>
      </c>
      <c r="J356" s="73"/>
      <c r="K356" s="69"/>
      <c r="L356" s="69"/>
      <c r="M356" s="69"/>
      <c r="N356" s="69"/>
      <c r="O356" s="69"/>
      <c r="P356" s="69"/>
      <c r="Q356" s="62" t="s">
        <v>106</v>
      </c>
      <c r="R356" s="119" t="s">
        <v>530</v>
      </c>
      <c r="S356" s="82"/>
      <c r="T356" s="97" t="s">
        <v>705</v>
      </c>
      <c r="U356" s="123"/>
      <c r="V356" s="123" t="s">
        <v>701</v>
      </c>
      <c r="W356" s="104"/>
      <c r="X356" s="85"/>
      <c r="Y356" s="123"/>
      <c r="Z356" s="130" t="str">
        <f t="shared" si="130"/>
        <v>/* 테이블 : 설문조사답변상세 */ CREATE TABLE TB_QESTNAR_ANSWER_DETAIL (</v>
      </c>
      <c r="AA356" s="125" t="str">
        <f t="shared" si="118"/>
        <v>QESTNAR_ANSWER VARCHAR(2000),</v>
      </c>
      <c r="AB356" s="125" t="str">
        <f t="shared" si="116"/>
        <v/>
      </c>
      <c r="AC356" s="125" t="str">
        <f t="shared" si="117"/>
        <v/>
      </c>
      <c r="AD356" s="125" t="str">
        <f t="shared" si="126"/>
        <v/>
      </c>
      <c r="AE356" s="125" t="str">
        <f t="shared" si="131"/>
        <v/>
      </c>
      <c r="AF356" s="125" t="str">
        <f t="shared" si="132"/>
        <v>COMMENT ON COLUMN TB_QESTNAR_ANSWER_DETAIL.QESTNAR_ANSWER IS '설문조사 답변' ;</v>
      </c>
      <c r="AG356" s="125" t="str">
        <f t="shared" si="127"/>
        <v>ALTER TABLE TB_QESTNAR_ANSWER_DETAIL ALTER COLUMN QESTNAR_ANSWER TYPE VARCHAR(2000);</v>
      </c>
      <c r="AH356" s="125" t="str">
        <f t="shared" si="128"/>
        <v>ALTER TABLE TB_QESTNAR_ANSWER_DETAIL ADD COLUMN QESTNAR_ANSWER VARCHAR(2000);</v>
      </c>
      <c r="AI356" s="125" t="str">
        <f t="shared" si="129"/>
        <v>ALTER TABLE TB_QESTNAR_ANSWER_DETAIL DROP COLUMN QESTNAR_ANSWER;</v>
      </c>
    </row>
    <row r="357" spans="2:35" ht="20.100000000000001" customHeight="1">
      <c r="B357" s="55">
        <v>352</v>
      </c>
      <c r="C357" s="26" t="s">
        <v>7</v>
      </c>
      <c r="D357" s="26" t="s">
        <v>634</v>
      </c>
      <c r="E357" s="11" t="s">
        <v>694</v>
      </c>
      <c r="F357" s="10" t="s">
        <v>695</v>
      </c>
      <c r="G357" s="87">
        <v>5</v>
      </c>
      <c r="H357" s="97" t="s">
        <v>677</v>
      </c>
      <c r="I357" s="97" t="s">
        <v>681</v>
      </c>
      <c r="J357" s="73"/>
      <c r="K357" s="69"/>
      <c r="L357" s="69">
        <v>3</v>
      </c>
      <c r="M357" s="11" t="s">
        <v>676</v>
      </c>
      <c r="N357" s="97" t="s">
        <v>677</v>
      </c>
      <c r="O357" s="96" t="s">
        <v>539</v>
      </c>
      <c r="P357" s="96" t="s">
        <v>540</v>
      </c>
      <c r="Q357" s="101" t="s">
        <v>172</v>
      </c>
      <c r="R357" s="83"/>
      <c r="S357" s="81"/>
      <c r="T357" s="97" t="s">
        <v>685</v>
      </c>
      <c r="U357" s="123"/>
      <c r="V357" s="123" t="s">
        <v>700</v>
      </c>
      <c r="W357" s="104"/>
      <c r="X357" s="85"/>
      <c r="Y357" s="123"/>
      <c r="Z357" s="130" t="str">
        <f t="shared" si="130"/>
        <v>/* 테이블 : 설문조사답변상세 */ CREATE TABLE TB_QESTNAR_ANSWER_DETAIL (</v>
      </c>
      <c r="AA357" s="125" t="str">
        <f t="shared" si="118"/>
        <v>QESTNAR_QESTN_DETAIL_SN INTEGER,</v>
      </c>
      <c r="AB357" s="125" t="str">
        <f t="shared" si="116"/>
        <v>ALTER TABLE TB_QESTNAR_ANSWER_DETAIL ADD CONSTRAINT TB_QESTNAR_ANSWER_DETAIL_FKEY3 FOREIGN KEY(QESTNAR_QESTN_DETAIL_SN) REFERENCES TB_QESTNAR_QESTN_DETAIL(QESTNAR_QESTN_DETAIL_SN) ON UPDATE CASCADE ON DELETE SET NULL;</v>
      </c>
      <c r="AC357" s="125" t="str">
        <f t="shared" si="117"/>
        <v/>
      </c>
      <c r="AD357" s="125" t="str">
        <f t="shared" si="126"/>
        <v/>
      </c>
      <c r="AE357" s="125" t="str">
        <f t="shared" si="131"/>
        <v/>
      </c>
      <c r="AF357" s="125" t="str">
        <f t="shared" si="132"/>
        <v>COMMENT ON COLUMN TB_QESTNAR_ANSWER_DETAIL.QESTNAR_QESTN_DETAIL_SN IS '설문조사 질문 상세 일련번호' ;</v>
      </c>
      <c r="AG357" s="125" t="str">
        <f t="shared" si="127"/>
        <v>ALTER TABLE TB_QESTNAR_ANSWER_DETAIL ALTER COLUMN QESTNAR_QESTN_DETAIL_SN TYPE INTEGER;</v>
      </c>
      <c r="AH357" s="125" t="str">
        <f t="shared" si="128"/>
        <v>ALTER TABLE TB_QESTNAR_ANSWER_DETAIL ADD COLUMN QESTNAR_QESTN_DETAIL_SN INTEGER;</v>
      </c>
      <c r="AI357" s="125" t="str">
        <f t="shared" si="129"/>
        <v>ALTER TABLE TB_QESTNAR_ANSWER_DETAIL DROP COLUMN QESTNAR_QESTN_DETAIL_SN;</v>
      </c>
    </row>
    <row r="358" spans="2:35" ht="20.100000000000001" customHeight="1">
      <c r="B358" s="135">
        <v>353</v>
      </c>
      <c r="C358" s="26" t="s">
        <v>7</v>
      </c>
      <c r="D358" s="26" t="s">
        <v>634</v>
      </c>
      <c r="E358" s="11" t="s">
        <v>694</v>
      </c>
      <c r="F358" s="10" t="s">
        <v>695</v>
      </c>
      <c r="G358" s="87">
        <v>6</v>
      </c>
      <c r="H358" s="104" t="s">
        <v>492</v>
      </c>
      <c r="I358" s="104" t="s">
        <v>491</v>
      </c>
      <c r="J358" s="85"/>
      <c r="K358" s="85"/>
      <c r="L358" s="85">
        <v>4</v>
      </c>
      <c r="M358" s="10" t="s">
        <v>364</v>
      </c>
      <c r="N358" s="96" t="s">
        <v>365</v>
      </c>
      <c r="O358" s="96" t="s">
        <v>539</v>
      </c>
      <c r="P358" s="96" t="s">
        <v>540</v>
      </c>
      <c r="Q358" s="104" t="s">
        <v>229</v>
      </c>
      <c r="R358" s="87"/>
      <c r="S358" s="85"/>
      <c r="T358" s="104" t="s">
        <v>510</v>
      </c>
      <c r="U358" s="123"/>
      <c r="V358" s="123" t="s">
        <v>702</v>
      </c>
      <c r="W358" s="104" t="s">
        <v>568</v>
      </c>
      <c r="X358" s="85"/>
      <c r="Y358" s="123"/>
      <c r="Z358" s="130" t="str">
        <f t="shared" si="130"/>
        <v>/* 테이블 : 설문조사답변상세 */ CREATE TABLE TB_QESTNAR_ANSWER_DETAIL (</v>
      </c>
      <c r="AA358" s="125" t="str">
        <f t="shared" si="118"/>
        <v>ATCH_FILE_SN INTEGER,</v>
      </c>
      <c r="AB358" s="125" t="str">
        <f t="shared" si="116"/>
        <v>ALTER TABLE TB_QESTNAR_ANSWER_DETAIL ADD CONSTRAINT TB_QESTNAR_ANSWER_DETAIL_FKEY4 FOREIGN KEY(ATCH_FILE_SN) REFERENCES TB_ATCH_FILE(ATCH_FILE_SN) ON UPDATE CASCADE ON DELETE SET NULL;</v>
      </c>
      <c r="AC358" s="125" t="str">
        <f t="shared" si="117"/>
        <v/>
      </c>
      <c r="AD358" s="125" t="str">
        <f t="shared" si="126"/>
        <v/>
      </c>
      <c r="AE358" s="125" t="str">
        <f t="shared" si="131"/>
        <v/>
      </c>
      <c r="AF358" s="125" t="str">
        <f t="shared" si="132"/>
        <v>COMMENT ON COLUMN TB_QESTNAR_ANSWER_DETAIL.ATCH_FILE_SN IS '첨부 파일 일련번호' ;</v>
      </c>
      <c r="AG358" s="125" t="str">
        <f t="shared" si="127"/>
        <v>ALTER TABLE TB_QESTNAR_ANSWER_DETAIL ALTER COLUMN ATCH_FILE_SN TYPE INTEGER;</v>
      </c>
      <c r="AH358" s="125" t="str">
        <f t="shared" si="128"/>
        <v>ALTER TABLE TB_QESTNAR_ANSWER_DETAIL ADD COLUMN ATCH_FILE_SN INTEGER;</v>
      </c>
      <c r="AI358" s="125" t="str">
        <f t="shared" si="129"/>
        <v>ALTER TABLE TB_QESTNAR_ANSWER_DETAIL DROP COLUMN ATCH_FILE_SN;</v>
      </c>
    </row>
    <row r="359" spans="2:35" ht="20.100000000000001" customHeight="1">
      <c r="B359" s="55">
        <v>354</v>
      </c>
      <c r="C359" s="26" t="s">
        <v>7</v>
      </c>
      <c r="D359" s="26" t="s">
        <v>634</v>
      </c>
      <c r="E359" s="11" t="s">
        <v>694</v>
      </c>
      <c r="F359" s="10" t="s">
        <v>695</v>
      </c>
      <c r="G359" s="87">
        <v>7</v>
      </c>
      <c r="H359" s="97" t="s">
        <v>107</v>
      </c>
      <c r="I359" s="51" t="s">
        <v>76</v>
      </c>
      <c r="J359" s="73" t="s">
        <v>72</v>
      </c>
      <c r="K359" s="67"/>
      <c r="L359" s="67"/>
      <c r="M359" s="77"/>
      <c r="N359" s="77"/>
      <c r="O359" s="77"/>
      <c r="P359" s="77"/>
      <c r="Q359" s="100" t="s">
        <v>521</v>
      </c>
      <c r="R359" s="119" t="s">
        <v>526</v>
      </c>
      <c r="S359" s="80"/>
      <c r="T359" s="107" t="s">
        <v>219</v>
      </c>
      <c r="U359" s="78"/>
      <c r="V359" s="78"/>
      <c r="W359" s="116" t="s">
        <v>496</v>
      </c>
      <c r="X359" s="45"/>
      <c r="Y359" s="78"/>
      <c r="Z359" s="130" t="str">
        <f t="shared" si="130"/>
        <v>/* 테이블 : 설문조사답변상세 */ CREATE TABLE TB_QESTNAR_ANSWER_DETAIL (</v>
      </c>
      <c r="AA359" s="125" t="str">
        <f t="shared" si="118"/>
        <v>REGISTER_ID VARCHAR(50) NOT NULL,</v>
      </c>
      <c r="AB359" s="125" t="str">
        <f t="shared" si="116"/>
        <v/>
      </c>
      <c r="AC359" s="125" t="str">
        <f t="shared" si="117"/>
        <v/>
      </c>
      <c r="AD359" s="125" t="str">
        <f t="shared" si="126"/>
        <v/>
      </c>
      <c r="AE359" s="125" t="str">
        <f t="shared" si="131"/>
        <v/>
      </c>
      <c r="AF359" s="125" t="str">
        <f t="shared" si="132"/>
        <v>COMMENT ON COLUMN TB_QESTNAR_ANSWER_DETAIL.REGISTER_ID IS '등록자 ID' ;</v>
      </c>
      <c r="AG359" s="125" t="str">
        <f t="shared" si="127"/>
        <v>ALTER TABLE TB_QESTNAR_ANSWER_DETAIL ALTER COLUMN REGISTER_ID TYPE VARCHAR(50);</v>
      </c>
      <c r="AH359" s="125" t="str">
        <f t="shared" si="128"/>
        <v>ALTER TABLE TB_QESTNAR_ANSWER_DETAIL ADD COLUMN REGISTER_ID VARCHAR(50) NOT NULL;</v>
      </c>
      <c r="AI359" s="125" t="str">
        <f t="shared" si="129"/>
        <v>ALTER TABLE TB_QESTNAR_ANSWER_DETAIL DROP COLUMN REGISTER_ID;</v>
      </c>
    </row>
    <row r="360" spans="2:35" ht="20.100000000000001" customHeight="1">
      <c r="B360" s="55">
        <v>355</v>
      </c>
      <c r="C360" s="26" t="s">
        <v>7</v>
      </c>
      <c r="D360" s="26" t="s">
        <v>634</v>
      </c>
      <c r="E360" s="11" t="s">
        <v>694</v>
      </c>
      <c r="F360" s="10" t="s">
        <v>695</v>
      </c>
      <c r="G360" s="87">
        <v>8</v>
      </c>
      <c r="H360" s="97" t="s">
        <v>91</v>
      </c>
      <c r="I360" s="51" t="s">
        <v>77</v>
      </c>
      <c r="J360" s="73" t="s">
        <v>72</v>
      </c>
      <c r="K360" s="52"/>
      <c r="L360" s="52"/>
      <c r="M360" s="52"/>
      <c r="N360" s="52"/>
      <c r="O360" s="52"/>
      <c r="P360" s="52"/>
      <c r="Q360" s="56" t="s">
        <v>106</v>
      </c>
      <c r="R360" s="119" t="s">
        <v>527</v>
      </c>
      <c r="S360" s="80"/>
      <c r="T360" s="107" t="s">
        <v>218</v>
      </c>
      <c r="U360" s="78"/>
      <c r="V360" s="78"/>
      <c r="W360" s="101"/>
      <c r="X360" s="45"/>
      <c r="Y360" s="78"/>
      <c r="Z360" s="130" t="str">
        <f t="shared" si="130"/>
        <v>/* 테이블 : 설문조사답변상세 */ CREATE TABLE TB_QESTNAR_ANSWER_DETAIL (</v>
      </c>
      <c r="AA360" s="125" t="str">
        <f t="shared" si="118"/>
        <v>REGISTER_IP VARCHAR(100) NOT NULL,</v>
      </c>
      <c r="AB360" s="125" t="str">
        <f t="shared" si="116"/>
        <v/>
      </c>
      <c r="AC360" s="125" t="str">
        <f t="shared" si="117"/>
        <v/>
      </c>
      <c r="AD360" s="125" t="str">
        <f t="shared" si="126"/>
        <v/>
      </c>
      <c r="AE360" s="125" t="str">
        <f t="shared" si="131"/>
        <v/>
      </c>
      <c r="AF360" s="125" t="str">
        <f t="shared" si="132"/>
        <v>COMMENT ON COLUMN TB_QESTNAR_ANSWER_DETAIL.REGISTER_IP IS '등록자 IP' ;</v>
      </c>
      <c r="AG360" s="125" t="str">
        <f t="shared" si="127"/>
        <v>ALTER TABLE TB_QESTNAR_ANSWER_DETAIL ALTER COLUMN REGISTER_IP TYPE VARCHAR(100);</v>
      </c>
      <c r="AH360" s="125" t="str">
        <f t="shared" si="128"/>
        <v>ALTER TABLE TB_QESTNAR_ANSWER_DETAIL ADD COLUMN REGISTER_IP VARCHAR(100) NOT NULL;</v>
      </c>
      <c r="AI360" s="125" t="str">
        <f t="shared" si="129"/>
        <v>ALTER TABLE TB_QESTNAR_ANSWER_DETAIL DROP COLUMN REGISTER_IP;</v>
      </c>
    </row>
    <row r="361" spans="2:35" ht="20.100000000000001" customHeight="1">
      <c r="B361" s="55">
        <v>356</v>
      </c>
      <c r="C361" s="26" t="s">
        <v>7</v>
      </c>
      <c r="D361" s="26" t="s">
        <v>634</v>
      </c>
      <c r="E361" s="11" t="s">
        <v>694</v>
      </c>
      <c r="F361" s="10" t="s">
        <v>695</v>
      </c>
      <c r="G361" s="87">
        <v>9</v>
      </c>
      <c r="H361" s="97" t="s">
        <v>92</v>
      </c>
      <c r="I361" s="96" t="s">
        <v>78</v>
      </c>
      <c r="J361" s="73" t="s">
        <v>72</v>
      </c>
      <c r="K361" s="52"/>
      <c r="L361" s="52"/>
      <c r="M361" s="52"/>
      <c r="N361" s="52"/>
      <c r="O361" s="52"/>
      <c r="P361" s="52"/>
      <c r="Q361" s="51" t="s">
        <v>706</v>
      </c>
      <c r="R361" s="119"/>
      <c r="S361" s="80"/>
      <c r="T361" s="107" t="s">
        <v>217</v>
      </c>
      <c r="U361" s="78"/>
      <c r="V361" s="78"/>
      <c r="W361" s="101"/>
      <c r="X361" s="45"/>
      <c r="Y361" s="78"/>
      <c r="Z361" s="130" t="str">
        <f t="shared" si="130"/>
        <v>/* 테이블 : 설문조사답변상세 */ CREATE TABLE TB_QESTNAR_ANSWER_DETAIL (</v>
      </c>
      <c r="AA361" s="125" t="str">
        <f t="shared" si="118"/>
        <v>REG_DT TIMESTAMP NOT NULL,</v>
      </c>
      <c r="AB361" s="125" t="str">
        <f t="shared" si="116"/>
        <v/>
      </c>
      <c r="AC361" s="125" t="str">
        <f t="shared" si="117"/>
        <v/>
      </c>
      <c r="AD361" s="125" t="str">
        <f t="shared" ref="AD361:AD425" si="133">IF(ISBLANK(U361),"","ALTER TABLE "&amp;E361&amp;" ALTER COLUMN "&amp;H361&amp;" SET DEFAULT NEXTVAL('"&amp;U361&amp;"');")</f>
        <v/>
      </c>
      <c r="AE361" s="125" t="str">
        <f t="shared" si="131"/>
        <v/>
      </c>
      <c r="AF361" s="125" t="str">
        <f t="shared" si="132"/>
        <v>COMMENT ON COLUMN TB_QESTNAR_ANSWER_DETAIL.REG_DT IS '등록 일시' ;</v>
      </c>
      <c r="AG361" s="125" t="str">
        <f t="shared" si="127"/>
        <v>ALTER TABLE TB_QESTNAR_ANSWER_DETAIL ALTER COLUMN REG_DT TYPE TIMESTAMP;</v>
      </c>
      <c r="AH361" s="125" t="str">
        <f t="shared" si="128"/>
        <v>ALTER TABLE TB_QESTNAR_ANSWER_DETAIL ADD COLUMN REG_DT TIMESTAMP NOT NULL;</v>
      </c>
      <c r="AI361" s="125" t="str">
        <f t="shared" si="129"/>
        <v>ALTER TABLE TB_QESTNAR_ANSWER_DETAIL DROP COLUMN REG_DT;</v>
      </c>
    </row>
    <row r="362" spans="2:35" ht="20.100000000000001" customHeight="1">
      <c r="B362" s="135">
        <v>357</v>
      </c>
      <c r="C362" s="26" t="s">
        <v>7</v>
      </c>
      <c r="D362" s="26" t="s">
        <v>634</v>
      </c>
      <c r="E362" s="11" t="s">
        <v>694</v>
      </c>
      <c r="F362" s="10" t="s">
        <v>695</v>
      </c>
      <c r="G362" s="87">
        <v>10</v>
      </c>
      <c r="H362" s="97" t="s">
        <v>93</v>
      </c>
      <c r="I362" s="96" t="s">
        <v>80</v>
      </c>
      <c r="J362" s="52"/>
      <c r="K362" s="52"/>
      <c r="L362" s="52"/>
      <c r="M362" s="79"/>
      <c r="N362" s="79"/>
      <c r="O362" s="79"/>
      <c r="P362" s="79"/>
      <c r="Q362" s="100" t="s">
        <v>521</v>
      </c>
      <c r="R362" s="119" t="s">
        <v>526</v>
      </c>
      <c r="S362" s="80"/>
      <c r="T362" s="107" t="s">
        <v>216</v>
      </c>
      <c r="U362" s="78"/>
      <c r="V362" s="78"/>
      <c r="W362" s="116" t="s">
        <v>496</v>
      </c>
      <c r="X362" s="45"/>
      <c r="Y362" s="78"/>
      <c r="Z362" s="130" t="str">
        <f t="shared" si="130"/>
        <v>/* 테이블 : 설문조사답변상세 */ CREATE TABLE TB_QESTNAR_ANSWER_DETAIL (</v>
      </c>
      <c r="AA362" s="125" t="str">
        <f t="shared" ref="AA362:AA426" si="134">H362&amp;" "&amp;Q362&amp;R362&amp;IF(ISBLANK(K362),""," PRIMARY KEY")&amp;IF(AND(ISBLANK(K362),J362="Y")," NOT NULL","")&amp;","</f>
        <v>UPDUSR_ID VARCHAR(50),</v>
      </c>
      <c r="AB362" s="125" t="str">
        <f t="shared" si="116"/>
        <v/>
      </c>
      <c r="AC362" s="125" t="str">
        <f t="shared" si="117"/>
        <v/>
      </c>
      <c r="AD362" s="125" t="str">
        <f t="shared" si="133"/>
        <v/>
      </c>
      <c r="AE362" s="125" t="str">
        <f t="shared" si="131"/>
        <v/>
      </c>
      <c r="AF362" s="125" t="str">
        <f t="shared" si="132"/>
        <v>COMMENT ON COLUMN TB_QESTNAR_ANSWER_DETAIL.UPDUSR_ID IS '수정자 ID' ;</v>
      </c>
      <c r="AG362" s="125" t="str">
        <f t="shared" si="127"/>
        <v>ALTER TABLE TB_QESTNAR_ANSWER_DETAIL ALTER COLUMN UPDUSR_ID TYPE VARCHAR(50);</v>
      </c>
      <c r="AH362" s="125" t="str">
        <f t="shared" si="128"/>
        <v>ALTER TABLE TB_QESTNAR_ANSWER_DETAIL ADD COLUMN UPDUSR_ID VARCHAR(50);</v>
      </c>
      <c r="AI362" s="125" t="str">
        <f t="shared" si="129"/>
        <v>ALTER TABLE TB_QESTNAR_ANSWER_DETAIL DROP COLUMN UPDUSR_ID;</v>
      </c>
    </row>
    <row r="363" spans="2:35" ht="20.100000000000001" customHeight="1">
      <c r="B363" s="55">
        <v>358</v>
      </c>
      <c r="C363" s="26" t="s">
        <v>7</v>
      </c>
      <c r="D363" s="26" t="s">
        <v>634</v>
      </c>
      <c r="E363" s="11" t="s">
        <v>694</v>
      </c>
      <c r="F363" s="10" t="s">
        <v>695</v>
      </c>
      <c r="G363" s="87">
        <v>11</v>
      </c>
      <c r="H363" s="97" t="s">
        <v>94</v>
      </c>
      <c r="I363" s="96" t="s">
        <v>79</v>
      </c>
      <c r="J363" s="52"/>
      <c r="K363" s="52"/>
      <c r="L363" s="52"/>
      <c r="M363" s="52"/>
      <c r="N363" s="52"/>
      <c r="O363" s="52"/>
      <c r="P363" s="52"/>
      <c r="Q363" s="56" t="s">
        <v>106</v>
      </c>
      <c r="R363" s="119" t="s">
        <v>527</v>
      </c>
      <c r="S363" s="80"/>
      <c r="T363" s="107" t="s">
        <v>215</v>
      </c>
      <c r="U363" s="78"/>
      <c r="V363" s="78"/>
      <c r="W363" s="101"/>
      <c r="X363" s="45"/>
      <c r="Y363" s="78"/>
      <c r="Z363" s="130" t="str">
        <f t="shared" si="130"/>
        <v>/* 테이블 : 설문조사답변상세 */ CREATE TABLE TB_QESTNAR_ANSWER_DETAIL (</v>
      </c>
      <c r="AA363" s="125" t="str">
        <f t="shared" si="134"/>
        <v>UPDUSR_IP VARCHAR(100),</v>
      </c>
      <c r="AB363" s="125" t="str">
        <f t="shared" si="116"/>
        <v/>
      </c>
      <c r="AC363" s="125" t="str">
        <f t="shared" si="117"/>
        <v/>
      </c>
      <c r="AD363" s="125" t="str">
        <f t="shared" si="133"/>
        <v/>
      </c>
      <c r="AE363" s="125" t="str">
        <f t="shared" si="131"/>
        <v/>
      </c>
      <c r="AF363" s="125" t="str">
        <f t="shared" si="132"/>
        <v>COMMENT ON COLUMN TB_QESTNAR_ANSWER_DETAIL.UPDUSR_IP IS '수정자 IP' ;</v>
      </c>
      <c r="AG363" s="125" t="str">
        <f t="shared" si="127"/>
        <v>ALTER TABLE TB_QESTNAR_ANSWER_DETAIL ALTER COLUMN UPDUSR_IP TYPE VARCHAR(100);</v>
      </c>
      <c r="AH363" s="125" t="str">
        <f t="shared" si="128"/>
        <v>ALTER TABLE TB_QESTNAR_ANSWER_DETAIL ADD COLUMN UPDUSR_IP VARCHAR(100);</v>
      </c>
      <c r="AI363" s="125" t="str">
        <f t="shared" si="129"/>
        <v>ALTER TABLE TB_QESTNAR_ANSWER_DETAIL DROP COLUMN UPDUSR_IP;</v>
      </c>
    </row>
    <row r="364" spans="2:35" ht="20.100000000000001" customHeight="1">
      <c r="B364" s="55">
        <v>359</v>
      </c>
      <c r="C364" s="26" t="s">
        <v>7</v>
      </c>
      <c r="D364" s="26" t="s">
        <v>634</v>
      </c>
      <c r="E364" s="11" t="s">
        <v>694</v>
      </c>
      <c r="F364" s="10" t="s">
        <v>695</v>
      </c>
      <c r="G364" s="87">
        <v>12</v>
      </c>
      <c r="H364" s="98" t="s">
        <v>95</v>
      </c>
      <c r="I364" s="97" t="s">
        <v>81</v>
      </c>
      <c r="J364" s="61"/>
      <c r="K364" s="61"/>
      <c r="L364" s="61"/>
      <c r="M364" s="61"/>
      <c r="N364" s="61"/>
      <c r="O364" s="61"/>
      <c r="P364" s="61"/>
      <c r="Q364" s="51" t="s">
        <v>706</v>
      </c>
      <c r="R364" s="119"/>
      <c r="S364" s="77"/>
      <c r="T364" s="107" t="s">
        <v>214</v>
      </c>
      <c r="U364" s="78"/>
      <c r="V364" s="78"/>
      <c r="W364" s="101"/>
      <c r="X364" s="45"/>
      <c r="Y364" s="78"/>
      <c r="Z364" s="130" t="str">
        <f t="shared" si="130"/>
        <v>/* 테이블 : 설문조사답변상세 */ CREATE TABLE TB_QESTNAR_ANSWER_DETAIL (</v>
      </c>
      <c r="AA364" s="125" t="str">
        <f t="shared" si="134"/>
        <v>UPDT_DT TIMESTAMP,</v>
      </c>
      <c r="AB364" s="125" t="str">
        <f t="shared" si="116"/>
        <v/>
      </c>
      <c r="AC364" s="125" t="str">
        <f t="shared" si="117"/>
        <v/>
      </c>
      <c r="AD364" s="125" t="str">
        <f t="shared" si="133"/>
        <v/>
      </c>
      <c r="AE364" s="125" t="str">
        <f t="shared" si="131"/>
        <v/>
      </c>
      <c r="AF364" s="125" t="str">
        <f t="shared" si="132"/>
        <v>COMMENT ON COLUMN TB_QESTNAR_ANSWER_DETAIL.UPDT_DT IS '수정 일시' ;</v>
      </c>
      <c r="AG364" s="125" t="str">
        <f t="shared" si="127"/>
        <v>ALTER TABLE TB_QESTNAR_ANSWER_DETAIL ALTER COLUMN UPDT_DT TYPE TIMESTAMP;</v>
      </c>
      <c r="AH364" s="125" t="str">
        <f t="shared" si="128"/>
        <v>ALTER TABLE TB_QESTNAR_ANSWER_DETAIL ADD COLUMN UPDT_DT TIMESTAMP;</v>
      </c>
      <c r="AI364" s="125" t="str">
        <f t="shared" si="129"/>
        <v>ALTER TABLE TB_QESTNAR_ANSWER_DETAIL DROP COLUMN UPDT_DT;</v>
      </c>
    </row>
    <row r="365" spans="2:35" ht="20.100000000000001" customHeight="1">
      <c r="B365" s="55">
        <v>360</v>
      </c>
      <c r="C365" s="26" t="s">
        <v>7</v>
      </c>
      <c r="D365" s="26" t="s">
        <v>634</v>
      </c>
      <c r="E365" s="11" t="s">
        <v>694</v>
      </c>
      <c r="F365" s="10" t="s">
        <v>695</v>
      </c>
      <c r="G365" s="87">
        <v>13</v>
      </c>
      <c r="H365" s="97" t="s">
        <v>96</v>
      </c>
      <c r="I365" s="97" t="s">
        <v>82</v>
      </c>
      <c r="J365" s="73" t="s">
        <v>72</v>
      </c>
      <c r="K365" s="61"/>
      <c r="L365" s="61"/>
      <c r="M365" s="61"/>
      <c r="N365" s="61"/>
      <c r="O365" s="61"/>
      <c r="P365" s="61"/>
      <c r="Q365" s="51" t="s">
        <v>804</v>
      </c>
      <c r="R365" s="119" t="s">
        <v>522</v>
      </c>
      <c r="S365" s="82" t="s">
        <v>803</v>
      </c>
      <c r="T365" s="107" t="s">
        <v>213</v>
      </c>
      <c r="U365" s="78"/>
      <c r="V365" s="78"/>
      <c r="W365" s="101"/>
      <c r="X365" s="45"/>
      <c r="Y365" s="78"/>
      <c r="Z365" s="130" t="str">
        <f t="shared" si="130"/>
        <v>/* 테이블 : 설문조사답변상세 */ CREATE TABLE TB_QESTNAR_ANSWER_DETAIL (</v>
      </c>
      <c r="AA365" s="125" t="str">
        <f t="shared" si="134"/>
        <v>DEL_YN BPCHAR(1) NOT NULL,</v>
      </c>
      <c r="AB365" s="125" t="str">
        <f t="shared" si="116"/>
        <v/>
      </c>
      <c r="AC365" s="125" t="str">
        <f t="shared" si="117"/>
        <v/>
      </c>
      <c r="AD365" s="125" t="str">
        <f t="shared" si="133"/>
        <v/>
      </c>
      <c r="AE365" s="125" t="str">
        <f t="shared" si="131"/>
        <v>ALTER TABLE TB_QESTNAR_ANSWER_DETAIL ALTER COLUMN DEL_YN SET DEFAULT 'N'::bpchar;</v>
      </c>
      <c r="AF365" s="125" t="str">
        <f t="shared" si="132"/>
        <v>COMMENT ON COLUMN TB_QESTNAR_ANSWER_DETAIL.DEL_YN IS '삭제 여부' ;</v>
      </c>
      <c r="AG365" s="125" t="str">
        <f t="shared" si="127"/>
        <v>ALTER TABLE TB_QESTNAR_ANSWER_DETAIL ALTER COLUMN DEL_YN TYPE BPCHAR(1);</v>
      </c>
      <c r="AH365" s="125" t="str">
        <f t="shared" si="128"/>
        <v>ALTER TABLE TB_QESTNAR_ANSWER_DETAIL ADD COLUMN DEL_YN BPCHAR(1) NOT NULL DEFAULT ''N'::bpchar';</v>
      </c>
      <c r="AI365" s="125" t="str">
        <f t="shared" si="129"/>
        <v>ALTER TABLE TB_QESTNAR_ANSWER_DETAIL DROP COLUMN DEL_YN;</v>
      </c>
    </row>
    <row r="366" spans="2:35" ht="20.100000000000001" customHeight="1">
      <c r="B366" s="135">
        <v>361</v>
      </c>
      <c r="C366" s="26" t="s">
        <v>7</v>
      </c>
      <c r="D366" s="26" t="s">
        <v>19</v>
      </c>
      <c r="E366" s="10" t="s">
        <v>364</v>
      </c>
      <c r="F366" s="10" t="s">
        <v>118</v>
      </c>
      <c r="G366" s="87">
        <v>1</v>
      </c>
      <c r="H366" s="104" t="s">
        <v>365</v>
      </c>
      <c r="I366" s="104" t="s">
        <v>367</v>
      </c>
      <c r="J366" s="85" t="s">
        <v>350</v>
      </c>
      <c r="K366" s="85">
        <v>1</v>
      </c>
      <c r="L366" s="85"/>
      <c r="M366" s="10"/>
      <c r="N366" s="96"/>
      <c r="O366" s="96"/>
      <c r="P366" s="96"/>
      <c r="Q366" s="51" t="s">
        <v>229</v>
      </c>
      <c r="R366" s="117"/>
      <c r="S366" s="85"/>
      <c r="T366" s="104" t="s">
        <v>369</v>
      </c>
      <c r="U366" s="125" t="str">
        <f>"SEQ_"&amp;E366&amp;"_SN"</f>
        <v>SEQ_TB_ATCH_FILE_SN</v>
      </c>
      <c r="V366" s="125"/>
      <c r="W366" s="104"/>
      <c r="X366" s="85"/>
      <c r="Y366" s="123"/>
      <c r="Z366" s="130" t="str">
        <f t="shared" si="130"/>
        <v>/* 테이블 : 파일첨부 */ CREATE TABLE TB_ATCH_FILE (</v>
      </c>
      <c r="AA366" s="125" t="str">
        <f t="shared" si="134"/>
        <v>ATCH_FILE_SN INTEGER PRIMARY KEY,</v>
      </c>
      <c r="AB366" s="125" t="str">
        <f t="shared" si="116"/>
        <v/>
      </c>
      <c r="AC366" s="125" t="str">
        <f t="shared" si="117"/>
        <v>CREATE SEQUENCE SEQ_TB_ATCH_FILE_SN START 100000;</v>
      </c>
      <c r="AD366" s="125" t="str">
        <f t="shared" si="133"/>
        <v>ALTER TABLE TB_ATCH_FILE ALTER COLUMN ATCH_FILE_SN SET DEFAULT NEXTVAL('SEQ_TB_ATCH_FILE_SN');</v>
      </c>
      <c r="AE366" s="125" t="str">
        <f t="shared" si="131"/>
        <v/>
      </c>
      <c r="AF366" s="125" t="str">
        <f t="shared" si="132"/>
        <v>COMMENT ON COLUMN TB_ATCH_FILE.ATCH_FILE_SN IS '첨부 파일 일련번호' ;</v>
      </c>
      <c r="AG366" s="125" t="str">
        <f t="shared" si="127"/>
        <v>ALTER TABLE TB_ATCH_FILE ALTER COLUMN ATCH_FILE_SN TYPE INTEGER;</v>
      </c>
      <c r="AH366" s="125" t="str">
        <f t="shared" si="128"/>
        <v>ALTER TABLE TB_ATCH_FILE ADD COLUMN ATCH_FILE_SN INTEGER NOT NULL;</v>
      </c>
      <c r="AI366" s="125" t="str">
        <f t="shared" si="129"/>
        <v>ALTER TABLE TB_ATCH_FILE DROP COLUMN ATCH_FILE_SN;</v>
      </c>
    </row>
    <row r="367" spans="2:35" ht="20.100000000000001" customHeight="1">
      <c r="B367" s="55">
        <v>362</v>
      </c>
      <c r="C367" s="26" t="s">
        <v>7</v>
      </c>
      <c r="D367" s="26" t="s">
        <v>19</v>
      </c>
      <c r="E367" s="10" t="s">
        <v>364</v>
      </c>
      <c r="F367" s="10" t="s">
        <v>118</v>
      </c>
      <c r="G367" s="87">
        <v>2</v>
      </c>
      <c r="H367" s="97" t="s">
        <v>92</v>
      </c>
      <c r="I367" s="96" t="s">
        <v>78</v>
      </c>
      <c r="J367" s="73" t="s">
        <v>72</v>
      </c>
      <c r="K367" s="85"/>
      <c r="L367" s="85"/>
      <c r="M367" s="85"/>
      <c r="N367" s="85"/>
      <c r="O367" s="85"/>
      <c r="P367" s="85"/>
      <c r="Q367" s="51" t="s">
        <v>706</v>
      </c>
      <c r="R367" s="119"/>
      <c r="S367" s="80"/>
      <c r="T367" s="107" t="s">
        <v>217</v>
      </c>
      <c r="U367" s="123"/>
      <c r="V367" s="123"/>
      <c r="W367" s="104"/>
      <c r="X367" s="85"/>
      <c r="Y367" s="123"/>
      <c r="Z367" s="130" t="str">
        <f t="shared" si="130"/>
        <v>/* 테이블 : 파일첨부 */ CREATE TABLE TB_ATCH_FILE (</v>
      </c>
      <c r="AA367" s="125" t="str">
        <f t="shared" si="134"/>
        <v>REG_DT TIMESTAMP NOT NULL,</v>
      </c>
      <c r="AB367" s="125" t="str">
        <f t="shared" si="116"/>
        <v/>
      </c>
      <c r="AC367" s="125" t="str">
        <f t="shared" si="117"/>
        <v/>
      </c>
      <c r="AD367" s="125" t="str">
        <f t="shared" si="133"/>
        <v/>
      </c>
      <c r="AE367" s="125" t="str">
        <f t="shared" si="131"/>
        <v/>
      </c>
      <c r="AF367" s="125" t="str">
        <f t="shared" si="132"/>
        <v>COMMENT ON COLUMN TB_ATCH_FILE.REG_DT IS '등록 일시' ;</v>
      </c>
      <c r="AG367" s="125" t="str">
        <f t="shared" si="127"/>
        <v>ALTER TABLE TB_ATCH_FILE ALTER COLUMN REG_DT TYPE TIMESTAMP;</v>
      </c>
      <c r="AH367" s="125" t="str">
        <f t="shared" si="128"/>
        <v>ALTER TABLE TB_ATCH_FILE ADD COLUMN REG_DT TIMESTAMP NOT NULL;</v>
      </c>
      <c r="AI367" s="125" t="str">
        <f t="shared" si="129"/>
        <v>ALTER TABLE TB_ATCH_FILE DROP COLUMN REG_DT;</v>
      </c>
    </row>
    <row r="368" spans="2:35" ht="20.100000000000001" customHeight="1">
      <c r="B368" s="55">
        <v>363</v>
      </c>
      <c r="C368" s="26" t="s">
        <v>7</v>
      </c>
      <c r="D368" s="26" t="s">
        <v>19</v>
      </c>
      <c r="E368" s="10" t="s">
        <v>364</v>
      </c>
      <c r="F368" s="10" t="s">
        <v>118</v>
      </c>
      <c r="G368" s="87">
        <v>3</v>
      </c>
      <c r="H368" s="97" t="s">
        <v>96</v>
      </c>
      <c r="I368" s="97" t="s">
        <v>82</v>
      </c>
      <c r="J368" s="73" t="s">
        <v>72</v>
      </c>
      <c r="K368" s="61"/>
      <c r="L368" s="61"/>
      <c r="M368" s="61"/>
      <c r="N368" s="61"/>
      <c r="O368" s="61"/>
      <c r="P368" s="61"/>
      <c r="Q368" s="51" t="s">
        <v>804</v>
      </c>
      <c r="R368" s="119" t="s">
        <v>522</v>
      </c>
      <c r="S368" s="82" t="s">
        <v>803</v>
      </c>
      <c r="T368" s="107" t="s">
        <v>213</v>
      </c>
      <c r="U368" s="123"/>
      <c r="V368" s="123"/>
      <c r="W368" s="104"/>
      <c r="X368" s="85"/>
      <c r="Y368" s="123"/>
      <c r="Z368" s="130" t="str">
        <f t="shared" si="130"/>
        <v>/* 테이블 : 파일첨부 */ CREATE TABLE TB_ATCH_FILE (</v>
      </c>
      <c r="AA368" s="125" t="str">
        <f t="shared" si="134"/>
        <v>DEL_YN BPCHAR(1) NOT NULL,</v>
      </c>
      <c r="AB368" s="125" t="str">
        <f t="shared" si="116"/>
        <v/>
      </c>
      <c r="AC368" s="125" t="str">
        <f t="shared" si="117"/>
        <v/>
      </c>
      <c r="AD368" s="125" t="str">
        <f t="shared" si="133"/>
        <v/>
      </c>
      <c r="AE368" s="125" t="str">
        <f t="shared" si="131"/>
        <v>ALTER TABLE TB_ATCH_FILE ALTER COLUMN DEL_YN SET DEFAULT 'N'::bpchar;</v>
      </c>
      <c r="AF368" s="125" t="str">
        <f t="shared" si="132"/>
        <v>COMMENT ON COLUMN TB_ATCH_FILE.DEL_YN IS '삭제 여부' ;</v>
      </c>
      <c r="AG368" s="125" t="str">
        <f t="shared" si="127"/>
        <v>ALTER TABLE TB_ATCH_FILE ALTER COLUMN DEL_YN TYPE BPCHAR(1);</v>
      </c>
      <c r="AH368" s="125" t="str">
        <f t="shared" si="128"/>
        <v>ALTER TABLE TB_ATCH_FILE ADD COLUMN DEL_YN BPCHAR(1) NOT NULL DEFAULT ''N'::bpchar';</v>
      </c>
      <c r="AI368" s="125" t="str">
        <f t="shared" si="129"/>
        <v>ALTER TABLE TB_ATCH_FILE DROP COLUMN DEL_YN;</v>
      </c>
    </row>
    <row r="369" spans="2:35" ht="20.100000000000001" customHeight="1">
      <c r="B369" s="55">
        <v>364</v>
      </c>
      <c r="C369" s="26" t="s">
        <v>7</v>
      </c>
      <c r="D369" s="26" t="s">
        <v>19</v>
      </c>
      <c r="E369" s="10" t="s">
        <v>371</v>
      </c>
      <c r="F369" s="10" t="s">
        <v>372</v>
      </c>
      <c r="G369" s="87">
        <v>1</v>
      </c>
      <c r="H369" s="104" t="s">
        <v>365</v>
      </c>
      <c r="I369" s="104" t="s">
        <v>367</v>
      </c>
      <c r="J369" s="85" t="s">
        <v>373</v>
      </c>
      <c r="K369" s="85">
        <v>1</v>
      </c>
      <c r="L369" s="85">
        <v>1</v>
      </c>
      <c r="M369" s="10" t="s">
        <v>364</v>
      </c>
      <c r="N369" s="96" t="s">
        <v>365</v>
      </c>
      <c r="O369" s="96" t="s">
        <v>539</v>
      </c>
      <c r="P369" s="96" t="s">
        <v>540</v>
      </c>
      <c r="Q369" s="51" t="s">
        <v>229</v>
      </c>
      <c r="R369" s="117"/>
      <c r="S369" s="45"/>
      <c r="T369" s="101" t="s">
        <v>369</v>
      </c>
      <c r="U369" s="125"/>
      <c r="V369" s="125"/>
      <c r="W369" s="104"/>
      <c r="X369" s="85"/>
      <c r="Y369" s="123"/>
      <c r="Z369" s="130" t="str">
        <f t="shared" si="130"/>
        <v>/* 테이블 : 첨부파일상세 */ CREATE TABLE TB_ATCH_FILE_DETAIL (</v>
      </c>
      <c r="AA369" s="125" t="str">
        <f t="shared" si="134"/>
        <v>ATCH_FILE_SN INTEGER PRIMARY KEY,</v>
      </c>
      <c r="AB369" s="125" t="str">
        <f t="shared" si="116"/>
        <v>ALTER TABLE TB_ATCH_FILE_DETAIL ADD CONSTRAINT TB_ATCH_FILE_DETAIL_FKEY1 FOREIGN KEY(ATCH_FILE_SN) REFERENCES TB_ATCH_FILE(ATCH_FILE_SN) ON UPDATE CASCADE ON DELETE SET NULL;</v>
      </c>
      <c r="AC369" s="125" t="str">
        <f t="shared" si="117"/>
        <v/>
      </c>
      <c r="AD369" s="125" t="str">
        <f t="shared" si="133"/>
        <v/>
      </c>
      <c r="AE369" s="125" t="str">
        <f t="shared" si="131"/>
        <v/>
      </c>
      <c r="AF369" s="125" t="str">
        <f t="shared" si="132"/>
        <v>COMMENT ON COLUMN TB_ATCH_FILE_DETAIL.ATCH_FILE_SN IS '첨부 파일 일련번호' ;</v>
      </c>
      <c r="AG369" s="125" t="str">
        <f t="shared" ref="AG369:AG433" si="135">"ALTER TABLE "&amp;$E369&amp;" ALTER COLUMN "&amp;$H369&amp;" TYPE "&amp;$Q369&amp;IF(ISBLANK(R369),"",R369)&amp;";"</f>
        <v>ALTER TABLE TB_ATCH_FILE_DETAIL ALTER COLUMN ATCH_FILE_SN TYPE INTEGER;</v>
      </c>
      <c r="AH369" s="125" t="str">
        <f t="shared" ref="AH369:AH432" si="136">"ALTER TABLE "&amp;$E369&amp;" ADD COLUMN "&amp;$H369&amp;" "&amp;$Q369&amp;IF(ISBLANK(R369),"",$R369)&amp;IF(ISBLANK($J369),""," NOT NULL")&amp;IF(ISBLANK($S369),""," DEFAULT '" &amp; $S369 &amp; "'") &amp; ";"</f>
        <v>ALTER TABLE TB_ATCH_FILE_DETAIL ADD COLUMN ATCH_FILE_SN INTEGER NOT NULL;</v>
      </c>
      <c r="AI369" s="125" t="str">
        <f t="shared" ref="AI369:AI433" si="137">"ALTER TABLE "&amp;$E369&amp;" DROP COLUMN "&amp;$H369&amp;";"</f>
        <v>ALTER TABLE TB_ATCH_FILE_DETAIL DROP COLUMN ATCH_FILE_SN;</v>
      </c>
    </row>
    <row r="370" spans="2:35" ht="20.100000000000001" customHeight="1">
      <c r="B370" s="135">
        <v>365</v>
      </c>
      <c r="C370" s="26" t="s">
        <v>7</v>
      </c>
      <c r="D370" s="26" t="s">
        <v>19</v>
      </c>
      <c r="E370" s="10" t="s">
        <v>371</v>
      </c>
      <c r="F370" s="10" t="s">
        <v>372</v>
      </c>
      <c r="G370" s="87">
        <v>2</v>
      </c>
      <c r="H370" s="104" t="s">
        <v>387</v>
      </c>
      <c r="I370" s="104" t="s">
        <v>374</v>
      </c>
      <c r="J370" s="85" t="s">
        <v>373</v>
      </c>
      <c r="K370" s="85">
        <v>2</v>
      </c>
      <c r="L370" s="85"/>
      <c r="M370" s="85"/>
      <c r="N370" s="85"/>
      <c r="O370" s="85"/>
      <c r="P370" s="85"/>
      <c r="Q370" s="104" t="s">
        <v>229</v>
      </c>
      <c r="R370" s="47"/>
      <c r="S370" s="85"/>
      <c r="T370" s="104" t="s">
        <v>388</v>
      </c>
      <c r="U370" s="125"/>
      <c r="V370" s="125"/>
      <c r="W370" s="104"/>
      <c r="X370" s="85"/>
      <c r="Y370" s="123"/>
      <c r="Z370" s="130" t="str">
        <f t="shared" si="130"/>
        <v>/* 테이블 : 첨부파일상세 */ CREATE TABLE TB_ATCH_FILE_DETAIL (</v>
      </c>
      <c r="AA370" s="125" t="str">
        <f t="shared" si="134"/>
        <v>FILE_SEQ INTEGER PRIMARY KEY,</v>
      </c>
      <c r="AB370" s="125" t="str">
        <f t="shared" si="116"/>
        <v/>
      </c>
      <c r="AC370" s="125" t="str">
        <f t="shared" si="117"/>
        <v/>
      </c>
      <c r="AD370" s="125" t="str">
        <f t="shared" si="133"/>
        <v/>
      </c>
      <c r="AE370" s="125" t="str">
        <f t="shared" si="131"/>
        <v/>
      </c>
      <c r="AF370" s="125" t="str">
        <f t="shared" si="132"/>
        <v>COMMENT ON COLUMN TB_ATCH_FILE_DETAIL.FILE_SEQ IS '파일 순번' ;</v>
      </c>
      <c r="AG370" s="125" t="str">
        <f t="shared" si="135"/>
        <v>ALTER TABLE TB_ATCH_FILE_DETAIL ALTER COLUMN FILE_SEQ TYPE INTEGER;</v>
      </c>
      <c r="AH370" s="125" t="str">
        <f t="shared" si="136"/>
        <v>ALTER TABLE TB_ATCH_FILE_DETAIL ADD COLUMN FILE_SEQ INTEGER NOT NULL;</v>
      </c>
      <c r="AI370" s="125" t="str">
        <f t="shared" si="137"/>
        <v>ALTER TABLE TB_ATCH_FILE_DETAIL DROP COLUMN FILE_SEQ;</v>
      </c>
    </row>
    <row r="371" spans="2:35" ht="20.100000000000001" customHeight="1">
      <c r="B371" s="55">
        <v>366</v>
      </c>
      <c r="C371" s="26" t="s">
        <v>7</v>
      </c>
      <c r="D371" s="26" t="s">
        <v>19</v>
      </c>
      <c r="E371" s="10" t="s">
        <v>371</v>
      </c>
      <c r="F371" s="10" t="s">
        <v>372</v>
      </c>
      <c r="G371" s="87">
        <v>3</v>
      </c>
      <c r="H371" s="104" t="s">
        <v>380</v>
      </c>
      <c r="I371" s="104" t="s">
        <v>375</v>
      </c>
      <c r="J371" s="85" t="s">
        <v>373</v>
      </c>
      <c r="K371" s="85"/>
      <c r="L371" s="85"/>
      <c r="M371" s="85"/>
      <c r="N371" s="85"/>
      <c r="O371" s="85"/>
      <c r="P371" s="85"/>
      <c r="Q371" s="104" t="s">
        <v>395</v>
      </c>
      <c r="R371" s="119" t="s">
        <v>530</v>
      </c>
      <c r="S371" s="85"/>
      <c r="T371" s="104" t="s">
        <v>389</v>
      </c>
      <c r="U371" s="123"/>
      <c r="V371" s="123"/>
      <c r="W371" s="104"/>
      <c r="X371" s="85"/>
      <c r="Y371" s="123"/>
      <c r="Z371" s="130" t="str">
        <f t="shared" si="130"/>
        <v>/* 테이블 : 첨부파일상세 */ CREATE TABLE TB_ATCH_FILE_DETAIL (</v>
      </c>
      <c r="AA371" s="125" t="str">
        <f t="shared" si="134"/>
        <v>FILE_STRE_PATH VARCHAR(2000) NOT NULL,</v>
      </c>
      <c r="AB371" s="125" t="str">
        <f t="shared" si="116"/>
        <v/>
      </c>
      <c r="AC371" s="125" t="str">
        <f t="shared" si="117"/>
        <v/>
      </c>
      <c r="AD371" s="125" t="str">
        <f t="shared" si="133"/>
        <v/>
      </c>
      <c r="AE371" s="125" t="str">
        <f t="shared" si="131"/>
        <v/>
      </c>
      <c r="AF371" s="125" t="str">
        <f t="shared" si="132"/>
        <v>COMMENT ON COLUMN TB_ATCH_FILE_DETAIL.FILE_STRE_PATH IS '파일 저장 경로' ;</v>
      </c>
      <c r="AG371" s="125" t="str">
        <f t="shared" si="135"/>
        <v>ALTER TABLE TB_ATCH_FILE_DETAIL ALTER COLUMN FILE_STRE_PATH TYPE VARCHAR(2000);</v>
      </c>
      <c r="AH371" s="125" t="str">
        <f t="shared" si="136"/>
        <v>ALTER TABLE TB_ATCH_FILE_DETAIL ADD COLUMN FILE_STRE_PATH VARCHAR(2000) NOT NULL;</v>
      </c>
      <c r="AI371" s="125" t="str">
        <f t="shared" si="137"/>
        <v>ALTER TABLE TB_ATCH_FILE_DETAIL DROP COLUMN FILE_STRE_PATH;</v>
      </c>
    </row>
    <row r="372" spans="2:35" ht="20.100000000000001" customHeight="1">
      <c r="B372" s="55">
        <v>367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4</v>
      </c>
      <c r="H372" s="104" t="s">
        <v>381</v>
      </c>
      <c r="I372" s="104" t="s">
        <v>382</v>
      </c>
      <c r="J372" s="85" t="s">
        <v>373</v>
      </c>
      <c r="K372" s="85"/>
      <c r="L372" s="85"/>
      <c r="M372" s="85"/>
      <c r="N372" s="85"/>
      <c r="O372" s="85"/>
      <c r="P372" s="85"/>
      <c r="Q372" s="104" t="s">
        <v>395</v>
      </c>
      <c r="R372" s="119" t="s">
        <v>528</v>
      </c>
      <c r="S372" s="85"/>
      <c r="T372" s="104" t="s">
        <v>390</v>
      </c>
      <c r="U372" s="123"/>
      <c r="V372" s="123"/>
      <c r="W372" s="104"/>
      <c r="X372" s="85"/>
      <c r="Y372" s="123"/>
      <c r="Z372" s="130" t="str">
        <f t="shared" si="130"/>
        <v>/* 테이블 : 첨부파일상세 */ CREATE TABLE TB_ATCH_FILE_DETAIL (</v>
      </c>
      <c r="AA372" s="125" t="str">
        <f t="shared" si="134"/>
        <v>STRE_FILE_NM VARCHAR(255) NOT NULL,</v>
      </c>
      <c r="AB372" s="125" t="str">
        <f t="shared" si="116"/>
        <v/>
      </c>
      <c r="AC372" s="125" t="str">
        <f t="shared" si="117"/>
        <v/>
      </c>
      <c r="AD372" s="125" t="str">
        <f t="shared" si="133"/>
        <v/>
      </c>
      <c r="AE372" s="125" t="str">
        <f t="shared" si="131"/>
        <v/>
      </c>
      <c r="AF372" s="125" t="str">
        <f t="shared" si="132"/>
        <v>COMMENT ON COLUMN TB_ATCH_FILE_DETAIL.STRE_FILE_NM IS '저장 파일 이름' ;</v>
      </c>
      <c r="AG372" s="125" t="str">
        <f t="shared" si="135"/>
        <v>ALTER TABLE TB_ATCH_FILE_DETAIL ALTER COLUMN STRE_FILE_NM TYPE VARCHAR(255);</v>
      </c>
      <c r="AH372" s="125" t="str">
        <f t="shared" si="136"/>
        <v>ALTER TABLE TB_ATCH_FILE_DETAIL ADD COLUMN STRE_FILE_NM VARCHAR(255) NOT NULL;</v>
      </c>
      <c r="AI372" s="125" t="str">
        <f t="shared" si="137"/>
        <v>ALTER TABLE TB_ATCH_FILE_DETAIL DROP COLUMN STRE_FILE_NM;</v>
      </c>
    </row>
    <row r="373" spans="2:35" ht="20.100000000000001" customHeight="1">
      <c r="B373" s="55">
        <v>368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5</v>
      </c>
      <c r="H373" s="104" t="s">
        <v>383</v>
      </c>
      <c r="I373" s="104" t="s">
        <v>376</v>
      </c>
      <c r="J373" s="85" t="s">
        <v>373</v>
      </c>
      <c r="K373" s="85"/>
      <c r="L373" s="85"/>
      <c r="M373" s="85"/>
      <c r="N373" s="85"/>
      <c r="O373" s="85"/>
      <c r="P373" s="85"/>
      <c r="Q373" s="104" t="s">
        <v>395</v>
      </c>
      <c r="R373" s="119" t="s">
        <v>528</v>
      </c>
      <c r="S373" s="85"/>
      <c r="T373" s="104" t="s">
        <v>391</v>
      </c>
      <c r="U373" s="123"/>
      <c r="V373" s="123"/>
      <c r="W373" s="104"/>
      <c r="X373" s="85"/>
      <c r="Y373" s="123"/>
      <c r="Z373" s="130" t="str">
        <f t="shared" si="130"/>
        <v>/* 테이블 : 첨부파일상세 */ CREATE TABLE TB_ATCH_FILE_DETAIL (</v>
      </c>
      <c r="AA373" s="125" t="str">
        <f t="shared" si="134"/>
        <v>ORIGNL_FILE_NM VARCHAR(255) NOT NULL,</v>
      </c>
      <c r="AB373" s="125" t="str">
        <f t="shared" si="116"/>
        <v/>
      </c>
      <c r="AC373" s="125" t="str">
        <f t="shared" si="117"/>
        <v/>
      </c>
      <c r="AD373" s="125" t="str">
        <f t="shared" si="133"/>
        <v/>
      </c>
      <c r="AE373" s="125" t="str">
        <f t="shared" si="131"/>
        <v/>
      </c>
      <c r="AF373" s="125" t="str">
        <f t="shared" si="132"/>
        <v>COMMENT ON COLUMN TB_ATCH_FILE_DETAIL.ORIGNL_FILE_NM IS '원 파일 이름' ;</v>
      </c>
      <c r="AG373" s="125" t="str">
        <f t="shared" si="135"/>
        <v>ALTER TABLE TB_ATCH_FILE_DETAIL ALTER COLUMN ORIGNL_FILE_NM TYPE VARCHAR(255);</v>
      </c>
      <c r="AH373" s="125" t="str">
        <f t="shared" si="136"/>
        <v>ALTER TABLE TB_ATCH_FILE_DETAIL ADD COLUMN ORIGNL_FILE_NM VARCHAR(255) NOT NULL;</v>
      </c>
      <c r="AI373" s="125" t="str">
        <f t="shared" si="137"/>
        <v>ALTER TABLE TB_ATCH_FILE_DETAIL DROP COLUMN ORIGNL_FILE_NM;</v>
      </c>
    </row>
    <row r="374" spans="2:35" ht="20.100000000000001" customHeight="1">
      <c r="B374" s="135">
        <v>369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6</v>
      </c>
      <c r="H374" s="104" t="s">
        <v>384</v>
      </c>
      <c r="I374" s="104" t="s">
        <v>377</v>
      </c>
      <c r="J374" s="85" t="s">
        <v>373</v>
      </c>
      <c r="K374" s="85"/>
      <c r="L374" s="85"/>
      <c r="M374" s="85"/>
      <c r="N374" s="85"/>
      <c r="O374" s="85"/>
      <c r="P374" s="85"/>
      <c r="Q374" s="104" t="s">
        <v>395</v>
      </c>
      <c r="R374" s="119" t="s">
        <v>525</v>
      </c>
      <c r="S374" s="85"/>
      <c r="T374" s="104" t="s">
        <v>392</v>
      </c>
      <c r="U374" s="123"/>
      <c r="V374" s="123"/>
      <c r="W374" s="104"/>
      <c r="X374" s="85"/>
      <c r="Y374" s="123"/>
      <c r="Z374" s="130" t="str">
        <f t="shared" si="130"/>
        <v>/* 테이블 : 첨부파일상세 */ CREATE TABLE TB_ATCH_FILE_DETAIL (</v>
      </c>
      <c r="AA374" s="125" t="str">
        <f t="shared" si="134"/>
        <v>FILE_EXTSN VARCHAR(20) NOT NULL,</v>
      </c>
      <c r="AB374" s="125" t="str">
        <f t="shared" ref="AB374:AB438" si="138">IF(ISBLANK(L374),"","ALTER TABLE " &amp; E374 &amp; " ADD CONSTRAINT " &amp; E374 &amp; "_FKEY" &amp; L374 &amp;  " FOREIGN KEY(" &amp;H374 &amp; ") REFERENCES " &amp; M374 &amp; "(" &amp; N374 &amp; ") "&amp;O374&amp;" "&amp;P374&amp;";")</f>
        <v/>
      </c>
      <c r="AC374" s="125" t="str">
        <f t="shared" ref="AC374:AC438" si="139">IF(ISBLANK(U374),"","CREATE SEQUENCE "&amp;U374&amp;" START 100000;")</f>
        <v/>
      </c>
      <c r="AD374" s="125" t="str">
        <f t="shared" si="133"/>
        <v/>
      </c>
      <c r="AE374" s="125" t="str">
        <f t="shared" si="131"/>
        <v/>
      </c>
      <c r="AF374" s="125" t="str">
        <f t="shared" si="132"/>
        <v>COMMENT ON COLUMN TB_ATCH_FILE_DETAIL.FILE_EXTSN IS '파일 확장자' ;</v>
      </c>
      <c r="AG374" s="125" t="str">
        <f t="shared" si="135"/>
        <v>ALTER TABLE TB_ATCH_FILE_DETAIL ALTER COLUMN FILE_EXTSN TYPE VARCHAR(20);</v>
      </c>
      <c r="AH374" s="125" t="str">
        <f t="shared" si="136"/>
        <v>ALTER TABLE TB_ATCH_FILE_DETAIL ADD COLUMN FILE_EXTSN VARCHAR(20) NOT NULL;</v>
      </c>
      <c r="AI374" s="125" t="str">
        <f t="shared" si="137"/>
        <v>ALTER TABLE TB_ATCH_FILE_DETAIL DROP COLUMN FILE_EXTSN;</v>
      </c>
    </row>
    <row r="375" spans="2:35" ht="20.100000000000001" customHeight="1">
      <c r="B375" s="55">
        <v>370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7</v>
      </c>
      <c r="H375" s="104" t="s">
        <v>385</v>
      </c>
      <c r="I375" s="104" t="s">
        <v>378</v>
      </c>
      <c r="J375" s="85"/>
      <c r="K375" s="85"/>
      <c r="L375" s="85"/>
      <c r="M375" s="85"/>
      <c r="N375" s="85"/>
      <c r="O375" s="85"/>
      <c r="P375" s="85"/>
      <c r="Q375" s="104" t="s">
        <v>396</v>
      </c>
      <c r="R375" s="87"/>
      <c r="S375" s="85"/>
      <c r="T375" s="104" t="s">
        <v>393</v>
      </c>
      <c r="U375" s="123"/>
      <c r="V375" s="123"/>
      <c r="W375" s="104"/>
      <c r="X375" s="85"/>
      <c r="Y375" s="123"/>
      <c r="Z375" s="130" t="str">
        <f t="shared" si="130"/>
        <v>/* 테이블 : 첨부파일상세 */ CREATE TABLE TB_ATCH_FILE_DETAIL (</v>
      </c>
      <c r="AA375" s="125" t="str">
        <f t="shared" si="134"/>
        <v>FILE_CN TEXT,</v>
      </c>
      <c r="AB375" s="125" t="str">
        <f t="shared" si="138"/>
        <v/>
      </c>
      <c r="AC375" s="125" t="str">
        <f t="shared" si="139"/>
        <v/>
      </c>
      <c r="AD375" s="125" t="str">
        <f t="shared" si="133"/>
        <v/>
      </c>
      <c r="AE375" s="125" t="str">
        <f t="shared" si="131"/>
        <v/>
      </c>
      <c r="AF375" s="125" t="str">
        <f t="shared" si="132"/>
        <v>COMMENT ON COLUMN TB_ATCH_FILE_DETAIL.FILE_CN IS '파일 내용' ;</v>
      </c>
      <c r="AG375" s="125" t="str">
        <f t="shared" si="135"/>
        <v>ALTER TABLE TB_ATCH_FILE_DETAIL ALTER COLUMN FILE_CN TYPE TEXT;</v>
      </c>
      <c r="AH375" s="125" t="str">
        <f t="shared" si="136"/>
        <v>ALTER TABLE TB_ATCH_FILE_DETAIL ADD COLUMN FILE_CN TEXT;</v>
      </c>
      <c r="AI375" s="125" t="str">
        <f t="shared" si="137"/>
        <v>ALTER TABLE TB_ATCH_FILE_DETAIL DROP COLUMN FILE_CN;</v>
      </c>
    </row>
    <row r="376" spans="2:35" ht="20.100000000000001" customHeight="1">
      <c r="B376" s="55">
        <v>371</v>
      </c>
      <c r="C376" s="26" t="s">
        <v>7</v>
      </c>
      <c r="D376" s="26" t="s">
        <v>19</v>
      </c>
      <c r="E376" s="10" t="s">
        <v>371</v>
      </c>
      <c r="F376" s="10" t="s">
        <v>372</v>
      </c>
      <c r="G376" s="87">
        <v>8</v>
      </c>
      <c r="H376" s="104" t="s">
        <v>386</v>
      </c>
      <c r="I376" s="104" t="s">
        <v>379</v>
      </c>
      <c r="J376" s="85" t="s">
        <v>373</v>
      </c>
      <c r="K376" s="85"/>
      <c r="L376" s="85"/>
      <c r="M376" s="85"/>
      <c r="N376" s="85"/>
      <c r="O376" s="85"/>
      <c r="P376" s="85"/>
      <c r="Q376" s="104" t="s">
        <v>173</v>
      </c>
      <c r="R376" s="47" t="s">
        <v>193</v>
      </c>
      <c r="S376" s="85"/>
      <c r="T376" s="104" t="s">
        <v>394</v>
      </c>
      <c r="U376" s="123"/>
      <c r="V376" s="123"/>
      <c r="W376" s="104"/>
      <c r="X376" s="85"/>
      <c r="Y376" s="123"/>
      <c r="Z376" s="130" t="str">
        <f t="shared" si="130"/>
        <v>/* 테이블 : 첨부파일상세 */ CREATE TABLE TB_ATCH_FILE_DETAIL (</v>
      </c>
      <c r="AA376" s="125" t="str">
        <f t="shared" si="134"/>
        <v>FILE_SIZE NUMERIC(10,3) NOT NULL,</v>
      </c>
      <c r="AB376" s="125" t="str">
        <f t="shared" si="138"/>
        <v/>
      </c>
      <c r="AC376" s="125" t="str">
        <f t="shared" si="139"/>
        <v/>
      </c>
      <c r="AD376" s="125" t="str">
        <f t="shared" si="133"/>
        <v/>
      </c>
      <c r="AE376" s="125" t="str">
        <f t="shared" si="131"/>
        <v/>
      </c>
      <c r="AF376" s="125" t="str">
        <f t="shared" si="132"/>
        <v>COMMENT ON COLUMN TB_ATCH_FILE_DETAIL.FILE_SIZE IS '파일 크기' ;</v>
      </c>
      <c r="AG376" s="125" t="str">
        <f t="shared" si="135"/>
        <v>ALTER TABLE TB_ATCH_FILE_DETAIL ALTER COLUMN FILE_SIZE TYPE NUMERIC(10,3);</v>
      </c>
      <c r="AH376" s="125" t="str">
        <f t="shared" si="136"/>
        <v>ALTER TABLE TB_ATCH_FILE_DETAIL ADD COLUMN FILE_SIZE NUMERIC(10,3) NOT NULL;</v>
      </c>
      <c r="AI376" s="125" t="str">
        <f t="shared" si="137"/>
        <v>ALTER TABLE TB_ATCH_FILE_DETAIL DROP COLUMN FILE_SIZE;</v>
      </c>
    </row>
    <row r="377" spans="2:35" ht="20.100000000000001" customHeight="1">
      <c r="B377" s="55">
        <v>372</v>
      </c>
      <c r="C377" s="26" t="s">
        <v>7</v>
      </c>
      <c r="D377" s="26" t="s">
        <v>19</v>
      </c>
      <c r="E377" s="10" t="s">
        <v>40</v>
      </c>
      <c r="F377" s="10" t="s">
        <v>41</v>
      </c>
      <c r="G377" s="87">
        <v>1</v>
      </c>
      <c r="H377" s="104" t="s">
        <v>401</v>
      </c>
      <c r="I377" s="104" t="s">
        <v>397</v>
      </c>
      <c r="J377" s="85" t="s">
        <v>418</v>
      </c>
      <c r="K377" s="85">
        <v>1</v>
      </c>
      <c r="L377" s="85"/>
      <c r="M377" s="85"/>
      <c r="N377" s="85"/>
      <c r="O377" s="85"/>
      <c r="P377" s="85"/>
      <c r="Q377" s="104" t="s">
        <v>419</v>
      </c>
      <c r="R377" s="87"/>
      <c r="S377" s="85"/>
      <c r="T377" s="104" t="s">
        <v>476</v>
      </c>
      <c r="U377" s="125" t="str">
        <f>"SEQ_"&amp;E377&amp;"_SN"</f>
        <v>SEQ_TB_MENU_SN</v>
      </c>
      <c r="V377" s="125"/>
      <c r="W377" s="104"/>
      <c r="X377" s="85"/>
      <c r="Y377" s="123"/>
      <c r="Z377" s="130" t="str">
        <f t="shared" si="130"/>
        <v>/* 테이블 : 메뉴 */ CREATE TABLE TB_MENU (</v>
      </c>
      <c r="AA377" s="125" t="str">
        <f t="shared" si="134"/>
        <v>MENU_SN INTEGER PRIMARY KEY,</v>
      </c>
      <c r="AB377" s="125" t="str">
        <f t="shared" si="138"/>
        <v/>
      </c>
      <c r="AC377" s="125" t="str">
        <f t="shared" si="139"/>
        <v>CREATE SEQUENCE SEQ_TB_MENU_SN START 100000;</v>
      </c>
      <c r="AD377" s="125" t="str">
        <f t="shared" si="133"/>
        <v>ALTER TABLE TB_MENU ALTER COLUMN MENU_SN SET DEFAULT NEXTVAL('SEQ_TB_MENU_SN');</v>
      </c>
      <c r="AE377" s="125" t="str">
        <f t="shared" si="131"/>
        <v/>
      </c>
      <c r="AF377" s="125" t="str">
        <f t="shared" si="132"/>
        <v>COMMENT ON COLUMN TB_MENU.MENU_SN IS '메뉴 일련번호' ;</v>
      </c>
      <c r="AG377" s="125" t="str">
        <f t="shared" si="135"/>
        <v>ALTER TABLE TB_MENU ALTER COLUMN MENU_SN TYPE INTEGER;</v>
      </c>
      <c r="AH377" s="125" t="str">
        <f t="shared" si="136"/>
        <v>ALTER TABLE TB_MENU ADD COLUMN MENU_SN INTEGER NOT NULL;</v>
      </c>
      <c r="AI377" s="125" t="str">
        <f t="shared" si="137"/>
        <v>ALTER TABLE TB_MENU DROP COLUMN MENU_SN;</v>
      </c>
    </row>
    <row r="378" spans="2:35" ht="20.100000000000001" customHeight="1">
      <c r="B378" s="135">
        <v>373</v>
      </c>
      <c r="C378" s="26" t="s">
        <v>7</v>
      </c>
      <c r="D378" s="26" t="s">
        <v>19</v>
      </c>
      <c r="E378" s="10" t="s">
        <v>40</v>
      </c>
      <c r="F378" s="10" t="s">
        <v>41</v>
      </c>
      <c r="G378" s="87">
        <v>2</v>
      </c>
      <c r="H378" s="104" t="s">
        <v>402</v>
      </c>
      <c r="I378" s="104" t="s">
        <v>398</v>
      </c>
      <c r="J378" s="85"/>
      <c r="K378" s="85"/>
      <c r="L378" s="85"/>
      <c r="M378" s="85"/>
      <c r="N378" s="85"/>
      <c r="O378" s="85"/>
      <c r="P378" s="85"/>
      <c r="Q378" s="104" t="s">
        <v>419</v>
      </c>
      <c r="R378" s="87"/>
      <c r="S378" s="85"/>
      <c r="T378" s="104" t="s">
        <v>471</v>
      </c>
      <c r="U378" s="125"/>
      <c r="V378" s="123"/>
      <c r="W378" s="104"/>
      <c r="X378" s="85"/>
      <c r="Y378" s="123"/>
      <c r="Z378" s="130" t="str">
        <f t="shared" si="130"/>
        <v>/* 테이블 : 메뉴 */ CREATE TABLE TB_MENU (</v>
      </c>
      <c r="AA378" s="125" t="str">
        <f t="shared" si="134"/>
        <v>UPPER_MENU_SN INTEGER,</v>
      </c>
      <c r="AB378" s="125" t="str">
        <f t="shared" si="138"/>
        <v/>
      </c>
      <c r="AC378" s="125" t="str">
        <f t="shared" si="139"/>
        <v/>
      </c>
      <c r="AD378" s="125" t="str">
        <f t="shared" si="133"/>
        <v/>
      </c>
      <c r="AE378" s="125" t="str">
        <f t="shared" si="131"/>
        <v/>
      </c>
      <c r="AF378" s="125" t="str">
        <f t="shared" si="132"/>
        <v>COMMENT ON COLUMN TB_MENU.UPPER_MENU_SN IS '상위 메뉴 일련번호' ;</v>
      </c>
      <c r="AG378" s="125" t="str">
        <f t="shared" si="135"/>
        <v>ALTER TABLE TB_MENU ALTER COLUMN UPPER_MENU_SN TYPE INTEGER;</v>
      </c>
      <c r="AH378" s="125" t="str">
        <f t="shared" si="136"/>
        <v>ALTER TABLE TB_MENU ADD COLUMN UPPER_MENU_SN INTEGER;</v>
      </c>
      <c r="AI378" s="125" t="str">
        <f t="shared" si="137"/>
        <v>ALTER TABLE TB_MENU DROP COLUMN UPPER_MENU_SN;</v>
      </c>
    </row>
    <row r="379" spans="2:35" ht="20.100000000000001" customHeight="1">
      <c r="B379" s="55">
        <v>374</v>
      </c>
      <c r="C379" s="26" t="s">
        <v>7</v>
      </c>
      <c r="D379" s="26" t="s">
        <v>19</v>
      </c>
      <c r="E379" s="10" t="s">
        <v>40</v>
      </c>
      <c r="F379" s="10" t="s">
        <v>41</v>
      </c>
      <c r="G379" s="87">
        <v>3</v>
      </c>
      <c r="H379" s="104" t="s">
        <v>403</v>
      </c>
      <c r="I379" s="104" t="s">
        <v>404</v>
      </c>
      <c r="J379" s="85" t="s">
        <v>418</v>
      </c>
      <c r="K379" s="85"/>
      <c r="L379" s="85"/>
      <c r="M379" s="85"/>
      <c r="N379" s="85"/>
      <c r="O379" s="85"/>
      <c r="P379" s="85"/>
      <c r="Q379" s="104" t="s">
        <v>420</v>
      </c>
      <c r="R379" s="119"/>
      <c r="S379" s="85"/>
      <c r="T379" s="104" t="s">
        <v>472</v>
      </c>
      <c r="U379" s="123"/>
      <c r="V379" s="123" t="s">
        <v>546</v>
      </c>
      <c r="W379" s="127" t="s">
        <v>732</v>
      </c>
      <c r="X379" s="85"/>
      <c r="Y379" s="123"/>
      <c r="Z379" s="130" t="str">
        <f t="shared" si="130"/>
        <v>/* 테이블 : 메뉴 */ CREATE TABLE TB_MENU (</v>
      </c>
      <c r="AA379" s="125" t="str">
        <f t="shared" si="134"/>
        <v>MENU_NM VARCHAR NOT NULL,</v>
      </c>
      <c r="AB379" s="125" t="str">
        <f t="shared" si="138"/>
        <v/>
      </c>
      <c r="AC379" s="125" t="str">
        <f t="shared" si="139"/>
        <v/>
      </c>
      <c r="AD379" s="125" t="str">
        <f t="shared" si="133"/>
        <v/>
      </c>
      <c r="AE379" s="125" t="str">
        <f t="shared" si="131"/>
        <v/>
      </c>
      <c r="AF379" s="125" t="str">
        <f t="shared" si="132"/>
        <v>COMMENT ON COLUMN TB_MENU.MENU_NM IS '메뉴 이름' ;</v>
      </c>
      <c r="AG379" s="125" t="str">
        <f t="shared" si="135"/>
        <v>ALTER TABLE TB_MENU ALTER COLUMN MENU_NM TYPE VARCHAR;</v>
      </c>
      <c r="AH379" s="125" t="str">
        <f t="shared" si="136"/>
        <v>ALTER TABLE TB_MENU ADD COLUMN MENU_NM VARCHAR NOT NULL;</v>
      </c>
      <c r="AI379" s="125" t="str">
        <f t="shared" si="137"/>
        <v>ALTER TABLE TB_MENU DROP COLUMN MENU_NM;</v>
      </c>
    </row>
    <row r="380" spans="2:35" ht="20.100000000000001" customHeight="1">
      <c r="B380" s="55">
        <v>375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4</v>
      </c>
      <c r="H380" s="104" t="s">
        <v>620</v>
      </c>
      <c r="I380" s="104" t="s">
        <v>621</v>
      </c>
      <c r="J380" s="85" t="s">
        <v>131</v>
      </c>
      <c r="K380" s="85"/>
      <c r="L380" s="85"/>
      <c r="M380" s="85"/>
      <c r="N380" s="85"/>
      <c r="O380" s="85"/>
      <c r="P380" s="85"/>
      <c r="Q380" s="104" t="s">
        <v>106</v>
      </c>
      <c r="R380" s="119" t="s">
        <v>528</v>
      </c>
      <c r="S380" s="85"/>
      <c r="T380" s="104" t="s">
        <v>622</v>
      </c>
      <c r="U380" s="123"/>
      <c r="V380" s="123"/>
      <c r="W380" s="104"/>
      <c r="X380" s="85"/>
      <c r="Y380" s="123"/>
      <c r="Z380" s="130" t="str">
        <f t="shared" si="130"/>
        <v>/* 테이블 : 메뉴 */ CREATE TABLE TB_MENU (</v>
      </c>
      <c r="AA380" s="125" t="str">
        <f t="shared" si="134"/>
        <v>MENU_CD VARCHAR(255) NOT NULL,</v>
      </c>
      <c r="AB380" s="125" t="str">
        <f t="shared" si="138"/>
        <v/>
      </c>
      <c r="AC380" s="125" t="str">
        <f t="shared" si="139"/>
        <v/>
      </c>
      <c r="AD380" s="125" t="str">
        <f t="shared" si="133"/>
        <v/>
      </c>
      <c r="AE380" s="125" t="str">
        <f t="shared" si="131"/>
        <v/>
      </c>
      <c r="AF380" s="125" t="str">
        <f t="shared" si="132"/>
        <v>COMMENT ON COLUMN TB_MENU.MENU_CD IS '메뉴 코드' ;</v>
      </c>
      <c r="AG380" s="125" t="str">
        <f t="shared" si="135"/>
        <v>ALTER TABLE TB_MENU ALTER COLUMN MENU_CD TYPE VARCHAR(255);</v>
      </c>
      <c r="AH380" s="125" t="str">
        <f t="shared" si="136"/>
        <v>ALTER TABLE TB_MENU ADD COLUMN MENU_CD VARCHAR(255) NOT NULL;</v>
      </c>
      <c r="AI380" s="125" t="str">
        <f t="shared" si="137"/>
        <v>ALTER TABLE TB_MENU DROP COLUMN MENU_CD;</v>
      </c>
    </row>
    <row r="381" spans="2:35" ht="20.100000000000001" customHeight="1">
      <c r="B381" s="55">
        <v>376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5</v>
      </c>
      <c r="H381" s="104" t="s">
        <v>423</v>
      </c>
      <c r="I381" s="104" t="s">
        <v>422</v>
      </c>
      <c r="J381" s="85"/>
      <c r="K381" s="85"/>
      <c r="L381" s="85"/>
      <c r="M381" s="85"/>
      <c r="N381" s="85"/>
      <c r="O381" s="85"/>
      <c r="P381" s="85"/>
      <c r="Q381" s="104" t="s">
        <v>420</v>
      </c>
      <c r="R381" s="119" t="s">
        <v>530</v>
      </c>
      <c r="S381" s="85"/>
      <c r="T381" s="104" t="s">
        <v>473</v>
      </c>
      <c r="U381" s="123"/>
      <c r="V381" s="123"/>
      <c r="W381" s="104"/>
      <c r="X381" s="85"/>
      <c r="Y381" s="123"/>
      <c r="Z381" s="130" t="str">
        <f t="shared" si="130"/>
        <v>/* 테이블 : 메뉴 */ CREATE TABLE TB_MENU (</v>
      </c>
      <c r="AA381" s="125" t="str">
        <f t="shared" si="134"/>
        <v>MENU_URL VARCHAR(2000),</v>
      </c>
      <c r="AB381" s="125" t="str">
        <f t="shared" si="138"/>
        <v/>
      </c>
      <c r="AC381" s="125" t="str">
        <f t="shared" si="139"/>
        <v/>
      </c>
      <c r="AD381" s="125" t="str">
        <f t="shared" si="133"/>
        <v/>
      </c>
      <c r="AE381" s="125" t="str">
        <f t="shared" si="131"/>
        <v/>
      </c>
      <c r="AF381" s="125" t="str">
        <f t="shared" si="132"/>
        <v>COMMENT ON COLUMN TB_MENU.MENU_URL IS '메뉴 URL' ;</v>
      </c>
      <c r="AG381" s="125" t="str">
        <f t="shared" si="135"/>
        <v>ALTER TABLE TB_MENU ALTER COLUMN MENU_URL TYPE VARCHAR(2000);</v>
      </c>
      <c r="AH381" s="125" t="str">
        <f t="shared" si="136"/>
        <v>ALTER TABLE TB_MENU ADD COLUMN MENU_URL VARCHAR(2000);</v>
      </c>
      <c r="AI381" s="125" t="str">
        <f t="shared" si="137"/>
        <v>ALTER TABLE TB_MENU DROP COLUMN MENU_URL;</v>
      </c>
    </row>
    <row r="382" spans="2:35" ht="20.100000000000001" customHeight="1">
      <c r="B382" s="135">
        <v>377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6</v>
      </c>
      <c r="H382" s="104" t="s">
        <v>548</v>
      </c>
      <c r="I382" s="104" t="s">
        <v>547</v>
      </c>
      <c r="J382" s="85" t="s">
        <v>549</v>
      </c>
      <c r="K382" s="85"/>
      <c r="L382" s="85"/>
      <c r="M382" s="85"/>
      <c r="N382" s="85"/>
      <c r="O382" s="85"/>
      <c r="P382" s="85"/>
      <c r="Q382" s="51" t="s">
        <v>804</v>
      </c>
      <c r="R382" s="119" t="s">
        <v>522</v>
      </c>
      <c r="S382" s="85"/>
      <c r="T382" s="104" t="s">
        <v>550</v>
      </c>
      <c r="U382" s="123"/>
      <c r="V382" s="123"/>
      <c r="W382" s="104" t="s">
        <v>551</v>
      </c>
      <c r="X382" s="85"/>
      <c r="Y382" s="123"/>
      <c r="Z382" s="130" t="str">
        <f t="shared" si="130"/>
        <v>/* 테이블 : 메뉴 */ CREATE TABLE TB_MENU (</v>
      </c>
      <c r="AA382" s="125" t="str">
        <f t="shared" si="134"/>
        <v>PARNTS_MENU_YN BPCHAR(1) NOT NULL,</v>
      </c>
      <c r="AB382" s="125" t="str">
        <f t="shared" si="138"/>
        <v/>
      </c>
      <c r="AC382" s="125" t="str">
        <f t="shared" si="139"/>
        <v/>
      </c>
      <c r="AD382" s="125" t="str">
        <f t="shared" si="133"/>
        <v/>
      </c>
      <c r="AE382" s="125" t="str">
        <f t="shared" si="131"/>
        <v/>
      </c>
      <c r="AF382" s="125" t="str">
        <f t="shared" si="132"/>
        <v>COMMENT ON COLUMN TB_MENU.PARNTS_MENU_YN IS '부모 메뉴 여부' ;</v>
      </c>
      <c r="AG382" s="125" t="str">
        <f t="shared" si="135"/>
        <v>ALTER TABLE TB_MENU ALTER COLUMN PARNTS_MENU_YN TYPE BPCHAR(1);</v>
      </c>
      <c r="AH382" s="125" t="str">
        <f t="shared" si="136"/>
        <v>ALTER TABLE TB_MENU ADD COLUMN PARNTS_MENU_YN BPCHAR(1) NOT NULL;</v>
      </c>
      <c r="AI382" s="125" t="str">
        <f t="shared" si="137"/>
        <v>ALTER TABLE TB_MENU DROP COLUMN PARNTS_MENU_YN;</v>
      </c>
    </row>
    <row r="383" spans="2:35" ht="20.100000000000001" customHeight="1">
      <c r="B383" s="55">
        <v>378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7</v>
      </c>
      <c r="H383" s="104" t="s">
        <v>405</v>
      </c>
      <c r="I383" s="104" t="s">
        <v>399</v>
      </c>
      <c r="J383" s="85" t="s">
        <v>418</v>
      </c>
      <c r="K383" s="85"/>
      <c r="L383" s="85"/>
      <c r="M383" s="85"/>
      <c r="N383" s="85"/>
      <c r="O383" s="85"/>
      <c r="P383" s="85"/>
      <c r="Q383" s="104" t="s">
        <v>229</v>
      </c>
      <c r="R383" s="47"/>
      <c r="S383" s="85"/>
      <c r="T383" s="104" t="s">
        <v>474</v>
      </c>
      <c r="U383" s="125"/>
      <c r="V383" s="125"/>
      <c r="W383" s="104"/>
      <c r="X383" s="85"/>
      <c r="Y383" s="123"/>
      <c r="Z383" s="130" t="str">
        <f t="shared" si="130"/>
        <v>/* 테이블 : 메뉴 */ CREATE TABLE TB_MENU (</v>
      </c>
      <c r="AA383" s="125" t="str">
        <f t="shared" si="134"/>
        <v>MENU_SEQ INTEGER NOT NULL,</v>
      </c>
      <c r="AB383" s="125" t="str">
        <f t="shared" si="138"/>
        <v/>
      </c>
      <c r="AC383" s="125" t="str">
        <f t="shared" si="139"/>
        <v/>
      </c>
      <c r="AD383" s="125" t="str">
        <f t="shared" si="133"/>
        <v/>
      </c>
      <c r="AE383" s="125" t="str">
        <f t="shared" si="131"/>
        <v/>
      </c>
      <c r="AF383" s="125" t="str">
        <f t="shared" si="132"/>
        <v>COMMENT ON COLUMN TB_MENU.MENU_SEQ IS '메뉴 순번' ;</v>
      </c>
      <c r="AG383" s="125" t="str">
        <f t="shared" si="135"/>
        <v>ALTER TABLE TB_MENU ALTER COLUMN MENU_SEQ TYPE INTEGER;</v>
      </c>
      <c r="AH383" s="125" t="str">
        <f t="shared" si="136"/>
        <v>ALTER TABLE TB_MENU ADD COLUMN MENU_SEQ INTEGER NOT NULL;</v>
      </c>
      <c r="AI383" s="125" t="str">
        <f t="shared" si="137"/>
        <v>ALTER TABLE TB_MENU DROP COLUMN MENU_SEQ;</v>
      </c>
    </row>
    <row r="384" spans="2:35" ht="20.100000000000001" customHeight="1">
      <c r="B384" s="55">
        <v>379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8</v>
      </c>
      <c r="H384" s="104" t="s">
        <v>576</v>
      </c>
      <c r="I384" s="104" t="s">
        <v>577</v>
      </c>
      <c r="J384" s="85"/>
      <c r="K384" s="85"/>
      <c r="L384" s="85"/>
      <c r="M384" s="85"/>
      <c r="N384" s="85"/>
      <c r="O384" s="85"/>
      <c r="P384" s="85"/>
      <c r="Q384" s="51" t="s">
        <v>804</v>
      </c>
      <c r="R384" s="119" t="s">
        <v>522</v>
      </c>
      <c r="S384" s="85"/>
      <c r="T384" s="104" t="s">
        <v>578</v>
      </c>
      <c r="U384" s="125"/>
      <c r="V384" s="125"/>
      <c r="W384" s="104"/>
      <c r="X384" s="85"/>
      <c r="Y384" s="123"/>
      <c r="Z384" s="130" t="str">
        <f t="shared" si="130"/>
        <v>/* 테이블 : 메뉴 */ CREATE TABLE TB_MENU (</v>
      </c>
      <c r="AA384" s="125" t="str">
        <f t="shared" si="134"/>
        <v>MENU_DC_SET_YN BPCHAR(1),</v>
      </c>
      <c r="AB384" s="125" t="str">
        <f t="shared" si="138"/>
        <v/>
      </c>
      <c r="AC384" s="125" t="str">
        <f t="shared" si="139"/>
        <v/>
      </c>
      <c r="AD384" s="125" t="str">
        <f t="shared" si="133"/>
        <v/>
      </c>
      <c r="AE384" s="125" t="str">
        <f t="shared" si="131"/>
        <v/>
      </c>
      <c r="AF384" s="125" t="str">
        <f t="shared" si="132"/>
        <v>COMMENT ON COLUMN TB_MENU.MENU_DC_SET_YN IS '메뉴 설명 설정 여부' ;</v>
      </c>
      <c r="AG384" s="125" t="str">
        <f t="shared" si="135"/>
        <v>ALTER TABLE TB_MENU ALTER COLUMN MENU_DC_SET_YN TYPE BPCHAR(1);</v>
      </c>
      <c r="AH384" s="125" t="str">
        <f t="shared" si="136"/>
        <v>ALTER TABLE TB_MENU ADD COLUMN MENU_DC_SET_YN BPCHAR(1);</v>
      </c>
      <c r="AI384" s="125" t="str">
        <f t="shared" si="137"/>
        <v>ALTER TABLE TB_MENU DROP COLUMN MENU_DC_SET_YN;</v>
      </c>
    </row>
    <row r="385" spans="2:35" ht="20.100000000000001" customHeight="1">
      <c r="B385" s="55">
        <v>380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9</v>
      </c>
      <c r="H385" s="104" t="s">
        <v>406</v>
      </c>
      <c r="I385" s="104" t="s">
        <v>400</v>
      </c>
      <c r="J385" s="85"/>
      <c r="K385" s="85"/>
      <c r="L385" s="85"/>
      <c r="M385" s="85"/>
      <c r="N385" s="85"/>
      <c r="O385" s="85"/>
      <c r="P385" s="85"/>
      <c r="Q385" s="100" t="s">
        <v>563</v>
      </c>
      <c r="R385" s="119" t="s">
        <v>528</v>
      </c>
      <c r="S385" s="85"/>
      <c r="T385" s="104" t="s">
        <v>564</v>
      </c>
      <c r="U385" s="125"/>
      <c r="V385" s="125"/>
      <c r="W385" s="104" t="s">
        <v>566</v>
      </c>
      <c r="X385" s="85"/>
      <c r="Y385" s="123"/>
      <c r="Z385" s="130" t="str">
        <f t="shared" si="130"/>
        <v>/* 테이블 : 메뉴 */ CREATE TABLE TB_MENU (</v>
      </c>
      <c r="AA385" s="125" t="str">
        <f t="shared" si="134"/>
        <v>MENU_DC VARCHAR(255),</v>
      </c>
      <c r="AB385" s="125" t="str">
        <f t="shared" si="138"/>
        <v/>
      </c>
      <c r="AC385" s="125" t="str">
        <f t="shared" si="139"/>
        <v/>
      </c>
      <c r="AD385" s="125" t="str">
        <f t="shared" si="133"/>
        <v/>
      </c>
      <c r="AE385" s="125" t="str">
        <f t="shared" si="131"/>
        <v/>
      </c>
      <c r="AF385" s="125" t="str">
        <f t="shared" si="132"/>
        <v>COMMENT ON COLUMN TB_MENU.MENU_DC IS '메뉴 설명' ;</v>
      </c>
      <c r="AG385" s="125" t="str">
        <f t="shared" si="135"/>
        <v>ALTER TABLE TB_MENU ALTER COLUMN MENU_DC TYPE VARCHAR(255);</v>
      </c>
      <c r="AH385" s="125" t="str">
        <f t="shared" si="136"/>
        <v>ALTER TABLE TB_MENU ADD COLUMN MENU_DC VARCHAR(255);</v>
      </c>
      <c r="AI385" s="125" t="str">
        <f t="shared" si="137"/>
        <v>ALTER TABLE TB_MENU DROP COLUMN MENU_DC;</v>
      </c>
    </row>
    <row r="386" spans="2:35" ht="20.100000000000001" customHeight="1">
      <c r="B386" s="135">
        <v>381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10</v>
      </c>
      <c r="H386" s="104" t="s">
        <v>562</v>
      </c>
      <c r="I386" s="104" t="s">
        <v>561</v>
      </c>
      <c r="J386" s="85"/>
      <c r="K386" s="85"/>
      <c r="L386" s="85"/>
      <c r="M386" s="85"/>
      <c r="N386" s="85"/>
      <c r="O386" s="85"/>
      <c r="P386" s="85"/>
      <c r="Q386" s="104" t="s">
        <v>421</v>
      </c>
      <c r="R386" s="87"/>
      <c r="S386" s="85"/>
      <c r="T386" s="104" t="s">
        <v>565</v>
      </c>
      <c r="U386" s="123"/>
      <c r="V386" s="123"/>
      <c r="W386" s="104" t="s">
        <v>567</v>
      </c>
      <c r="X386" s="85"/>
      <c r="Y386" s="123"/>
      <c r="Z386" s="130" t="str">
        <f t="shared" si="130"/>
        <v>/* 테이블 : 메뉴 */ CREATE TABLE TB_MENU (</v>
      </c>
      <c r="AA386" s="125" t="str">
        <f t="shared" si="134"/>
        <v>MENU_DETAIL_DC TEXT,</v>
      </c>
      <c r="AB386" s="125" t="str">
        <f t="shared" si="138"/>
        <v/>
      </c>
      <c r="AC386" s="125" t="str">
        <f t="shared" si="139"/>
        <v/>
      </c>
      <c r="AD386" s="125" t="str">
        <f t="shared" si="133"/>
        <v/>
      </c>
      <c r="AE386" s="125" t="str">
        <f t="shared" si="131"/>
        <v/>
      </c>
      <c r="AF386" s="125" t="str">
        <f t="shared" si="132"/>
        <v>COMMENT ON COLUMN TB_MENU.MENU_DETAIL_DC IS '메뉴 상세 설명' ;</v>
      </c>
      <c r="AG386" s="125" t="str">
        <f t="shared" si="135"/>
        <v>ALTER TABLE TB_MENU ALTER COLUMN MENU_DETAIL_DC TYPE TEXT;</v>
      </c>
      <c r="AH386" s="125" t="str">
        <f t="shared" si="136"/>
        <v>ALTER TABLE TB_MENU ADD COLUMN MENU_DETAIL_DC TEXT;</v>
      </c>
      <c r="AI386" s="125" t="str">
        <f t="shared" si="137"/>
        <v>ALTER TABLE TB_MENU DROP COLUMN MENU_DETAIL_DC;</v>
      </c>
    </row>
    <row r="387" spans="2:35" ht="20.100000000000001" customHeight="1">
      <c r="B387" s="55">
        <v>382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11</v>
      </c>
      <c r="H387" s="104" t="s">
        <v>731</v>
      </c>
      <c r="I387" s="104" t="s">
        <v>728</v>
      </c>
      <c r="J387" s="85"/>
      <c r="K387" s="85"/>
      <c r="L387" s="85"/>
      <c r="M387" s="85"/>
      <c r="N387" s="85"/>
      <c r="O387" s="85"/>
      <c r="P387" s="85"/>
      <c r="Q387" s="51" t="s">
        <v>804</v>
      </c>
      <c r="R387" s="119" t="s">
        <v>522</v>
      </c>
      <c r="S387" s="82" t="s">
        <v>803</v>
      </c>
      <c r="T387" s="104" t="s">
        <v>730</v>
      </c>
      <c r="U387" s="123"/>
      <c r="V387" s="123"/>
      <c r="W387" s="104" t="s">
        <v>729</v>
      </c>
      <c r="X387" s="85"/>
      <c r="Y387" s="123"/>
      <c r="Z387" s="130" t="str">
        <f t="shared" si="130"/>
        <v>/* 테이블 : 메뉴 */ CREATE TABLE TB_MENU (</v>
      </c>
      <c r="AA387" s="125" t="str">
        <f t="shared" si="134"/>
        <v>NEW_WINDOW_YN BPCHAR(1),</v>
      </c>
      <c r="AB387" s="125" t="str">
        <f t="shared" si="138"/>
        <v/>
      </c>
      <c r="AC387" s="125" t="str">
        <f t="shared" si="139"/>
        <v/>
      </c>
      <c r="AD387" s="125" t="str">
        <f t="shared" si="133"/>
        <v/>
      </c>
      <c r="AE387" s="125" t="str">
        <f t="shared" si="131"/>
        <v>ALTER TABLE TB_MENU ALTER COLUMN NEW_WINDOW_YN SET DEFAULT 'N'::bpchar;</v>
      </c>
      <c r="AF387" s="125" t="str">
        <f t="shared" si="132"/>
        <v>COMMENT ON COLUMN TB_MENU.NEW_WINDOW_YN IS '새창 여부' ;</v>
      </c>
      <c r="AG387" s="125" t="str">
        <f t="shared" si="135"/>
        <v>ALTER TABLE TB_MENU ALTER COLUMN NEW_WINDOW_YN TYPE BPCHAR(1);</v>
      </c>
      <c r="AH387" s="125" t="str">
        <f t="shared" si="136"/>
        <v>ALTER TABLE TB_MENU ADD COLUMN NEW_WINDOW_YN BPCHAR(1) DEFAULT ''N'::bpchar';</v>
      </c>
      <c r="AI387" s="125" t="str">
        <f t="shared" si="137"/>
        <v>ALTER TABLE TB_MENU DROP COLUMN NEW_WINDOW_YN;</v>
      </c>
    </row>
    <row r="388" spans="2:35" ht="20.100000000000001" customHeight="1">
      <c r="B388" s="55">
        <v>383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12</v>
      </c>
      <c r="H388" s="104" t="s">
        <v>492</v>
      </c>
      <c r="I388" s="104" t="s">
        <v>491</v>
      </c>
      <c r="J388" s="85"/>
      <c r="K388" s="85"/>
      <c r="L388" s="85">
        <v>1</v>
      </c>
      <c r="M388" s="10" t="s">
        <v>364</v>
      </c>
      <c r="N388" s="96" t="s">
        <v>365</v>
      </c>
      <c r="O388" s="96" t="s">
        <v>539</v>
      </c>
      <c r="P388" s="96" t="s">
        <v>540</v>
      </c>
      <c r="Q388" s="104" t="s">
        <v>229</v>
      </c>
      <c r="R388" s="87"/>
      <c r="S388" s="85"/>
      <c r="T388" s="104" t="s">
        <v>510</v>
      </c>
      <c r="U388" s="123"/>
      <c r="V388" s="123"/>
      <c r="W388" s="104" t="s">
        <v>568</v>
      </c>
      <c r="X388" s="85"/>
      <c r="Y388" s="123"/>
      <c r="Z388" s="130" t="str">
        <f t="shared" si="130"/>
        <v>/* 테이블 : 메뉴 */ CREATE TABLE TB_MENU (</v>
      </c>
      <c r="AA388" s="125" t="str">
        <f t="shared" si="134"/>
        <v>ATCH_FILE_SN INTEGER,</v>
      </c>
      <c r="AB388" s="125" t="str">
        <f t="shared" si="138"/>
        <v>ALTER TABLE TB_MENU ADD CONSTRAINT TB_MENU_FKEY1 FOREIGN KEY(ATCH_FILE_SN) REFERENCES TB_ATCH_FILE(ATCH_FILE_SN) ON UPDATE CASCADE ON DELETE SET NULL;</v>
      </c>
      <c r="AC388" s="125" t="str">
        <f t="shared" si="139"/>
        <v/>
      </c>
      <c r="AD388" s="125" t="str">
        <f t="shared" si="133"/>
        <v/>
      </c>
      <c r="AE388" s="125" t="str">
        <f t="shared" si="131"/>
        <v/>
      </c>
      <c r="AF388" s="125" t="str">
        <f t="shared" si="132"/>
        <v>COMMENT ON COLUMN TB_MENU.ATCH_FILE_SN IS '첨부 파일 일련번호' ;</v>
      </c>
      <c r="AG388" s="125" t="str">
        <f t="shared" si="135"/>
        <v>ALTER TABLE TB_MENU ALTER COLUMN ATCH_FILE_SN TYPE INTEGER;</v>
      </c>
      <c r="AH388" s="125" t="str">
        <f t="shared" si="136"/>
        <v>ALTER TABLE TB_MENU ADD COLUMN ATCH_FILE_SN INTEGER;</v>
      </c>
      <c r="AI388" s="125" t="str">
        <f t="shared" si="137"/>
        <v>ALTER TABLE TB_MENU DROP COLUMN ATCH_FILE_SN;</v>
      </c>
    </row>
    <row r="389" spans="2:35" ht="20.100000000000001" customHeight="1">
      <c r="B389" s="55">
        <v>384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13</v>
      </c>
      <c r="H389" s="104" t="s">
        <v>408</v>
      </c>
      <c r="I389" s="104" t="s">
        <v>407</v>
      </c>
      <c r="J389" s="85" t="s">
        <v>418</v>
      </c>
      <c r="K389" s="85"/>
      <c r="L389" s="85"/>
      <c r="M389" s="85"/>
      <c r="N389" s="85"/>
      <c r="O389" s="85"/>
      <c r="P389" s="85"/>
      <c r="Q389" s="51" t="s">
        <v>804</v>
      </c>
      <c r="R389" s="119" t="s">
        <v>522</v>
      </c>
      <c r="S389" s="85"/>
      <c r="T389" s="104" t="s">
        <v>465</v>
      </c>
      <c r="U389" s="123"/>
      <c r="V389" s="123"/>
      <c r="W389" s="104"/>
      <c r="X389" s="85"/>
      <c r="Y389" s="123"/>
      <c r="Z389" s="130" t="str">
        <f t="shared" si="130"/>
        <v>/* 테이블 : 메뉴 */ CREATE TABLE TB_MENU (</v>
      </c>
      <c r="AA389" s="125" t="str">
        <f t="shared" si="134"/>
        <v>USE_YN BPCHAR(1) NOT NULL,</v>
      </c>
      <c r="AB389" s="125" t="str">
        <f t="shared" si="138"/>
        <v/>
      </c>
      <c r="AC389" s="125" t="str">
        <f t="shared" si="139"/>
        <v/>
      </c>
      <c r="AD389" s="125" t="str">
        <f t="shared" si="133"/>
        <v/>
      </c>
      <c r="AE389" s="125" t="str">
        <f t="shared" si="131"/>
        <v/>
      </c>
      <c r="AF389" s="125" t="str">
        <f t="shared" si="132"/>
        <v>COMMENT ON COLUMN TB_MENU.USE_YN IS '사용 여부' ;</v>
      </c>
      <c r="AG389" s="125" t="str">
        <f t="shared" si="135"/>
        <v>ALTER TABLE TB_MENU ALTER COLUMN USE_YN TYPE BPCHAR(1);</v>
      </c>
      <c r="AH389" s="125" t="str">
        <f t="shared" si="136"/>
        <v>ALTER TABLE TB_MENU ADD COLUMN USE_YN BPCHAR(1) NOT NULL;</v>
      </c>
      <c r="AI389" s="125" t="str">
        <f t="shared" si="137"/>
        <v>ALTER TABLE TB_MENU DROP COLUMN USE_YN;</v>
      </c>
    </row>
    <row r="390" spans="2:35" ht="20.100000000000001" customHeight="1">
      <c r="B390" s="135">
        <v>385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14</v>
      </c>
      <c r="H390" s="97" t="s">
        <v>107</v>
      </c>
      <c r="I390" s="51" t="s">
        <v>76</v>
      </c>
      <c r="J390" s="73" t="s">
        <v>72</v>
      </c>
      <c r="K390" s="67"/>
      <c r="L390" s="67"/>
      <c r="M390" s="77"/>
      <c r="N390" s="77"/>
      <c r="O390" s="77"/>
      <c r="P390" s="77"/>
      <c r="Q390" s="100" t="s">
        <v>521</v>
      </c>
      <c r="R390" s="119" t="s">
        <v>526</v>
      </c>
      <c r="S390" s="80"/>
      <c r="T390" s="107" t="s">
        <v>219</v>
      </c>
      <c r="U390" s="123"/>
      <c r="V390" s="123"/>
      <c r="W390" s="116" t="s">
        <v>496</v>
      </c>
      <c r="X390" s="85"/>
      <c r="Y390" s="123"/>
      <c r="Z390" s="130" t="str">
        <f t="shared" si="130"/>
        <v>/* 테이블 : 메뉴 */ CREATE TABLE TB_MENU (</v>
      </c>
      <c r="AA390" s="125" t="str">
        <f t="shared" si="134"/>
        <v>REGISTER_ID VARCHAR(50) NOT NULL,</v>
      </c>
      <c r="AB390" s="125" t="str">
        <f t="shared" si="138"/>
        <v/>
      </c>
      <c r="AC390" s="125" t="str">
        <f t="shared" si="139"/>
        <v/>
      </c>
      <c r="AD390" s="125" t="str">
        <f t="shared" si="133"/>
        <v/>
      </c>
      <c r="AE390" s="125" t="str">
        <f t="shared" si="131"/>
        <v/>
      </c>
      <c r="AF390" s="125" t="str">
        <f t="shared" si="132"/>
        <v>COMMENT ON COLUMN TB_MENU.REGISTER_ID IS '등록자 ID' ;</v>
      </c>
      <c r="AG390" s="125" t="str">
        <f t="shared" si="135"/>
        <v>ALTER TABLE TB_MENU ALTER COLUMN REGISTER_ID TYPE VARCHAR(50);</v>
      </c>
      <c r="AH390" s="125" t="str">
        <f t="shared" si="136"/>
        <v>ALTER TABLE TB_MENU ADD COLUMN REGISTER_ID VARCHAR(50) NOT NULL;</v>
      </c>
      <c r="AI390" s="125" t="str">
        <f t="shared" si="137"/>
        <v>ALTER TABLE TB_MENU DROP COLUMN REGISTER_ID;</v>
      </c>
    </row>
    <row r="391" spans="2:35" ht="20.100000000000001" customHeight="1">
      <c r="B391" s="55">
        <v>386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15</v>
      </c>
      <c r="H391" s="97" t="s">
        <v>91</v>
      </c>
      <c r="I391" s="51" t="s">
        <v>77</v>
      </c>
      <c r="J391" s="73" t="s">
        <v>72</v>
      </c>
      <c r="K391" s="52"/>
      <c r="L391" s="52"/>
      <c r="M391" s="52"/>
      <c r="N391" s="52"/>
      <c r="O391" s="52"/>
      <c r="P391" s="52"/>
      <c r="Q391" s="56" t="s">
        <v>106</v>
      </c>
      <c r="R391" s="120" t="s">
        <v>527</v>
      </c>
      <c r="S391" s="80"/>
      <c r="T391" s="107" t="s">
        <v>218</v>
      </c>
      <c r="U391" s="123"/>
      <c r="V391" s="123"/>
      <c r="W391" s="104"/>
      <c r="X391" s="85"/>
      <c r="Y391" s="123"/>
      <c r="Z391" s="130" t="str">
        <f t="shared" si="130"/>
        <v>/* 테이블 : 메뉴 */ CREATE TABLE TB_MENU (</v>
      </c>
      <c r="AA391" s="125" t="str">
        <f t="shared" si="134"/>
        <v>REGISTER_IP VARCHAR(100) NOT NULL,</v>
      </c>
      <c r="AB391" s="125" t="str">
        <f t="shared" si="138"/>
        <v/>
      </c>
      <c r="AC391" s="125" t="str">
        <f t="shared" si="139"/>
        <v/>
      </c>
      <c r="AD391" s="125" t="str">
        <f t="shared" si="133"/>
        <v/>
      </c>
      <c r="AE391" s="125" t="str">
        <f t="shared" si="131"/>
        <v/>
      </c>
      <c r="AF391" s="125" t="str">
        <f t="shared" si="132"/>
        <v>COMMENT ON COLUMN TB_MENU.REGISTER_IP IS '등록자 IP' ;</v>
      </c>
      <c r="AG391" s="125" t="str">
        <f t="shared" si="135"/>
        <v>ALTER TABLE TB_MENU ALTER COLUMN REGISTER_IP TYPE VARCHAR(100);</v>
      </c>
      <c r="AH391" s="125" t="str">
        <f t="shared" si="136"/>
        <v>ALTER TABLE TB_MENU ADD COLUMN REGISTER_IP VARCHAR(100) NOT NULL;</v>
      </c>
      <c r="AI391" s="125" t="str">
        <f t="shared" si="137"/>
        <v>ALTER TABLE TB_MENU DROP COLUMN REGISTER_IP;</v>
      </c>
    </row>
    <row r="392" spans="2:35" ht="20.100000000000001" customHeight="1">
      <c r="B392" s="55">
        <v>387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16</v>
      </c>
      <c r="H392" s="97" t="s">
        <v>92</v>
      </c>
      <c r="I392" s="96" t="s">
        <v>78</v>
      </c>
      <c r="J392" s="73" t="s">
        <v>72</v>
      </c>
      <c r="K392" s="52"/>
      <c r="L392" s="52"/>
      <c r="M392" s="52"/>
      <c r="N392" s="52"/>
      <c r="O392" s="52"/>
      <c r="P392" s="52"/>
      <c r="Q392" s="51" t="s">
        <v>706</v>
      </c>
      <c r="R392" s="120"/>
      <c r="S392" s="80"/>
      <c r="T392" s="107" t="s">
        <v>217</v>
      </c>
      <c r="U392" s="123"/>
      <c r="V392" s="123"/>
      <c r="W392" s="104"/>
      <c r="X392" s="85"/>
      <c r="Y392" s="123"/>
      <c r="Z392" s="130" t="str">
        <f t="shared" si="130"/>
        <v>/* 테이블 : 메뉴 */ CREATE TABLE TB_MENU (</v>
      </c>
      <c r="AA392" s="125" t="str">
        <f t="shared" si="134"/>
        <v>REG_DT TIMESTAMP NOT NULL,</v>
      </c>
      <c r="AB392" s="125" t="str">
        <f t="shared" si="138"/>
        <v/>
      </c>
      <c r="AC392" s="125" t="str">
        <f t="shared" si="139"/>
        <v/>
      </c>
      <c r="AD392" s="125" t="str">
        <f t="shared" si="133"/>
        <v/>
      </c>
      <c r="AE392" s="125" t="str">
        <f t="shared" si="131"/>
        <v/>
      </c>
      <c r="AF392" s="125" t="str">
        <f t="shared" si="132"/>
        <v>COMMENT ON COLUMN TB_MENU.REG_DT IS '등록 일시' ;</v>
      </c>
      <c r="AG392" s="125" t="str">
        <f t="shared" si="135"/>
        <v>ALTER TABLE TB_MENU ALTER COLUMN REG_DT TYPE TIMESTAMP;</v>
      </c>
      <c r="AH392" s="125" t="str">
        <f t="shared" si="136"/>
        <v>ALTER TABLE TB_MENU ADD COLUMN REG_DT TIMESTAMP NOT NULL;</v>
      </c>
      <c r="AI392" s="125" t="str">
        <f t="shared" si="137"/>
        <v>ALTER TABLE TB_MENU DROP COLUMN REG_DT;</v>
      </c>
    </row>
    <row r="393" spans="2:35" ht="20.100000000000001" customHeight="1">
      <c r="B393" s="55">
        <v>388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17</v>
      </c>
      <c r="H393" s="97" t="s">
        <v>93</v>
      </c>
      <c r="I393" s="96" t="s">
        <v>80</v>
      </c>
      <c r="J393" s="52"/>
      <c r="K393" s="52"/>
      <c r="L393" s="52"/>
      <c r="M393" s="79"/>
      <c r="N393" s="79"/>
      <c r="O393" s="79"/>
      <c r="P393" s="79"/>
      <c r="Q393" s="100" t="s">
        <v>521</v>
      </c>
      <c r="R393" s="119" t="s">
        <v>526</v>
      </c>
      <c r="S393" s="80"/>
      <c r="T393" s="107" t="s">
        <v>216</v>
      </c>
      <c r="U393" s="123"/>
      <c r="V393" s="123"/>
      <c r="W393" s="116" t="s">
        <v>496</v>
      </c>
      <c r="X393" s="85"/>
      <c r="Y393" s="123"/>
      <c r="Z393" s="130" t="str">
        <f t="shared" si="130"/>
        <v>/* 테이블 : 메뉴 */ CREATE TABLE TB_MENU (</v>
      </c>
      <c r="AA393" s="125" t="str">
        <f t="shared" si="134"/>
        <v>UPDUSR_ID VARCHAR(50),</v>
      </c>
      <c r="AB393" s="125" t="str">
        <f t="shared" si="138"/>
        <v/>
      </c>
      <c r="AC393" s="125" t="str">
        <f t="shared" si="139"/>
        <v/>
      </c>
      <c r="AD393" s="125" t="str">
        <f t="shared" si="133"/>
        <v/>
      </c>
      <c r="AE393" s="125" t="str">
        <f t="shared" si="131"/>
        <v/>
      </c>
      <c r="AF393" s="125" t="str">
        <f t="shared" si="132"/>
        <v>COMMENT ON COLUMN TB_MENU.UPDUSR_ID IS '수정자 ID' ;</v>
      </c>
      <c r="AG393" s="125" t="str">
        <f t="shared" si="135"/>
        <v>ALTER TABLE TB_MENU ALTER COLUMN UPDUSR_ID TYPE VARCHAR(50);</v>
      </c>
      <c r="AH393" s="125" t="str">
        <f t="shared" si="136"/>
        <v>ALTER TABLE TB_MENU ADD COLUMN UPDUSR_ID VARCHAR(50);</v>
      </c>
      <c r="AI393" s="125" t="str">
        <f t="shared" si="137"/>
        <v>ALTER TABLE TB_MENU DROP COLUMN UPDUSR_ID;</v>
      </c>
    </row>
    <row r="394" spans="2:35" ht="20.100000000000001" customHeight="1">
      <c r="B394" s="135">
        <v>389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18</v>
      </c>
      <c r="H394" s="97" t="s">
        <v>94</v>
      </c>
      <c r="I394" s="96" t="s">
        <v>79</v>
      </c>
      <c r="J394" s="52"/>
      <c r="K394" s="52"/>
      <c r="L394" s="52"/>
      <c r="M394" s="52"/>
      <c r="N394" s="52"/>
      <c r="O394" s="52"/>
      <c r="P394" s="52"/>
      <c r="Q394" s="56" t="s">
        <v>106</v>
      </c>
      <c r="R394" s="120" t="s">
        <v>527</v>
      </c>
      <c r="S394" s="80"/>
      <c r="T394" s="107" t="s">
        <v>215</v>
      </c>
      <c r="U394" s="123"/>
      <c r="V394" s="123"/>
      <c r="W394" s="104"/>
      <c r="X394" s="85"/>
      <c r="Y394" s="123"/>
      <c r="Z394" s="130" t="str">
        <f t="shared" si="130"/>
        <v>/* 테이블 : 메뉴 */ CREATE TABLE TB_MENU (</v>
      </c>
      <c r="AA394" s="125" t="str">
        <f t="shared" si="134"/>
        <v>UPDUSR_IP VARCHAR(100),</v>
      </c>
      <c r="AB394" s="125" t="str">
        <f t="shared" si="138"/>
        <v/>
      </c>
      <c r="AC394" s="125" t="str">
        <f t="shared" si="139"/>
        <v/>
      </c>
      <c r="AD394" s="125" t="str">
        <f t="shared" si="133"/>
        <v/>
      </c>
      <c r="AE394" s="125" t="str">
        <f t="shared" si="131"/>
        <v/>
      </c>
      <c r="AF394" s="125" t="str">
        <f t="shared" si="132"/>
        <v>COMMENT ON COLUMN TB_MENU.UPDUSR_IP IS '수정자 IP' ;</v>
      </c>
      <c r="AG394" s="125" t="str">
        <f t="shared" si="135"/>
        <v>ALTER TABLE TB_MENU ALTER COLUMN UPDUSR_IP TYPE VARCHAR(100);</v>
      </c>
      <c r="AH394" s="125" t="str">
        <f t="shared" si="136"/>
        <v>ALTER TABLE TB_MENU ADD COLUMN UPDUSR_IP VARCHAR(100);</v>
      </c>
      <c r="AI394" s="125" t="str">
        <f t="shared" si="137"/>
        <v>ALTER TABLE TB_MENU DROP COLUMN UPDUSR_IP;</v>
      </c>
    </row>
    <row r="395" spans="2:35" ht="20.100000000000001" customHeight="1">
      <c r="B395" s="55">
        <v>390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19</v>
      </c>
      <c r="H395" s="98" t="s">
        <v>95</v>
      </c>
      <c r="I395" s="97" t="s">
        <v>81</v>
      </c>
      <c r="J395" s="61"/>
      <c r="K395" s="61"/>
      <c r="L395" s="61"/>
      <c r="M395" s="61"/>
      <c r="N395" s="61"/>
      <c r="O395" s="61"/>
      <c r="P395" s="61"/>
      <c r="Q395" s="51" t="s">
        <v>706</v>
      </c>
      <c r="R395" s="120"/>
      <c r="S395" s="77"/>
      <c r="T395" s="107" t="s">
        <v>214</v>
      </c>
      <c r="U395" s="123"/>
      <c r="V395" s="123"/>
      <c r="W395" s="104"/>
      <c r="X395" s="85"/>
      <c r="Y395" s="123"/>
      <c r="Z395" s="130" t="str">
        <f t="shared" si="130"/>
        <v>/* 테이블 : 메뉴 */ CREATE TABLE TB_MENU (</v>
      </c>
      <c r="AA395" s="125" t="str">
        <f t="shared" si="134"/>
        <v>UPDT_DT TIMESTAMP,</v>
      </c>
      <c r="AB395" s="125" t="str">
        <f t="shared" si="138"/>
        <v/>
      </c>
      <c r="AC395" s="125" t="str">
        <f t="shared" si="139"/>
        <v/>
      </c>
      <c r="AD395" s="125" t="str">
        <f t="shared" si="133"/>
        <v/>
      </c>
      <c r="AE395" s="125" t="str">
        <f t="shared" si="131"/>
        <v/>
      </c>
      <c r="AF395" s="125" t="str">
        <f t="shared" si="132"/>
        <v>COMMENT ON COLUMN TB_MENU.UPDT_DT IS '수정 일시' ;</v>
      </c>
      <c r="AG395" s="125" t="str">
        <f t="shared" si="135"/>
        <v>ALTER TABLE TB_MENU ALTER COLUMN UPDT_DT TYPE TIMESTAMP;</v>
      </c>
      <c r="AH395" s="125" t="str">
        <f t="shared" si="136"/>
        <v>ALTER TABLE TB_MENU ADD COLUMN UPDT_DT TIMESTAMP;</v>
      </c>
      <c r="AI395" s="125" t="str">
        <f t="shared" si="137"/>
        <v>ALTER TABLE TB_MENU DROP COLUMN UPDT_DT;</v>
      </c>
    </row>
    <row r="396" spans="2:35" ht="20.100000000000001" customHeight="1">
      <c r="B396" s="55">
        <v>391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20</v>
      </c>
      <c r="H396" s="97" t="s">
        <v>96</v>
      </c>
      <c r="I396" s="97" t="s">
        <v>82</v>
      </c>
      <c r="J396" s="73" t="s">
        <v>72</v>
      </c>
      <c r="K396" s="61"/>
      <c r="L396" s="61"/>
      <c r="M396" s="61"/>
      <c r="N396" s="61"/>
      <c r="O396" s="61"/>
      <c r="P396" s="61"/>
      <c r="Q396" s="51" t="s">
        <v>804</v>
      </c>
      <c r="R396" s="120" t="s">
        <v>522</v>
      </c>
      <c r="S396" s="82" t="s">
        <v>803</v>
      </c>
      <c r="T396" s="107" t="s">
        <v>213</v>
      </c>
      <c r="U396" s="123"/>
      <c r="V396" s="123"/>
      <c r="W396" s="104"/>
      <c r="X396" s="85"/>
      <c r="Y396" s="123"/>
      <c r="Z396" s="130" t="str">
        <f t="shared" ref="Z396:Z459" si="140">"/* 테이블 : "&amp; $F396 &amp;" */ CREATE TABLE "&amp;$E396&amp;" ("</f>
        <v>/* 테이블 : 메뉴 */ CREATE TABLE TB_MENU (</v>
      </c>
      <c r="AA396" s="125" t="str">
        <f t="shared" si="134"/>
        <v>DEL_YN BPCHAR(1) NOT NULL,</v>
      </c>
      <c r="AB396" s="125" t="str">
        <f t="shared" si="138"/>
        <v/>
      </c>
      <c r="AC396" s="125" t="str">
        <f t="shared" si="139"/>
        <v/>
      </c>
      <c r="AD396" s="125" t="str">
        <f t="shared" si="133"/>
        <v/>
      </c>
      <c r="AE396" s="125" t="str">
        <f t="shared" ref="AE396:AE459" si="141">IF(ISBLANK($S396),"","ALTER TABLE " &amp; $E396 &amp; " ALTER COLUMN " &amp; $H396 &amp; " SET DEFAULT " &amp; $S396 &amp; ";")</f>
        <v>ALTER TABLE TB_MENU ALTER COLUMN DEL_YN SET DEFAULT 'N'::bpchar;</v>
      </c>
      <c r="AF396" s="125" t="str">
        <f t="shared" ref="AF396:AF459" si="142">"COMMENT ON COLUMN "&amp;$E396&amp;"."&amp;$H396&amp;" IS '"&amp;$T396&amp;"' ;"</f>
        <v>COMMENT ON COLUMN TB_MENU.DEL_YN IS '삭제 여부' ;</v>
      </c>
      <c r="AG396" s="125" t="str">
        <f t="shared" si="135"/>
        <v>ALTER TABLE TB_MENU ALTER COLUMN DEL_YN TYPE BPCHAR(1);</v>
      </c>
      <c r="AH396" s="125" t="str">
        <f t="shared" si="136"/>
        <v>ALTER TABLE TB_MENU ADD COLUMN DEL_YN BPCHAR(1) NOT NULL DEFAULT ''N'::bpchar';</v>
      </c>
      <c r="AI396" s="125" t="str">
        <f t="shared" si="137"/>
        <v>ALTER TABLE TB_MENU DROP COLUMN DEL_YN;</v>
      </c>
    </row>
    <row r="397" spans="2:35" ht="20.100000000000001" customHeight="1">
      <c r="B397" s="55">
        <v>392</v>
      </c>
      <c r="C397" s="26" t="s">
        <v>7</v>
      </c>
      <c r="D397" s="26" t="s">
        <v>19</v>
      </c>
      <c r="E397" s="10" t="s">
        <v>412</v>
      </c>
      <c r="F397" s="10" t="s">
        <v>413</v>
      </c>
      <c r="G397" s="87">
        <v>1</v>
      </c>
      <c r="H397" s="104" t="s">
        <v>414</v>
      </c>
      <c r="I397" s="104" t="s">
        <v>415</v>
      </c>
      <c r="J397" s="85" t="s">
        <v>418</v>
      </c>
      <c r="K397" s="85">
        <v>1</v>
      </c>
      <c r="L397" s="85"/>
      <c r="M397" s="85"/>
      <c r="N397" s="85"/>
      <c r="O397" s="85"/>
      <c r="P397" s="85"/>
      <c r="Q397" s="104" t="s">
        <v>419</v>
      </c>
      <c r="R397" s="87"/>
      <c r="S397" s="85"/>
      <c r="T397" s="104" t="s">
        <v>475</v>
      </c>
      <c r="U397" s="125" t="str">
        <f>"SEQ_"&amp;E397&amp;"_SN"</f>
        <v>SEQ_TB_MENU_ROLE_SN</v>
      </c>
      <c r="V397" s="125"/>
      <c r="W397" s="104"/>
      <c r="X397" s="85"/>
      <c r="Y397" s="123"/>
      <c r="Z397" s="130" t="str">
        <f t="shared" si="140"/>
        <v>/* 테이블 : 메뉴권한 */ CREATE TABLE TB_MENU_ROLE (</v>
      </c>
      <c r="AA397" s="125" t="str">
        <f t="shared" si="134"/>
        <v>MENU_ROLE_SN INTEGER PRIMARY KEY,</v>
      </c>
      <c r="AB397" s="125" t="str">
        <f t="shared" si="138"/>
        <v/>
      </c>
      <c r="AC397" s="125" t="str">
        <f t="shared" si="139"/>
        <v>CREATE SEQUENCE SEQ_TB_MENU_ROLE_SN START 100000;</v>
      </c>
      <c r="AD397" s="125" t="str">
        <f t="shared" si="133"/>
        <v>ALTER TABLE TB_MENU_ROLE ALTER COLUMN MENU_ROLE_SN SET DEFAULT NEXTVAL('SEQ_TB_MENU_ROLE_SN');</v>
      </c>
      <c r="AE397" s="125" t="str">
        <f t="shared" si="141"/>
        <v/>
      </c>
      <c r="AF397" s="125" t="str">
        <f t="shared" si="142"/>
        <v>COMMENT ON COLUMN TB_MENU_ROLE.MENU_ROLE_SN IS '메뉴 권한 일련번호' ;</v>
      </c>
      <c r="AG397" s="125" t="str">
        <f t="shared" si="135"/>
        <v>ALTER TABLE TB_MENU_ROLE ALTER COLUMN MENU_ROLE_SN TYPE INTEGER;</v>
      </c>
      <c r="AH397" s="125" t="str">
        <f t="shared" si="136"/>
        <v>ALTER TABLE TB_MENU_ROLE ADD COLUMN MENU_ROLE_SN INTEGER NOT NULL;</v>
      </c>
      <c r="AI397" s="125" t="str">
        <f t="shared" si="137"/>
        <v>ALTER TABLE TB_MENU_ROLE DROP COLUMN MENU_ROLE_SN;</v>
      </c>
    </row>
    <row r="398" spans="2:35" ht="20.100000000000001" customHeight="1">
      <c r="B398" s="135">
        <v>393</v>
      </c>
      <c r="C398" s="26" t="s">
        <v>7</v>
      </c>
      <c r="D398" s="26" t="s">
        <v>19</v>
      </c>
      <c r="E398" s="10" t="s">
        <v>412</v>
      </c>
      <c r="F398" s="10" t="s">
        <v>413</v>
      </c>
      <c r="G398" s="87">
        <v>2</v>
      </c>
      <c r="H398" s="104" t="s">
        <v>417</v>
      </c>
      <c r="I398" s="104" t="s">
        <v>416</v>
      </c>
      <c r="J398" s="85" t="s">
        <v>418</v>
      </c>
      <c r="K398" s="85"/>
      <c r="L398" s="85">
        <v>1</v>
      </c>
      <c r="M398" s="10" t="s">
        <v>40</v>
      </c>
      <c r="N398" s="104" t="s">
        <v>401</v>
      </c>
      <c r="O398" s="95" t="s">
        <v>539</v>
      </c>
      <c r="P398" s="95" t="s">
        <v>541</v>
      </c>
      <c r="Q398" s="104" t="s">
        <v>419</v>
      </c>
      <c r="R398" s="87"/>
      <c r="S398" s="85"/>
      <c r="T398" s="104" t="s">
        <v>476</v>
      </c>
      <c r="U398" s="123"/>
      <c r="V398" s="123"/>
      <c r="W398" s="104"/>
      <c r="X398" s="85"/>
      <c r="Y398" s="123"/>
      <c r="Z398" s="130" t="str">
        <f t="shared" si="140"/>
        <v>/* 테이블 : 메뉴권한 */ CREATE TABLE TB_MENU_ROLE (</v>
      </c>
      <c r="AA398" s="125" t="str">
        <f t="shared" si="134"/>
        <v>MENU_SN INTEGER NOT NULL,</v>
      </c>
      <c r="AB398" s="125" t="str">
        <f t="shared" si="138"/>
        <v>ALTER TABLE TB_MENU_ROLE ADD CONSTRAINT TB_MENU_ROLE_FKEY1 FOREIGN KEY(MENU_SN) REFERENCES TB_MENU(MENU_SN) ON UPDATE CASCADE ON DELETE CASCADE;</v>
      </c>
      <c r="AC398" s="125" t="str">
        <f t="shared" si="139"/>
        <v/>
      </c>
      <c r="AD398" s="125" t="str">
        <f t="shared" si="133"/>
        <v/>
      </c>
      <c r="AE398" s="125" t="str">
        <f t="shared" si="141"/>
        <v/>
      </c>
      <c r="AF398" s="125" t="str">
        <f t="shared" si="142"/>
        <v>COMMENT ON COLUMN TB_MENU_ROLE.MENU_SN IS '메뉴 일련번호' ;</v>
      </c>
      <c r="AG398" s="125" t="str">
        <f t="shared" si="135"/>
        <v>ALTER TABLE TB_MENU_ROLE ALTER COLUMN MENU_SN TYPE INTEGER;</v>
      </c>
      <c r="AH398" s="125" t="str">
        <f t="shared" si="136"/>
        <v>ALTER TABLE TB_MENU_ROLE ADD COLUMN MENU_SN INTEGER NOT NULL;</v>
      </c>
      <c r="AI398" s="125" t="str">
        <f t="shared" si="137"/>
        <v>ALTER TABLE TB_MENU_ROLE DROP COLUMN MENU_SN;</v>
      </c>
    </row>
    <row r="399" spans="2:35" ht="20.100000000000001" customHeight="1">
      <c r="B399" s="55">
        <v>394</v>
      </c>
      <c r="C399" s="26" t="s">
        <v>7</v>
      </c>
      <c r="D399" s="26" t="s">
        <v>19</v>
      </c>
      <c r="E399" s="10" t="s">
        <v>412</v>
      </c>
      <c r="F399" s="10" t="s">
        <v>413</v>
      </c>
      <c r="G399" s="87">
        <v>3</v>
      </c>
      <c r="H399" s="101" t="s">
        <v>136</v>
      </c>
      <c r="I399" s="101" t="s">
        <v>135</v>
      </c>
      <c r="J399" s="85" t="s">
        <v>418</v>
      </c>
      <c r="K399" s="85"/>
      <c r="L399" s="85">
        <v>2</v>
      </c>
      <c r="M399" s="10" t="s">
        <v>116</v>
      </c>
      <c r="N399" s="101" t="s">
        <v>136</v>
      </c>
      <c r="O399" s="95" t="s">
        <v>539</v>
      </c>
      <c r="P399" s="95" t="s">
        <v>541</v>
      </c>
      <c r="Q399" s="104" t="s">
        <v>419</v>
      </c>
      <c r="R399" s="87"/>
      <c r="S399" s="85"/>
      <c r="T399" s="104" t="s">
        <v>477</v>
      </c>
      <c r="U399" s="123"/>
      <c r="V399" s="123"/>
      <c r="W399" s="104"/>
      <c r="X399" s="85"/>
      <c r="Y399" s="123"/>
      <c r="Z399" s="130" t="str">
        <f t="shared" si="140"/>
        <v>/* 테이블 : 메뉴권한 */ CREATE TABLE TB_MENU_ROLE (</v>
      </c>
      <c r="AA399" s="125" t="str">
        <f t="shared" si="134"/>
        <v>ROLE_SN INTEGER NOT NULL,</v>
      </c>
      <c r="AB399" s="125" t="str">
        <f t="shared" si="138"/>
        <v>ALTER TABLE TB_MENU_ROLE ADD CONSTRAINT TB_MENU_ROLE_FKEY2 FOREIGN KEY(ROLE_SN) REFERENCES TB_ROLE(ROLE_SN) ON UPDATE CASCADE ON DELETE CASCADE;</v>
      </c>
      <c r="AC399" s="125" t="str">
        <f t="shared" si="139"/>
        <v/>
      </c>
      <c r="AD399" s="125" t="str">
        <f t="shared" si="133"/>
        <v/>
      </c>
      <c r="AE399" s="125" t="str">
        <f t="shared" si="141"/>
        <v/>
      </c>
      <c r="AF399" s="125" t="str">
        <f t="shared" si="142"/>
        <v>COMMENT ON COLUMN TB_MENU_ROLE.ROLE_SN IS '권한 일련번호' ;</v>
      </c>
      <c r="AG399" s="125" t="str">
        <f t="shared" si="135"/>
        <v>ALTER TABLE TB_MENU_ROLE ALTER COLUMN ROLE_SN TYPE INTEGER;</v>
      </c>
      <c r="AH399" s="125" t="str">
        <f t="shared" si="136"/>
        <v>ALTER TABLE TB_MENU_ROLE ADD COLUMN ROLE_SN INTEGER NOT NULL;</v>
      </c>
      <c r="AI399" s="125" t="str">
        <f t="shared" si="137"/>
        <v>ALTER TABLE TB_MENU_ROLE DROP COLUMN ROLE_SN;</v>
      </c>
    </row>
    <row r="400" spans="2:35" ht="20.100000000000001" customHeight="1">
      <c r="B400" s="55">
        <v>395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4</v>
      </c>
      <c r="H400" s="97" t="s">
        <v>107</v>
      </c>
      <c r="I400" s="51" t="s">
        <v>76</v>
      </c>
      <c r="J400" s="73" t="s">
        <v>72</v>
      </c>
      <c r="K400" s="67"/>
      <c r="L400" s="67"/>
      <c r="M400" s="77"/>
      <c r="N400" s="77"/>
      <c r="O400" s="77"/>
      <c r="P400" s="77"/>
      <c r="Q400" s="100" t="s">
        <v>521</v>
      </c>
      <c r="R400" s="119" t="s">
        <v>526</v>
      </c>
      <c r="S400" s="80"/>
      <c r="T400" s="107" t="s">
        <v>219</v>
      </c>
      <c r="U400" s="123"/>
      <c r="V400" s="123"/>
      <c r="W400" s="116" t="s">
        <v>496</v>
      </c>
      <c r="X400" s="85"/>
      <c r="Y400" s="123"/>
      <c r="Z400" s="130" t="str">
        <f t="shared" si="140"/>
        <v>/* 테이블 : 메뉴권한 */ CREATE TABLE TB_MENU_ROLE (</v>
      </c>
      <c r="AA400" s="125" t="str">
        <f t="shared" si="134"/>
        <v>REGISTER_ID VARCHAR(50) NOT NULL,</v>
      </c>
      <c r="AB400" s="125" t="str">
        <f t="shared" si="138"/>
        <v/>
      </c>
      <c r="AC400" s="125" t="str">
        <f t="shared" si="139"/>
        <v/>
      </c>
      <c r="AD400" s="125" t="str">
        <f t="shared" si="133"/>
        <v/>
      </c>
      <c r="AE400" s="125" t="str">
        <f t="shared" si="141"/>
        <v/>
      </c>
      <c r="AF400" s="125" t="str">
        <f t="shared" si="142"/>
        <v>COMMENT ON COLUMN TB_MENU_ROLE.REGISTER_ID IS '등록자 ID' ;</v>
      </c>
      <c r="AG400" s="125" t="str">
        <f t="shared" si="135"/>
        <v>ALTER TABLE TB_MENU_ROLE ALTER COLUMN REGISTER_ID TYPE VARCHAR(50);</v>
      </c>
      <c r="AH400" s="125" t="str">
        <f t="shared" si="136"/>
        <v>ALTER TABLE TB_MENU_ROLE ADD COLUMN REGISTER_ID VARCHAR(50) NOT NULL;</v>
      </c>
      <c r="AI400" s="125" t="str">
        <f t="shared" si="137"/>
        <v>ALTER TABLE TB_MENU_ROLE DROP COLUMN REGISTER_ID;</v>
      </c>
    </row>
    <row r="401" spans="2:35" ht="20.100000000000001" customHeight="1">
      <c r="B401" s="55">
        <v>396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5</v>
      </c>
      <c r="H401" s="97" t="s">
        <v>91</v>
      </c>
      <c r="I401" s="51" t="s">
        <v>77</v>
      </c>
      <c r="J401" s="73" t="s">
        <v>72</v>
      </c>
      <c r="K401" s="52"/>
      <c r="L401" s="52"/>
      <c r="M401" s="52"/>
      <c r="N401" s="52"/>
      <c r="O401" s="52"/>
      <c r="P401" s="52"/>
      <c r="Q401" s="56" t="s">
        <v>106</v>
      </c>
      <c r="R401" s="120" t="s">
        <v>527</v>
      </c>
      <c r="S401" s="80"/>
      <c r="T401" s="107" t="s">
        <v>218</v>
      </c>
      <c r="U401" s="123"/>
      <c r="V401" s="123"/>
      <c r="W401" s="104"/>
      <c r="X401" s="85"/>
      <c r="Y401" s="123"/>
      <c r="Z401" s="130" t="str">
        <f t="shared" si="140"/>
        <v>/* 테이블 : 메뉴권한 */ CREATE TABLE TB_MENU_ROLE (</v>
      </c>
      <c r="AA401" s="125" t="str">
        <f t="shared" si="134"/>
        <v>REGISTER_IP VARCHAR(100) NOT NULL,</v>
      </c>
      <c r="AB401" s="125" t="str">
        <f t="shared" si="138"/>
        <v/>
      </c>
      <c r="AC401" s="125" t="str">
        <f t="shared" si="139"/>
        <v/>
      </c>
      <c r="AD401" s="125" t="str">
        <f t="shared" si="133"/>
        <v/>
      </c>
      <c r="AE401" s="125" t="str">
        <f t="shared" si="141"/>
        <v/>
      </c>
      <c r="AF401" s="125" t="str">
        <f t="shared" si="142"/>
        <v>COMMENT ON COLUMN TB_MENU_ROLE.REGISTER_IP IS '등록자 IP' ;</v>
      </c>
      <c r="AG401" s="125" t="str">
        <f t="shared" si="135"/>
        <v>ALTER TABLE TB_MENU_ROLE ALTER COLUMN REGISTER_IP TYPE VARCHAR(100);</v>
      </c>
      <c r="AH401" s="125" t="str">
        <f t="shared" si="136"/>
        <v>ALTER TABLE TB_MENU_ROLE ADD COLUMN REGISTER_IP VARCHAR(100) NOT NULL;</v>
      </c>
      <c r="AI401" s="125" t="str">
        <f t="shared" si="137"/>
        <v>ALTER TABLE TB_MENU_ROLE DROP COLUMN REGISTER_IP;</v>
      </c>
    </row>
    <row r="402" spans="2:35" ht="20.100000000000001" customHeight="1">
      <c r="B402" s="135">
        <v>397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6</v>
      </c>
      <c r="H402" s="97" t="s">
        <v>92</v>
      </c>
      <c r="I402" s="96" t="s">
        <v>78</v>
      </c>
      <c r="J402" s="73" t="s">
        <v>72</v>
      </c>
      <c r="K402" s="52"/>
      <c r="L402" s="52"/>
      <c r="M402" s="52"/>
      <c r="N402" s="52"/>
      <c r="O402" s="52"/>
      <c r="P402" s="52"/>
      <c r="Q402" s="51" t="s">
        <v>706</v>
      </c>
      <c r="R402" s="120"/>
      <c r="S402" s="80"/>
      <c r="T402" s="107" t="s">
        <v>217</v>
      </c>
      <c r="U402" s="123"/>
      <c r="V402" s="123"/>
      <c r="W402" s="104"/>
      <c r="X402" s="85"/>
      <c r="Y402" s="123"/>
      <c r="Z402" s="130" t="str">
        <f t="shared" si="140"/>
        <v>/* 테이블 : 메뉴권한 */ CREATE TABLE TB_MENU_ROLE (</v>
      </c>
      <c r="AA402" s="125" t="str">
        <f t="shared" si="134"/>
        <v>REG_DT TIMESTAMP NOT NULL,</v>
      </c>
      <c r="AB402" s="125" t="str">
        <f t="shared" si="138"/>
        <v/>
      </c>
      <c r="AC402" s="125" t="str">
        <f t="shared" si="139"/>
        <v/>
      </c>
      <c r="AD402" s="125" t="str">
        <f t="shared" si="133"/>
        <v/>
      </c>
      <c r="AE402" s="125" t="str">
        <f t="shared" si="141"/>
        <v/>
      </c>
      <c r="AF402" s="125" t="str">
        <f t="shared" si="142"/>
        <v>COMMENT ON COLUMN TB_MENU_ROLE.REG_DT IS '등록 일시' ;</v>
      </c>
      <c r="AG402" s="125" t="str">
        <f t="shared" si="135"/>
        <v>ALTER TABLE TB_MENU_ROLE ALTER COLUMN REG_DT TYPE TIMESTAMP;</v>
      </c>
      <c r="AH402" s="125" t="str">
        <f t="shared" si="136"/>
        <v>ALTER TABLE TB_MENU_ROLE ADD COLUMN REG_DT TIMESTAMP NOT NULL;</v>
      </c>
      <c r="AI402" s="125" t="str">
        <f t="shared" si="137"/>
        <v>ALTER TABLE TB_MENU_ROLE DROP COLUMN REG_DT;</v>
      </c>
    </row>
    <row r="403" spans="2:35" ht="20.100000000000001" customHeight="1">
      <c r="B403" s="55">
        <v>398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7</v>
      </c>
      <c r="H403" s="97" t="s">
        <v>93</v>
      </c>
      <c r="I403" s="96" t="s">
        <v>80</v>
      </c>
      <c r="J403" s="52"/>
      <c r="K403" s="52"/>
      <c r="L403" s="52"/>
      <c r="M403" s="79"/>
      <c r="N403" s="79"/>
      <c r="O403" s="79"/>
      <c r="P403" s="79"/>
      <c r="Q403" s="100" t="s">
        <v>521</v>
      </c>
      <c r="R403" s="119" t="s">
        <v>526</v>
      </c>
      <c r="S403" s="80"/>
      <c r="T403" s="107" t="s">
        <v>216</v>
      </c>
      <c r="U403" s="123"/>
      <c r="V403" s="123"/>
      <c r="W403" s="116" t="s">
        <v>496</v>
      </c>
      <c r="X403" s="85"/>
      <c r="Y403" s="123"/>
      <c r="Z403" s="130" t="str">
        <f t="shared" si="140"/>
        <v>/* 테이블 : 메뉴권한 */ CREATE TABLE TB_MENU_ROLE (</v>
      </c>
      <c r="AA403" s="125" t="str">
        <f t="shared" si="134"/>
        <v>UPDUSR_ID VARCHAR(50),</v>
      </c>
      <c r="AB403" s="125" t="str">
        <f t="shared" si="138"/>
        <v/>
      </c>
      <c r="AC403" s="125" t="str">
        <f t="shared" si="139"/>
        <v/>
      </c>
      <c r="AD403" s="125" t="str">
        <f t="shared" si="133"/>
        <v/>
      </c>
      <c r="AE403" s="125" t="str">
        <f t="shared" si="141"/>
        <v/>
      </c>
      <c r="AF403" s="125" t="str">
        <f t="shared" si="142"/>
        <v>COMMENT ON COLUMN TB_MENU_ROLE.UPDUSR_ID IS '수정자 ID' ;</v>
      </c>
      <c r="AG403" s="125" t="str">
        <f t="shared" si="135"/>
        <v>ALTER TABLE TB_MENU_ROLE ALTER COLUMN UPDUSR_ID TYPE VARCHAR(50);</v>
      </c>
      <c r="AH403" s="125" t="str">
        <f t="shared" si="136"/>
        <v>ALTER TABLE TB_MENU_ROLE ADD COLUMN UPDUSR_ID VARCHAR(50);</v>
      </c>
      <c r="AI403" s="125" t="str">
        <f t="shared" si="137"/>
        <v>ALTER TABLE TB_MENU_ROLE DROP COLUMN UPDUSR_ID;</v>
      </c>
    </row>
    <row r="404" spans="2:35" ht="20.100000000000001" customHeight="1">
      <c r="B404" s="55">
        <v>399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8</v>
      </c>
      <c r="H404" s="97" t="s">
        <v>94</v>
      </c>
      <c r="I404" s="96" t="s">
        <v>79</v>
      </c>
      <c r="J404" s="52"/>
      <c r="K404" s="52"/>
      <c r="L404" s="52"/>
      <c r="M404" s="52"/>
      <c r="N404" s="52"/>
      <c r="O404" s="52"/>
      <c r="P404" s="52"/>
      <c r="Q404" s="56" t="s">
        <v>106</v>
      </c>
      <c r="R404" s="120" t="s">
        <v>527</v>
      </c>
      <c r="S404" s="80"/>
      <c r="T404" s="107" t="s">
        <v>215</v>
      </c>
      <c r="U404" s="123"/>
      <c r="V404" s="123"/>
      <c r="W404" s="104"/>
      <c r="X404" s="85"/>
      <c r="Y404" s="123"/>
      <c r="Z404" s="130" t="str">
        <f t="shared" si="140"/>
        <v>/* 테이블 : 메뉴권한 */ CREATE TABLE TB_MENU_ROLE (</v>
      </c>
      <c r="AA404" s="125" t="str">
        <f t="shared" si="134"/>
        <v>UPDUSR_IP VARCHAR(100),</v>
      </c>
      <c r="AB404" s="125" t="str">
        <f t="shared" si="138"/>
        <v/>
      </c>
      <c r="AC404" s="125" t="str">
        <f t="shared" si="139"/>
        <v/>
      </c>
      <c r="AD404" s="125" t="str">
        <f t="shared" si="133"/>
        <v/>
      </c>
      <c r="AE404" s="125" t="str">
        <f t="shared" si="141"/>
        <v/>
      </c>
      <c r="AF404" s="125" t="str">
        <f t="shared" si="142"/>
        <v>COMMENT ON COLUMN TB_MENU_ROLE.UPDUSR_IP IS '수정자 IP' ;</v>
      </c>
      <c r="AG404" s="125" t="str">
        <f t="shared" si="135"/>
        <v>ALTER TABLE TB_MENU_ROLE ALTER COLUMN UPDUSR_IP TYPE VARCHAR(100);</v>
      </c>
      <c r="AH404" s="125" t="str">
        <f t="shared" si="136"/>
        <v>ALTER TABLE TB_MENU_ROLE ADD COLUMN UPDUSR_IP VARCHAR(100);</v>
      </c>
      <c r="AI404" s="125" t="str">
        <f t="shared" si="137"/>
        <v>ALTER TABLE TB_MENU_ROLE DROP COLUMN UPDUSR_IP;</v>
      </c>
    </row>
    <row r="405" spans="2:35" ht="20.100000000000001" customHeight="1">
      <c r="B405" s="55">
        <v>400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9</v>
      </c>
      <c r="H405" s="98" t="s">
        <v>95</v>
      </c>
      <c r="I405" s="97" t="s">
        <v>81</v>
      </c>
      <c r="J405" s="61"/>
      <c r="K405" s="61"/>
      <c r="L405" s="61"/>
      <c r="M405" s="61"/>
      <c r="N405" s="61"/>
      <c r="O405" s="61"/>
      <c r="P405" s="61"/>
      <c r="Q405" s="51" t="s">
        <v>706</v>
      </c>
      <c r="R405" s="120"/>
      <c r="S405" s="77"/>
      <c r="T405" s="107" t="s">
        <v>214</v>
      </c>
      <c r="U405" s="123"/>
      <c r="V405" s="123"/>
      <c r="W405" s="104"/>
      <c r="X405" s="85"/>
      <c r="Y405" s="123"/>
      <c r="Z405" s="130" t="str">
        <f t="shared" si="140"/>
        <v>/* 테이블 : 메뉴권한 */ CREATE TABLE TB_MENU_ROLE (</v>
      </c>
      <c r="AA405" s="125" t="str">
        <f t="shared" si="134"/>
        <v>UPDT_DT TIMESTAMP,</v>
      </c>
      <c r="AB405" s="125" t="str">
        <f t="shared" si="138"/>
        <v/>
      </c>
      <c r="AC405" s="125" t="str">
        <f t="shared" si="139"/>
        <v/>
      </c>
      <c r="AD405" s="125" t="str">
        <f t="shared" si="133"/>
        <v/>
      </c>
      <c r="AE405" s="125" t="str">
        <f t="shared" si="141"/>
        <v/>
      </c>
      <c r="AF405" s="125" t="str">
        <f t="shared" si="142"/>
        <v>COMMENT ON COLUMN TB_MENU_ROLE.UPDT_DT IS '수정 일시' ;</v>
      </c>
      <c r="AG405" s="125" t="str">
        <f t="shared" si="135"/>
        <v>ALTER TABLE TB_MENU_ROLE ALTER COLUMN UPDT_DT TYPE TIMESTAMP;</v>
      </c>
      <c r="AH405" s="125" t="str">
        <f t="shared" si="136"/>
        <v>ALTER TABLE TB_MENU_ROLE ADD COLUMN UPDT_DT TIMESTAMP;</v>
      </c>
      <c r="AI405" s="125" t="str">
        <f t="shared" si="137"/>
        <v>ALTER TABLE TB_MENU_ROLE DROP COLUMN UPDT_DT;</v>
      </c>
    </row>
    <row r="406" spans="2:35" ht="20.100000000000001" customHeight="1">
      <c r="B406" s="135">
        <v>401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10</v>
      </c>
      <c r="H406" s="97" t="s">
        <v>96</v>
      </c>
      <c r="I406" s="97" t="s">
        <v>82</v>
      </c>
      <c r="J406" s="73" t="s">
        <v>72</v>
      </c>
      <c r="K406" s="61"/>
      <c r="L406" s="61"/>
      <c r="M406" s="61"/>
      <c r="N406" s="61"/>
      <c r="O406" s="61"/>
      <c r="P406" s="61"/>
      <c r="Q406" s="51" t="s">
        <v>804</v>
      </c>
      <c r="R406" s="120" t="s">
        <v>522</v>
      </c>
      <c r="S406" s="82" t="s">
        <v>803</v>
      </c>
      <c r="T406" s="107" t="s">
        <v>213</v>
      </c>
      <c r="U406" s="123"/>
      <c r="V406" s="123"/>
      <c r="W406" s="104"/>
      <c r="X406" s="85"/>
      <c r="Y406" s="123"/>
      <c r="Z406" s="130" t="str">
        <f t="shared" si="140"/>
        <v>/* 테이블 : 메뉴권한 */ CREATE TABLE TB_MENU_ROLE (</v>
      </c>
      <c r="AA406" s="125" t="str">
        <f t="shared" si="134"/>
        <v>DEL_YN BPCHAR(1) NOT NULL,</v>
      </c>
      <c r="AB406" s="125" t="str">
        <f t="shared" si="138"/>
        <v/>
      </c>
      <c r="AC406" s="125" t="str">
        <f t="shared" si="139"/>
        <v/>
      </c>
      <c r="AD406" s="125" t="str">
        <f t="shared" si="133"/>
        <v/>
      </c>
      <c r="AE406" s="125" t="str">
        <f t="shared" si="141"/>
        <v>ALTER TABLE TB_MENU_ROLE ALTER COLUMN DEL_YN SET DEFAULT 'N'::bpchar;</v>
      </c>
      <c r="AF406" s="125" t="str">
        <f t="shared" si="142"/>
        <v>COMMENT ON COLUMN TB_MENU_ROLE.DEL_YN IS '삭제 여부' ;</v>
      </c>
      <c r="AG406" s="125" t="str">
        <f t="shared" si="135"/>
        <v>ALTER TABLE TB_MENU_ROLE ALTER COLUMN DEL_YN TYPE BPCHAR(1);</v>
      </c>
      <c r="AH406" s="125" t="str">
        <f t="shared" si="136"/>
        <v>ALTER TABLE TB_MENU_ROLE ADD COLUMN DEL_YN BPCHAR(1) NOT NULL DEFAULT ''N'::bpchar';</v>
      </c>
      <c r="AI406" s="125" t="str">
        <f t="shared" si="137"/>
        <v>ALTER TABLE TB_MENU_ROLE DROP COLUMN DEL_YN;</v>
      </c>
    </row>
    <row r="407" spans="2:35" ht="20.100000000000001" customHeight="1">
      <c r="B407" s="55">
        <v>402</v>
      </c>
      <c r="C407" s="26" t="s">
        <v>7</v>
      </c>
      <c r="D407" s="26" t="s">
        <v>19</v>
      </c>
      <c r="E407" s="10" t="s">
        <v>43</v>
      </c>
      <c r="F407" s="10" t="s">
        <v>134</v>
      </c>
      <c r="G407" s="87">
        <v>1</v>
      </c>
      <c r="H407" s="104" t="s">
        <v>434</v>
      </c>
      <c r="I407" s="104" t="s">
        <v>426</v>
      </c>
      <c r="J407" s="73" t="s">
        <v>72</v>
      </c>
      <c r="K407" s="85">
        <v>1</v>
      </c>
      <c r="L407" s="85"/>
      <c r="M407" s="85"/>
      <c r="N407" s="85"/>
      <c r="O407" s="85"/>
      <c r="P407" s="85"/>
      <c r="Q407" s="104" t="s">
        <v>419</v>
      </c>
      <c r="R407" s="87"/>
      <c r="S407" s="85"/>
      <c r="T407" s="104" t="s">
        <v>456</v>
      </c>
      <c r="U407" s="125" t="str">
        <f>"SEQ_"&amp;E407&amp;"_SN"</f>
        <v>SEQ_TB_CMMN_CD_SN</v>
      </c>
      <c r="V407" s="125"/>
      <c r="W407" s="104"/>
      <c r="X407" s="85"/>
      <c r="Y407" s="123"/>
      <c r="Z407" s="130" t="str">
        <f t="shared" si="140"/>
        <v>/* 테이블 : 공통코드 */ CREATE TABLE TB_CMMN_CD (</v>
      </c>
      <c r="AA407" s="125" t="str">
        <f t="shared" si="134"/>
        <v>CD_SN INTEGER PRIMARY KEY,</v>
      </c>
      <c r="AB407" s="125" t="str">
        <f t="shared" si="138"/>
        <v/>
      </c>
      <c r="AC407" s="125" t="str">
        <f t="shared" si="139"/>
        <v>CREATE SEQUENCE SEQ_TB_CMMN_CD_SN START 100000;</v>
      </c>
      <c r="AD407" s="125" t="str">
        <f t="shared" si="133"/>
        <v>ALTER TABLE TB_CMMN_CD ALTER COLUMN CD_SN SET DEFAULT NEXTVAL('SEQ_TB_CMMN_CD_SN');</v>
      </c>
      <c r="AE407" s="125" t="str">
        <f t="shared" si="141"/>
        <v/>
      </c>
      <c r="AF407" s="125" t="str">
        <f t="shared" si="142"/>
        <v>COMMENT ON COLUMN TB_CMMN_CD.CD_SN IS '코드 일련번호' ;</v>
      </c>
      <c r="AG407" s="125" t="str">
        <f t="shared" si="135"/>
        <v>ALTER TABLE TB_CMMN_CD ALTER COLUMN CD_SN TYPE INTEGER;</v>
      </c>
      <c r="AH407" s="125" t="str">
        <f t="shared" si="136"/>
        <v>ALTER TABLE TB_CMMN_CD ADD COLUMN CD_SN INTEGER NOT NULL;</v>
      </c>
      <c r="AI407" s="125" t="str">
        <f t="shared" si="137"/>
        <v>ALTER TABLE TB_CMMN_CD DROP COLUMN CD_SN;</v>
      </c>
    </row>
    <row r="408" spans="2:35" ht="20.100000000000001" customHeight="1">
      <c r="B408" s="55">
        <v>403</v>
      </c>
      <c r="C408" s="26" t="s">
        <v>7</v>
      </c>
      <c r="D408" s="26" t="s">
        <v>19</v>
      </c>
      <c r="E408" s="10" t="s">
        <v>43</v>
      </c>
      <c r="F408" s="10" t="s">
        <v>134</v>
      </c>
      <c r="G408" s="87">
        <v>2</v>
      </c>
      <c r="H408" s="104" t="s">
        <v>435</v>
      </c>
      <c r="I408" s="104" t="s">
        <v>427</v>
      </c>
      <c r="J408" s="73" t="s">
        <v>72</v>
      </c>
      <c r="K408" s="85">
        <v>2</v>
      </c>
      <c r="L408" s="85"/>
      <c r="M408" s="85"/>
      <c r="N408" s="85"/>
      <c r="O408" s="85"/>
      <c r="P408" s="85"/>
      <c r="Q408" s="104" t="s">
        <v>420</v>
      </c>
      <c r="R408" s="119" t="s">
        <v>526</v>
      </c>
      <c r="S408" s="85"/>
      <c r="T408" s="104" t="s">
        <v>467</v>
      </c>
      <c r="U408" s="123"/>
      <c r="V408" s="123"/>
      <c r="W408" s="104"/>
      <c r="X408" s="85"/>
      <c r="Y408" s="123"/>
      <c r="Z408" s="130" t="str">
        <f t="shared" si="140"/>
        <v>/* 테이블 : 공통코드 */ CREATE TABLE TB_CMMN_CD (</v>
      </c>
      <c r="AA408" s="125" t="str">
        <f t="shared" si="134"/>
        <v>CD_NM VARCHAR(50) PRIMARY KEY,</v>
      </c>
      <c r="AB408" s="125" t="str">
        <f t="shared" si="138"/>
        <v/>
      </c>
      <c r="AC408" s="125" t="str">
        <f t="shared" si="139"/>
        <v/>
      </c>
      <c r="AD408" s="125" t="str">
        <f t="shared" si="133"/>
        <v/>
      </c>
      <c r="AE408" s="125" t="str">
        <f t="shared" si="141"/>
        <v/>
      </c>
      <c r="AF408" s="125" t="str">
        <f t="shared" si="142"/>
        <v>COMMENT ON COLUMN TB_CMMN_CD.CD_NM IS '코드 이름' ;</v>
      </c>
      <c r="AG408" s="125" t="str">
        <f t="shared" si="135"/>
        <v>ALTER TABLE TB_CMMN_CD ALTER COLUMN CD_NM TYPE VARCHAR(50);</v>
      </c>
      <c r="AH408" s="125" t="str">
        <f t="shared" si="136"/>
        <v>ALTER TABLE TB_CMMN_CD ADD COLUMN CD_NM VARCHAR(50) NOT NULL;</v>
      </c>
      <c r="AI408" s="125" t="str">
        <f t="shared" si="137"/>
        <v>ALTER TABLE TB_CMMN_CD DROP COLUMN CD_NM;</v>
      </c>
    </row>
    <row r="409" spans="2:35" ht="20.100000000000001" customHeight="1">
      <c r="B409" s="55">
        <v>404</v>
      </c>
      <c r="C409" s="26" t="s">
        <v>7</v>
      </c>
      <c r="D409" s="26" t="s">
        <v>19</v>
      </c>
      <c r="E409" s="10" t="s">
        <v>43</v>
      </c>
      <c r="F409" s="10" t="s">
        <v>134</v>
      </c>
      <c r="G409" s="87">
        <v>3</v>
      </c>
      <c r="H409" s="104" t="s">
        <v>436</v>
      </c>
      <c r="I409" s="104" t="s">
        <v>428</v>
      </c>
      <c r="J409" s="85"/>
      <c r="K409" s="85"/>
      <c r="L409" s="85"/>
      <c r="M409" s="85"/>
      <c r="N409" s="85"/>
      <c r="O409" s="85"/>
      <c r="P409" s="85"/>
      <c r="Q409" s="104" t="s">
        <v>171</v>
      </c>
      <c r="R409" s="87"/>
      <c r="S409" s="85"/>
      <c r="T409" s="104" t="s">
        <v>468</v>
      </c>
      <c r="U409" s="123"/>
      <c r="V409" s="123"/>
      <c r="W409" s="104"/>
      <c r="X409" s="85"/>
      <c r="Y409" s="123"/>
      <c r="Z409" s="130" t="str">
        <f t="shared" si="140"/>
        <v>/* 테이블 : 공통코드 */ CREATE TABLE TB_CMMN_CD (</v>
      </c>
      <c r="AA409" s="125" t="str">
        <f t="shared" si="134"/>
        <v>CD_DC TEXT,</v>
      </c>
      <c r="AB409" s="125" t="str">
        <f t="shared" si="138"/>
        <v/>
      </c>
      <c r="AC409" s="125" t="str">
        <f t="shared" si="139"/>
        <v/>
      </c>
      <c r="AD409" s="125" t="str">
        <f t="shared" si="133"/>
        <v/>
      </c>
      <c r="AE409" s="125" t="str">
        <f t="shared" si="141"/>
        <v/>
      </c>
      <c r="AF409" s="125" t="str">
        <f t="shared" si="142"/>
        <v>COMMENT ON COLUMN TB_CMMN_CD.CD_DC IS '코드 설명' ;</v>
      </c>
      <c r="AG409" s="125" t="str">
        <f t="shared" si="135"/>
        <v>ALTER TABLE TB_CMMN_CD ALTER COLUMN CD_DC TYPE TEXT;</v>
      </c>
      <c r="AH409" s="125" t="str">
        <f t="shared" si="136"/>
        <v>ALTER TABLE TB_CMMN_CD ADD COLUMN CD_DC TEXT;</v>
      </c>
      <c r="AI409" s="125" t="str">
        <f t="shared" si="137"/>
        <v>ALTER TABLE TB_CMMN_CD DROP COLUMN CD_DC;</v>
      </c>
    </row>
    <row r="410" spans="2:35" ht="20.100000000000001" customHeight="1">
      <c r="B410" s="135">
        <v>405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4</v>
      </c>
      <c r="H410" s="104" t="s">
        <v>788</v>
      </c>
      <c r="I410" s="104" t="s">
        <v>789</v>
      </c>
      <c r="J410" s="85"/>
      <c r="K410" s="85"/>
      <c r="L410" s="85"/>
      <c r="M410" s="85"/>
      <c r="N410" s="85"/>
      <c r="O410" s="85"/>
      <c r="P410" s="85"/>
      <c r="Q410" s="104" t="s">
        <v>420</v>
      </c>
      <c r="R410" s="119" t="s">
        <v>530</v>
      </c>
      <c r="S410" s="85"/>
      <c r="T410" s="104" t="s">
        <v>798</v>
      </c>
      <c r="U410" s="123"/>
      <c r="V410" s="123"/>
      <c r="W410" s="104"/>
      <c r="X410" s="85"/>
      <c r="Y410" s="123"/>
      <c r="Z410" s="130" t="str">
        <f t="shared" si="140"/>
        <v>/* 테이블 : 공통코드 */ CREATE TABLE TB_CMMN_CD (</v>
      </c>
      <c r="AA410" s="125" t="str">
        <f t="shared" si="134"/>
        <v>CD_VAL1 VARCHAR(2000),</v>
      </c>
      <c r="AB410" s="125" t="str">
        <f t="shared" si="138"/>
        <v/>
      </c>
      <c r="AC410" s="125" t="str">
        <f t="shared" si="139"/>
        <v/>
      </c>
      <c r="AD410" s="125" t="str">
        <f t="shared" si="133"/>
        <v/>
      </c>
      <c r="AE410" s="125" t="str">
        <f t="shared" si="141"/>
        <v/>
      </c>
      <c r="AF410" s="125" t="str">
        <f t="shared" si="142"/>
        <v>COMMENT ON COLUMN TB_CMMN_CD.CD_VAL1 IS '코드 값 1' ;</v>
      </c>
      <c r="AG410" s="125" t="str">
        <f t="shared" si="135"/>
        <v>ALTER TABLE TB_CMMN_CD ALTER COLUMN CD_VAL1 TYPE VARCHAR(2000);</v>
      </c>
      <c r="AH410" s="125" t="str">
        <f t="shared" si="136"/>
        <v>ALTER TABLE TB_CMMN_CD ADD COLUMN CD_VAL1 VARCHAR(2000);</v>
      </c>
      <c r="AI410" s="125" t="str">
        <f t="shared" si="137"/>
        <v>ALTER TABLE TB_CMMN_CD DROP COLUMN CD_VAL1;</v>
      </c>
    </row>
    <row r="411" spans="2:35" ht="20.100000000000001" customHeight="1">
      <c r="B411" s="55">
        <v>406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5</v>
      </c>
      <c r="H411" s="104" t="s">
        <v>790</v>
      </c>
      <c r="I411" s="104" t="s">
        <v>794</v>
      </c>
      <c r="J411" s="85"/>
      <c r="K411" s="85"/>
      <c r="L411" s="85"/>
      <c r="M411" s="85"/>
      <c r="N411" s="85"/>
      <c r="O411" s="85"/>
      <c r="P411" s="85"/>
      <c r="Q411" s="104" t="s">
        <v>420</v>
      </c>
      <c r="R411" s="119" t="s">
        <v>530</v>
      </c>
      <c r="S411" s="85"/>
      <c r="T411" s="104" t="s">
        <v>800</v>
      </c>
      <c r="U411" s="123"/>
      <c r="V411" s="123"/>
      <c r="W411" s="104"/>
      <c r="X411" s="85"/>
      <c r="Y411" s="123"/>
      <c r="Z411" s="130" t="str">
        <f t="shared" si="140"/>
        <v>/* 테이블 : 공통코드 */ CREATE TABLE TB_CMMN_CD (</v>
      </c>
      <c r="AA411" s="125" t="str">
        <f t="shared" si="134"/>
        <v>CD_VAL2 VARCHAR(2000),</v>
      </c>
      <c r="AB411" s="125" t="str">
        <f t="shared" si="138"/>
        <v/>
      </c>
      <c r="AC411" s="125" t="str">
        <f t="shared" si="139"/>
        <v/>
      </c>
      <c r="AD411" s="125" t="str">
        <f t="shared" si="133"/>
        <v/>
      </c>
      <c r="AE411" s="125" t="str">
        <f t="shared" si="141"/>
        <v/>
      </c>
      <c r="AF411" s="125" t="str">
        <f t="shared" si="142"/>
        <v>COMMENT ON COLUMN TB_CMMN_CD.CD_VAL2 IS '코드 값 2' ;</v>
      </c>
      <c r="AG411" s="125" t="str">
        <f t="shared" si="135"/>
        <v>ALTER TABLE TB_CMMN_CD ALTER COLUMN CD_VAL2 TYPE VARCHAR(2000);</v>
      </c>
      <c r="AH411" s="125" t="str">
        <f t="shared" si="136"/>
        <v>ALTER TABLE TB_CMMN_CD ADD COLUMN CD_VAL2 VARCHAR(2000);</v>
      </c>
      <c r="AI411" s="125" t="str">
        <f t="shared" si="137"/>
        <v>ALTER TABLE TB_CMMN_CD DROP COLUMN CD_VAL2;</v>
      </c>
    </row>
    <row r="412" spans="2:35" ht="20.100000000000001" customHeight="1">
      <c r="B412" s="55">
        <v>407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6</v>
      </c>
      <c r="H412" s="104" t="s">
        <v>791</v>
      </c>
      <c r="I412" s="104" t="s">
        <v>795</v>
      </c>
      <c r="J412" s="85"/>
      <c r="K412" s="85"/>
      <c r="L412" s="85"/>
      <c r="M412" s="85"/>
      <c r="N412" s="85"/>
      <c r="O412" s="85"/>
      <c r="P412" s="85"/>
      <c r="Q412" s="104" t="s">
        <v>420</v>
      </c>
      <c r="R412" s="119" t="s">
        <v>530</v>
      </c>
      <c r="S412" s="85"/>
      <c r="T412" s="104" t="s">
        <v>801</v>
      </c>
      <c r="U412" s="123"/>
      <c r="V412" s="123"/>
      <c r="W412" s="104"/>
      <c r="X412" s="85"/>
      <c r="Y412" s="123"/>
      <c r="Z412" s="130" t="str">
        <f t="shared" si="140"/>
        <v>/* 테이블 : 공통코드 */ CREATE TABLE TB_CMMN_CD (</v>
      </c>
      <c r="AA412" s="125" t="str">
        <f t="shared" si="134"/>
        <v>CD_VAL3 VARCHAR(2000),</v>
      </c>
      <c r="AB412" s="125" t="str">
        <f t="shared" si="138"/>
        <v/>
      </c>
      <c r="AC412" s="125" t="str">
        <f t="shared" si="139"/>
        <v/>
      </c>
      <c r="AD412" s="125" t="str">
        <f t="shared" si="133"/>
        <v/>
      </c>
      <c r="AE412" s="125" t="str">
        <f t="shared" si="141"/>
        <v/>
      </c>
      <c r="AF412" s="125" t="str">
        <f t="shared" si="142"/>
        <v>COMMENT ON COLUMN TB_CMMN_CD.CD_VAL3 IS '코드 값 3' ;</v>
      </c>
      <c r="AG412" s="125" t="str">
        <f t="shared" si="135"/>
        <v>ALTER TABLE TB_CMMN_CD ALTER COLUMN CD_VAL3 TYPE VARCHAR(2000);</v>
      </c>
      <c r="AH412" s="125" t="str">
        <f t="shared" si="136"/>
        <v>ALTER TABLE TB_CMMN_CD ADD COLUMN CD_VAL3 VARCHAR(2000);</v>
      </c>
      <c r="AI412" s="125" t="str">
        <f t="shared" si="137"/>
        <v>ALTER TABLE TB_CMMN_CD DROP COLUMN CD_VAL3;</v>
      </c>
    </row>
    <row r="413" spans="2:35" ht="20.100000000000001" customHeight="1">
      <c r="B413" s="55">
        <v>408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7</v>
      </c>
      <c r="H413" s="104" t="s">
        <v>792</v>
      </c>
      <c r="I413" s="104" t="s">
        <v>796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802</v>
      </c>
      <c r="U413" s="123"/>
      <c r="V413" s="123"/>
      <c r="W413" s="104"/>
      <c r="X413" s="85"/>
      <c r="Y413" s="123"/>
      <c r="Z413" s="130" t="str">
        <f t="shared" si="140"/>
        <v>/* 테이블 : 공통코드 */ CREATE TABLE TB_CMMN_CD (</v>
      </c>
      <c r="AA413" s="125" t="str">
        <f t="shared" si="134"/>
        <v>CD_VAL4 VARCHAR(2000),</v>
      </c>
      <c r="AB413" s="125" t="str">
        <f t="shared" si="138"/>
        <v/>
      </c>
      <c r="AC413" s="125" t="str">
        <f t="shared" si="139"/>
        <v/>
      </c>
      <c r="AD413" s="125" t="str">
        <f t="shared" si="133"/>
        <v/>
      </c>
      <c r="AE413" s="125" t="str">
        <f t="shared" si="141"/>
        <v/>
      </c>
      <c r="AF413" s="125" t="str">
        <f t="shared" si="142"/>
        <v>COMMENT ON COLUMN TB_CMMN_CD.CD_VAL4 IS '코드 값 4' ;</v>
      </c>
      <c r="AG413" s="125" t="str">
        <f t="shared" si="135"/>
        <v>ALTER TABLE TB_CMMN_CD ALTER COLUMN CD_VAL4 TYPE VARCHAR(2000);</v>
      </c>
      <c r="AH413" s="125" t="str">
        <f t="shared" si="136"/>
        <v>ALTER TABLE TB_CMMN_CD ADD COLUMN CD_VAL4 VARCHAR(2000);</v>
      </c>
      <c r="AI413" s="125" t="str">
        <f t="shared" si="137"/>
        <v>ALTER TABLE TB_CMMN_CD DROP COLUMN CD_VAL4;</v>
      </c>
    </row>
    <row r="414" spans="2:35" ht="20.100000000000001" customHeight="1">
      <c r="B414" s="135">
        <v>409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8</v>
      </c>
      <c r="H414" s="104" t="s">
        <v>793</v>
      </c>
      <c r="I414" s="104" t="s">
        <v>797</v>
      </c>
      <c r="J414" s="85"/>
      <c r="K414" s="85"/>
      <c r="L414" s="85"/>
      <c r="M414" s="85"/>
      <c r="N414" s="85"/>
      <c r="O414" s="85"/>
      <c r="P414" s="85"/>
      <c r="Q414" s="104" t="s">
        <v>420</v>
      </c>
      <c r="R414" s="119" t="s">
        <v>530</v>
      </c>
      <c r="S414" s="85"/>
      <c r="T414" s="104" t="s">
        <v>799</v>
      </c>
      <c r="U414" s="123"/>
      <c r="V414" s="123"/>
      <c r="W414" s="104"/>
      <c r="X414" s="85"/>
      <c r="Y414" s="123"/>
      <c r="Z414" s="130" t="str">
        <f t="shared" si="140"/>
        <v>/* 테이블 : 공통코드 */ CREATE TABLE TB_CMMN_CD (</v>
      </c>
      <c r="AA414" s="125" t="str">
        <f t="shared" si="134"/>
        <v>CD_VAL5 VARCHAR(2000),</v>
      </c>
      <c r="AB414" s="125" t="str">
        <f t="shared" si="138"/>
        <v/>
      </c>
      <c r="AC414" s="125" t="str">
        <f t="shared" si="139"/>
        <v/>
      </c>
      <c r="AD414" s="125" t="str">
        <f t="shared" si="133"/>
        <v/>
      </c>
      <c r="AE414" s="125" t="str">
        <f t="shared" si="141"/>
        <v/>
      </c>
      <c r="AF414" s="125" t="str">
        <f t="shared" si="142"/>
        <v>COMMENT ON COLUMN TB_CMMN_CD.CD_VAL5 IS '코드 값 5' ;</v>
      </c>
      <c r="AG414" s="125" t="str">
        <f t="shared" si="135"/>
        <v>ALTER TABLE TB_CMMN_CD ALTER COLUMN CD_VAL5 TYPE VARCHAR(2000);</v>
      </c>
      <c r="AH414" s="125" t="str">
        <f t="shared" si="136"/>
        <v>ALTER TABLE TB_CMMN_CD ADD COLUMN CD_VAL5 VARCHAR(2000);</v>
      </c>
      <c r="AI414" s="125" t="str">
        <f t="shared" si="137"/>
        <v>ALTER TABLE TB_CMMN_CD DROP COLUMN CD_VAL5;</v>
      </c>
    </row>
    <row r="415" spans="2:35" ht="20.100000000000001" customHeight="1">
      <c r="B415" s="55">
        <v>410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9</v>
      </c>
      <c r="H415" s="104" t="s">
        <v>432</v>
      </c>
      <c r="I415" s="104" t="s">
        <v>429</v>
      </c>
      <c r="J415" s="73" t="s">
        <v>72</v>
      </c>
      <c r="K415" s="85"/>
      <c r="L415" s="85"/>
      <c r="M415" s="85"/>
      <c r="N415" s="85"/>
      <c r="O415" s="85"/>
      <c r="P415" s="85"/>
      <c r="Q415" s="51" t="s">
        <v>804</v>
      </c>
      <c r="R415" s="119" t="s">
        <v>522</v>
      </c>
      <c r="S415" s="85"/>
      <c r="T415" s="104" t="s">
        <v>465</v>
      </c>
      <c r="U415" s="123"/>
      <c r="V415" s="123"/>
      <c r="W415" s="104"/>
      <c r="X415" s="85"/>
      <c r="Y415" s="123"/>
      <c r="Z415" s="130" t="str">
        <f t="shared" si="140"/>
        <v>/* 테이블 : 공통코드 */ CREATE TABLE TB_CMMN_CD (</v>
      </c>
      <c r="AA415" s="125" t="str">
        <f t="shared" si="134"/>
        <v>USE_YN BPCHAR(1) NOT NULL,</v>
      </c>
      <c r="AB415" s="125" t="str">
        <f t="shared" si="138"/>
        <v/>
      </c>
      <c r="AC415" s="125" t="str">
        <f t="shared" si="139"/>
        <v/>
      </c>
      <c r="AD415" s="125" t="str">
        <f t="shared" si="133"/>
        <v/>
      </c>
      <c r="AE415" s="125" t="str">
        <f t="shared" si="141"/>
        <v/>
      </c>
      <c r="AF415" s="125" t="str">
        <f t="shared" si="142"/>
        <v>COMMENT ON COLUMN TB_CMMN_CD.USE_YN IS '사용 여부' ;</v>
      </c>
      <c r="AG415" s="125" t="str">
        <f t="shared" si="135"/>
        <v>ALTER TABLE TB_CMMN_CD ALTER COLUMN USE_YN TYPE BPCHAR(1);</v>
      </c>
      <c r="AH415" s="125" t="str">
        <f t="shared" si="136"/>
        <v>ALTER TABLE TB_CMMN_CD ADD COLUMN USE_YN BPCHAR(1) NOT NULL;</v>
      </c>
      <c r="AI415" s="125" t="str">
        <f t="shared" si="137"/>
        <v>ALTER TABLE TB_CMMN_CD DROP COLUMN USE_YN;</v>
      </c>
    </row>
    <row r="416" spans="2:35" ht="20.100000000000001" customHeight="1">
      <c r="B416" s="55">
        <v>411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10</v>
      </c>
      <c r="H416" s="104" t="s">
        <v>580</v>
      </c>
      <c r="I416" s="104" t="s">
        <v>579</v>
      </c>
      <c r="J416" s="73" t="s">
        <v>72</v>
      </c>
      <c r="K416" s="85"/>
      <c r="L416" s="85"/>
      <c r="M416" s="85"/>
      <c r="N416" s="85"/>
      <c r="O416" s="85"/>
      <c r="P416" s="85"/>
      <c r="Q416" s="51" t="s">
        <v>804</v>
      </c>
      <c r="R416" s="119" t="s">
        <v>522</v>
      </c>
      <c r="S416" s="85"/>
      <c r="T416" s="104" t="s">
        <v>581</v>
      </c>
      <c r="U416" s="123"/>
      <c r="V416" s="123"/>
      <c r="W416" s="104" t="s">
        <v>582</v>
      </c>
      <c r="X416" s="85"/>
      <c r="Y416" s="123"/>
      <c r="Z416" s="130" t="str">
        <f t="shared" si="140"/>
        <v>/* 테이블 : 공통코드 */ CREATE TABLE TB_CMMN_CD (</v>
      </c>
      <c r="AA416" s="125" t="str">
        <f t="shared" si="134"/>
        <v>SYS_ESSNTL_CMMN_YN BPCHAR(1) NOT NULL,</v>
      </c>
      <c r="AB416" s="125" t="str">
        <f t="shared" si="138"/>
        <v/>
      </c>
      <c r="AC416" s="125" t="str">
        <f t="shared" si="139"/>
        <v/>
      </c>
      <c r="AD416" s="125" t="str">
        <f t="shared" si="133"/>
        <v/>
      </c>
      <c r="AE416" s="125" t="str">
        <f t="shared" si="141"/>
        <v/>
      </c>
      <c r="AF416" s="125" t="str">
        <f t="shared" si="142"/>
        <v>COMMENT ON COLUMN TB_CMMN_CD.SYS_ESSNTL_CMMN_YN IS '시스템 필수 코드 여부' ;</v>
      </c>
      <c r="AG416" s="125" t="str">
        <f t="shared" si="135"/>
        <v>ALTER TABLE TB_CMMN_CD ALTER COLUMN SYS_ESSNTL_CMMN_YN TYPE BPCHAR(1);</v>
      </c>
      <c r="AH416" s="125" t="str">
        <f t="shared" si="136"/>
        <v>ALTER TABLE TB_CMMN_CD ADD COLUMN SYS_ESSNTL_CMMN_YN BPCHAR(1) NOT NULL;</v>
      </c>
      <c r="AI416" s="125" t="str">
        <f t="shared" si="137"/>
        <v>ALTER TABLE TB_CMMN_CD DROP COLUMN SYS_ESSNTL_CMMN_YN;</v>
      </c>
    </row>
    <row r="417" spans="2:35" ht="20.100000000000001" customHeight="1">
      <c r="B417" s="55">
        <v>412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11</v>
      </c>
      <c r="H417" s="104" t="s">
        <v>433</v>
      </c>
      <c r="I417" s="104" t="s">
        <v>430</v>
      </c>
      <c r="J417" s="85"/>
      <c r="K417" s="85"/>
      <c r="L417" s="85"/>
      <c r="M417" s="85"/>
      <c r="N417" s="85"/>
      <c r="O417" s="85"/>
      <c r="P417" s="85"/>
      <c r="Q417" s="104" t="s">
        <v>420</v>
      </c>
      <c r="R417" s="119" t="s">
        <v>526</v>
      </c>
      <c r="S417" s="85"/>
      <c r="T417" s="104" t="s">
        <v>469</v>
      </c>
      <c r="U417" s="123"/>
      <c r="V417" s="123"/>
      <c r="W417" s="104" t="s">
        <v>466</v>
      </c>
      <c r="X417" s="85"/>
      <c r="Y417" s="123"/>
      <c r="Z417" s="130" t="str">
        <f t="shared" si="140"/>
        <v>/* 테이블 : 공통코드 */ CREATE TABLE TB_CMMN_CD (</v>
      </c>
      <c r="AA417" s="125" t="str">
        <f t="shared" si="134"/>
        <v>CL_CD VARCHAR(50),</v>
      </c>
      <c r="AB417" s="125" t="str">
        <f t="shared" si="138"/>
        <v/>
      </c>
      <c r="AC417" s="125" t="str">
        <f t="shared" si="139"/>
        <v/>
      </c>
      <c r="AD417" s="125" t="str">
        <f t="shared" si="133"/>
        <v/>
      </c>
      <c r="AE417" s="125" t="str">
        <f t="shared" si="141"/>
        <v/>
      </c>
      <c r="AF417" s="125" t="str">
        <f t="shared" si="142"/>
        <v>COMMENT ON COLUMN TB_CMMN_CD.CL_CD IS '분류 코드' ;</v>
      </c>
      <c r="AG417" s="125" t="str">
        <f t="shared" si="135"/>
        <v>ALTER TABLE TB_CMMN_CD ALTER COLUMN CL_CD TYPE VARCHAR(50);</v>
      </c>
      <c r="AH417" s="125" t="str">
        <f t="shared" si="136"/>
        <v>ALTER TABLE TB_CMMN_CD ADD COLUMN CL_CD VARCHAR(50);</v>
      </c>
      <c r="AI417" s="125" t="str">
        <f t="shared" si="137"/>
        <v>ALTER TABLE TB_CMMN_CD DROP COLUMN CL_CD;</v>
      </c>
    </row>
    <row r="418" spans="2:35" ht="20.100000000000001" customHeight="1">
      <c r="B418" s="135">
        <v>413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12</v>
      </c>
      <c r="H418" s="104" t="s">
        <v>437</v>
      </c>
      <c r="I418" s="104" t="s">
        <v>431</v>
      </c>
      <c r="J418" s="85"/>
      <c r="K418" s="85"/>
      <c r="L418" s="85"/>
      <c r="M418" s="85"/>
      <c r="N418" s="85"/>
      <c r="O418" s="85"/>
      <c r="P418" s="85"/>
      <c r="Q418" s="104" t="s">
        <v>520</v>
      </c>
      <c r="R418" s="87"/>
      <c r="S418" s="85"/>
      <c r="T418" s="104" t="s">
        <v>431</v>
      </c>
      <c r="U418" s="123"/>
      <c r="V418" s="123"/>
      <c r="W418" s="104"/>
      <c r="X418" s="85"/>
      <c r="Y418" s="123"/>
      <c r="Z418" s="130" t="str">
        <f t="shared" si="140"/>
        <v>/* 테이블 : 공통코드 */ CREATE TABLE TB_CMMN_CD (</v>
      </c>
      <c r="AA418" s="125" t="str">
        <f t="shared" si="134"/>
        <v>REMARK TEXT,</v>
      </c>
      <c r="AB418" s="125" t="str">
        <f t="shared" si="138"/>
        <v/>
      </c>
      <c r="AC418" s="125" t="str">
        <f t="shared" si="139"/>
        <v/>
      </c>
      <c r="AD418" s="125" t="str">
        <f t="shared" si="133"/>
        <v/>
      </c>
      <c r="AE418" s="125" t="str">
        <f t="shared" si="141"/>
        <v/>
      </c>
      <c r="AF418" s="125" t="str">
        <f t="shared" si="142"/>
        <v>COMMENT ON COLUMN TB_CMMN_CD.REMARK IS '비고' ;</v>
      </c>
      <c r="AG418" s="125" t="str">
        <f t="shared" si="135"/>
        <v>ALTER TABLE TB_CMMN_CD ALTER COLUMN REMARK TYPE TEXT;</v>
      </c>
      <c r="AH418" s="125" t="str">
        <f t="shared" si="136"/>
        <v>ALTER TABLE TB_CMMN_CD ADD COLUMN REMARK TEXT;</v>
      </c>
      <c r="AI418" s="125" t="str">
        <f t="shared" si="137"/>
        <v>ALTER TABLE TB_CMMN_CD DROP COLUMN REMARK;</v>
      </c>
    </row>
    <row r="419" spans="2:35" ht="20.100000000000001" customHeight="1">
      <c r="B419" s="55">
        <v>414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13</v>
      </c>
      <c r="H419" s="97" t="s">
        <v>107</v>
      </c>
      <c r="I419" s="51" t="s">
        <v>76</v>
      </c>
      <c r="J419" s="73" t="s">
        <v>72</v>
      </c>
      <c r="K419" s="67"/>
      <c r="L419" s="67"/>
      <c r="M419" s="77"/>
      <c r="N419" s="77"/>
      <c r="O419" s="77"/>
      <c r="P419" s="77"/>
      <c r="Q419" s="100" t="s">
        <v>521</v>
      </c>
      <c r="R419" s="119" t="s">
        <v>526</v>
      </c>
      <c r="S419" s="80"/>
      <c r="T419" s="107" t="s">
        <v>219</v>
      </c>
      <c r="U419" s="123"/>
      <c r="V419" s="123"/>
      <c r="W419" s="116" t="s">
        <v>496</v>
      </c>
      <c r="X419" s="85"/>
      <c r="Y419" s="123"/>
      <c r="Z419" s="130" t="str">
        <f t="shared" si="140"/>
        <v>/* 테이블 : 공통코드 */ CREATE TABLE TB_CMMN_CD (</v>
      </c>
      <c r="AA419" s="125" t="str">
        <f t="shared" si="134"/>
        <v>REGISTER_ID VARCHAR(50) NOT NULL,</v>
      </c>
      <c r="AB419" s="125" t="str">
        <f t="shared" si="138"/>
        <v/>
      </c>
      <c r="AC419" s="125" t="str">
        <f t="shared" si="139"/>
        <v/>
      </c>
      <c r="AD419" s="125" t="str">
        <f t="shared" si="133"/>
        <v/>
      </c>
      <c r="AE419" s="125" t="str">
        <f t="shared" si="141"/>
        <v/>
      </c>
      <c r="AF419" s="125" t="str">
        <f t="shared" si="142"/>
        <v>COMMENT ON COLUMN TB_CMMN_CD.REGISTER_ID IS '등록자 ID' ;</v>
      </c>
      <c r="AG419" s="125" t="str">
        <f t="shared" si="135"/>
        <v>ALTER TABLE TB_CMMN_CD ALTER COLUMN REGISTER_ID TYPE VARCHAR(50);</v>
      </c>
      <c r="AH419" s="125" t="str">
        <f t="shared" si="136"/>
        <v>ALTER TABLE TB_CMMN_CD ADD COLUMN REGISTER_ID VARCHAR(50) NOT NULL;</v>
      </c>
      <c r="AI419" s="125" t="str">
        <f t="shared" si="137"/>
        <v>ALTER TABLE TB_CMMN_CD DROP COLUMN REGISTER_ID;</v>
      </c>
    </row>
    <row r="420" spans="2:35" ht="20.100000000000001" customHeight="1">
      <c r="B420" s="55">
        <v>415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14</v>
      </c>
      <c r="H420" s="97" t="s">
        <v>91</v>
      </c>
      <c r="I420" s="51" t="s">
        <v>77</v>
      </c>
      <c r="J420" s="73" t="s">
        <v>72</v>
      </c>
      <c r="K420" s="52"/>
      <c r="L420" s="52"/>
      <c r="M420" s="52"/>
      <c r="N420" s="52"/>
      <c r="O420" s="52"/>
      <c r="P420" s="52"/>
      <c r="Q420" s="56" t="s">
        <v>106</v>
      </c>
      <c r="R420" s="120" t="s">
        <v>527</v>
      </c>
      <c r="S420" s="80"/>
      <c r="T420" s="107" t="s">
        <v>218</v>
      </c>
      <c r="U420" s="123"/>
      <c r="V420" s="123"/>
      <c r="W420" s="104"/>
      <c r="X420" s="85"/>
      <c r="Y420" s="123"/>
      <c r="Z420" s="130" t="str">
        <f t="shared" si="140"/>
        <v>/* 테이블 : 공통코드 */ CREATE TABLE TB_CMMN_CD (</v>
      </c>
      <c r="AA420" s="125" t="str">
        <f t="shared" si="134"/>
        <v>REGISTER_IP VARCHAR(100) NOT NULL,</v>
      </c>
      <c r="AB420" s="125" t="str">
        <f t="shared" si="138"/>
        <v/>
      </c>
      <c r="AC420" s="125" t="str">
        <f t="shared" si="139"/>
        <v/>
      </c>
      <c r="AD420" s="125" t="str">
        <f t="shared" si="133"/>
        <v/>
      </c>
      <c r="AE420" s="125" t="str">
        <f t="shared" si="141"/>
        <v/>
      </c>
      <c r="AF420" s="125" t="str">
        <f t="shared" si="142"/>
        <v>COMMENT ON COLUMN TB_CMMN_CD.REGISTER_IP IS '등록자 IP' ;</v>
      </c>
      <c r="AG420" s="125" t="str">
        <f t="shared" si="135"/>
        <v>ALTER TABLE TB_CMMN_CD ALTER COLUMN REGISTER_IP TYPE VARCHAR(100);</v>
      </c>
      <c r="AH420" s="125" t="str">
        <f t="shared" si="136"/>
        <v>ALTER TABLE TB_CMMN_CD ADD COLUMN REGISTER_IP VARCHAR(100) NOT NULL;</v>
      </c>
      <c r="AI420" s="125" t="str">
        <f t="shared" si="137"/>
        <v>ALTER TABLE TB_CMMN_CD DROP COLUMN REGISTER_IP;</v>
      </c>
    </row>
    <row r="421" spans="2:35" ht="20.100000000000001" customHeight="1">
      <c r="B421" s="55">
        <v>416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15</v>
      </c>
      <c r="H421" s="97" t="s">
        <v>92</v>
      </c>
      <c r="I421" s="96" t="s">
        <v>78</v>
      </c>
      <c r="J421" s="73" t="s">
        <v>72</v>
      </c>
      <c r="K421" s="52"/>
      <c r="L421" s="52"/>
      <c r="M421" s="52"/>
      <c r="N421" s="52"/>
      <c r="O421" s="52"/>
      <c r="P421" s="52"/>
      <c r="Q421" s="51" t="s">
        <v>706</v>
      </c>
      <c r="R421" s="120"/>
      <c r="S421" s="80"/>
      <c r="T421" s="107" t="s">
        <v>217</v>
      </c>
      <c r="U421" s="123"/>
      <c r="V421" s="123"/>
      <c r="W421" s="104"/>
      <c r="X421" s="85"/>
      <c r="Y421" s="123"/>
      <c r="Z421" s="130" t="str">
        <f t="shared" si="140"/>
        <v>/* 테이블 : 공통코드 */ CREATE TABLE TB_CMMN_CD (</v>
      </c>
      <c r="AA421" s="125" t="str">
        <f t="shared" si="134"/>
        <v>REG_DT TIMESTAMP NOT NULL,</v>
      </c>
      <c r="AB421" s="125" t="str">
        <f t="shared" si="138"/>
        <v/>
      </c>
      <c r="AC421" s="125" t="str">
        <f t="shared" si="139"/>
        <v/>
      </c>
      <c r="AD421" s="125" t="str">
        <f t="shared" si="133"/>
        <v/>
      </c>
      <c r="AE421" s="125" t="str">
        <f t="shared" si="141"/>
        <v/>
      </c>
      <c r="AF421" s="125" t="str">
        <f t="shared" si="142"/>
        <v>COMMENT ON COLUMN TB_CMMN_CD.REG_DT IS '등록 일시' ;</v>
      </c>
      <c r="AG421" s="125" t="str">
        <f t="shared" si="135"/>
        <v>ALTER TABLE TB_CMMN_CD ALTER COLUMN REG_DT TYPE TIMESTAMP;</v>
      </c>
      <c r="AH421" s="125" t="str">
        <f t="shared" si="136"/>
        <v>ALTER TABLE TB_CMMN_CD ADD COLUMN REG_DT TIMESTAMP NOT NULL;</v>
      </c>
      <c r="AI421" s="125" t="str">
        <f t="shared" si="137"/>
        <v>ALTER TABLE TB_CMMN_CD DROP COLUMN REG_DT;</v>
      </c>
    </row>
    <row r="422" spans="2:35" ht="20.100000000000001" customHeight="1">
      <c r="B422" s="135">
        <v>417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16</v>
      </c>
      <c r="H422" s="97" t="s">
        <v>93</v>
      </c>
      <c r="I422" s="96" t="s">
        <v>80</v>
      </c>
      <c r="J422" s="52"/>
      <c r="K422" s="52"/>
      <c r="L422" s="52"/>
      <c r="M422" s="79"/>
      <c r="N422" s="79"/>
      <c r="O422" s="79"/>
      <c r="P422" s="79"/>
      <c r="Q422" s="100" t="s">
        <v>521</v>
      </c>
      <c r="R422" s="119" t="s">
        <v>526</v>
      </c>
      <c r="S422" s="80"/>
      <c r="T422" s="107" t="s">
        <v>216</v>
      </c>
      <c r="U422" s="123"/>
      <c r="V422" s="123"/>
      <c r="W422" s="116" t="s">
        <v>496</v>
      </c>
      <c r="X422" s="85"/>
      <c r="Y422" s="123"/>
      <c r="Z422" s="130" t="str">
        <f t="shared" si="140"/>
        <v>/* 테이블 : 공통코드 */ CREATE TABLE TB_CMMN_CD (</v>
      </c>
      <c r="AA422" s="125" t="str">
        <f t="shared" si="134"/>
        <v>UPDUSR_ID VARCHAR(50),</v>
      </c>
      <c r="AB422" s="125" t="str">
        <f t="shared" si="138"/>
        <v/>
      </c>
      <c r="AC422" s="125" t="str">
        <f t="shared" si="139"/>
        <v/>
      </c>
      <c r="AD422" s="125" t="str">
        <f t="shared" si="133"/>
        <v/>
      </c>
      <c r="AE422" s="125" t="str">
        <f t="shared" si="141"/>
        <v/>
      </c>
      <c r="AF422" s="125" t="str">
        <f t="shared" si="142"/>
        <v>COMMENT ON COLUMN TB_CMMN_CD.UPDUSR_ID IS '수정자 ID' ;</v>
      </c>
      <c r="AG422" s="125" t="str">
        <f t="shared" si="135"/>
        <v>ALTER TABLE TB_CMMN_CD ALTER COLUMN UPDUSR_ID TYPE VARCHAR(50);</v>
      </c>
      <c r="AH422" s="125" t="str">
        <f t="shared" si="136"/>
        <v>ALTER TABLE TB_CMMN_CD ADD COLUMN UPDUSR_ID VARCHAR(50);</v>
      </c>
      <c r="AI422" s="125" t="str">
        <f t="shared" si="137"/>
        <v>ALTER TABLE TB_CMMN_CD DROP COLUMN UPDUSR_ID;</v>
      </c>
    </row>
    <row r="423" spans="2:35" ht="20.100000000000001" customHeight="1">
      <c r="B423" s="55">
        <v>418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17</v>
      </c>
      <c r="H423" s="97" t="s">
        <v>94</v>
      </c>
      <c r="I423" s="96" t="s">
        <v>79</v>
      </c>
      <c r="J423" s="52"/>
      <c r="K423" s="52"/>
      <c r="L423" s="52"/>
      <c r="M423" s="52"/>
      <c r="N423" s="52"/>
      <c r="O423" s="52"/>
      <c r="P423" s="52"/>
      <c r="Q423" s="56" t="s">
        <v>106</v>
      </c>
      <c r="R423" s="120" t="s">
        <v>527</v>
      </c>
      <c r="S423" s="80"/>
      <c r="T423" s="107" t="s">
        <v>215</v>
      </c>
      <c r="U423" s="123"/>
      <c r="V423" s="123"/>
      <c r="W423" s="104"/>
      <c r="X423" s="85"/>
      <c r="Y423" s="123"/>
      <c r="Z423" s="130" t="str">
        <f t="shared" si="140"/>
        <v>/* 테이블 : 공통코드 */ CREATE TABLE TB_CMMN_CD (</v>
      </c>
      <c r="AA423" s="125" t="str">
        <f t="shared" si="134"/>
        <v>UPDUSR_IP VARCHAR(100),</v>
      </c>
      <c r="AB423" s="125" t="str">
        <f t="shared" si="138"/>
        <v/>
      </c>
      <c r="AC423" s="125" t="str">
        <f t="shared" si="139"/>
        <v/>
      </c>
      <c r="AD423" s="125" t="str">
        <f t="shared" si="133"/>
        <v/>
      </c>
      <c r="AE423" s="125" t="str">
        <f t="shared" si="141"/>
        <v/>
      </c>
      <c r="AF423" s="125" t="str">
        <f t="shared" si="142"/>
        <v>COMMENT ON COLUMN TB_CMMN_CD.UPDUSR_IP IS '수정자 IP' ;</v>
      </c>
      <c r="AG423" s="125" t="str">
        <f t="shared" si="135"/>
        <v>ALTER TABLE TB_CMMN_CD ALTER COLUMN UPDUSR_IP TYPE VARCHAR(100);</v>
      </c>
      <c r="AH423" s="125" t="str">
        <f t="shared" si="136"/>
        <v>ALTER TABLE TB_CMMN_CD ADD COLUMN UPDUSR_IP VARCHAR(100);</v>
      </c>
      <c r="AI423" s="125" t="str">
        <f t="shared" si="137"/>
        <v>ALTER TABLE TB_CMMN_CD DROP COLUMN UPDUSR_IP;</v>
      </c>
    </row>
    <row r="424" spans="2:35" ht="20.100000000000001" customHeight="1">
      <c r="B424" s="55">
        <v>419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18</v>
      </c>
      <c r="H424" s="98" t="s">
        <v>95</v>
      </c>
      <c r="I424" s="97" t="s">
        <v>81</v>
      </c>
      <c r="J424" s="61"/>
      <c r="K424" s="61"/>
      <c r="L424" s="61"/>
      <c r="M424" s="61"/>
      <c r="N424" s="61"/>
      <c r="O424" s="61"/>
      <c r="P424" s="61"/>
      <c r="Q424" s="51" t="s">
        <v>706</v>
      </c>
      <c r="R424" s="120"/>
      <c r="S424" s="77"/>
      <c r="T424" s="107" t="s">
        <v>214</v>
      </c>
      <c r="U424" s="123"/>
      <c r="V424" s="123"/>
      <c r="W424" s="104"/>
      <c r="X424" s="85"/>
      <c r="Y424" s="123"/>
      <c r="Z424" s="130" t="str">
        <f t="shared" si="140"/>
        <v>/* 테이블 : 공통코드 */ CREATE TABLE TB_CMMN_CD (</v>
      </c>
      <c r="AA424" s="125" t="str">
        <f t="shared" si="134"/>
        <v>UPDT_DT TIMESTAMP,</v>
      </c>
      <c r="AB424" s="125" t="str">
        <f t="shared" si="138"/>
        <v/>
      </c>
      <c r="AC424" s="125" t="str">
        <f t="shared" si="139"/>
        <v/>
      </c>
      <c r="AD424" s="125" t="str">
        <f t="shared" si="133"/>
        <v/>
      </c>
      <c r="AE424" s="125" t="str">
        <f t="shared" si="141"/>
        <v/>
      </c>
      <c r="AF424" s="125" t="str">
        <f t="shared" si="142"/>
        <v>COMMENT ON COLUMN TB_CMMN_CD.UPDT_DT IS '수정 일시' ;</v>
      </c>
      <c r="AG424" s="125" t="str">
        <f t="shared" si="135"/>
        <v>ALTER TABLE TB_CMMN_CD ALTER COLUMN UPDT_DT TYPE TIMESTAMP;</v>
      </c>
      <c r="AH424" s="125" t="str">
        <f t="shared" si="136"/>
        <v>ALTER TABLE TB_CMMN_CD ADD COLUMN UPDT_DT TIMESTAMP;</v>
      </c>
      <c r="AI424" s="125" t="str">
        <f t="shared" si="137"/>
        <v>ALTER TABLE TB_CMMN_CD DROP COLUMN UPDT_DT;</v>
      </c>
    </row>
    <row r="425" spans="2:35" ht="20.100000000000001" customHeight="1">
      <c r="B425" s="55">
        <v>420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19</v>
      </c>
      <c r="H425" s="97" t="s">
        <v>96</v>
      </c>
      <c r="I425" s="97" t="s">
        <v>82</v>
      </c>
      <c r="J425" s="73" t="s">
        <v>72</v>
      </c>
      <c r="K425" s="61"/>
      <c r="L425" s="61"/>
      <c r="M425" s="61"/>
      <c r="N425" s="61"/>
      <c r="O425" s="61"/>
      <c r="P425" s="61"/>
      <c r="Q425" s="51" t="s">
        <v>804</v>
      </c>
      <c r="R425" s="120" t="s">
        <v>522</v>
      </c>
      <c r="S425" s="82" t="s">
        <v>803</v>
      </c>
      <c r="T425" s="107" t="s">
        <v>213</v>
      </c>
      <c r="U425" s="123"/>
      <c r="V425" s="123"/>
      <c r="W425" s="104"/>
      <c r="X425" s="85"/>
      <c r="Y425" s="123"/>
      <c r="Z425" s="130" t="str">
        <f t="shared" si="140"/>
        <v>/* 테이블 : 공통코드 */ CREATE TABLE TB_CMMN_CD (</v>
      </c>
      <c r="AA425" s="125" t="str">
        <f t="shared" si="134"/>
        <v>DEL_YN BPCHAR(1) NOT NULL,</v>
      </c>
      <c r="AB425" s="125" t="str">
        <f t="shared" si="138"/>
        <v/>
      </c>
      <c r="AC425" s="125" t="str">
        <f t="shared" si="139"/>
        <v/>
      </c>
      <c r="AD425" s="125" t="str">
        <f t="shared" si="133"/>
        <v/>
      </c>
      <c r="AE425" s="125" t="str">
        <f t="shared" si="141"/>
        <v>ALTER TABLE TB_CMMN_CD ALTER COLUMN DEL_YN SET DEFAULT 'N'::bpchar;</v>
      </c>
      <c r="AF425" s="125" t="str">
        <f t="shared" si="142"/>
        <v>COMMENT ON COLUMN TB_CMMN_CD.DEL_YN IS '삭제 여부' ;</v>
      </c>
      <c r="AG425" s="125" t="str">
        <f t="shared" si="135"/>
        <v>ALTER TABLE TB_CMMN_CD ALTER COLUMN DEL_YN TYPE BPCHAR(1);</v>
      </c>
      <c r="AH425" s="125" t="str">
        <f t="shared" si="136"/>
        <v>ALTER TABLE TB_CMMN_CD ADD COLUMN DEL_YN BPCHAR(1) NOT NULL DEFAULT ''N'::bpchar';</v>
      </c>
      <c r="AI425" s="125" t="str">
        <f t="shared" si="137"/>
        <v>ALTER TABLE TB_CMMN_CD DROP COLUMN DEL_YN;</v>
      </c>
    </row>
    <row r="426" spans="2:35" ht="20.100000000000001" customHeight="1">
      <c r="B426" s="135">
        <v>421</v>
      </c>
      <c r="C426" s="26" t="s">
        <v>7</v>
      </c>
      <c r="D426" s="26" t="s">
        <v>19</v>
      </c>
      <c r="E426" s="10" t="s">
        <v>424</v>
      </c>
      <c r="F426" s="10" t="s">
        <v>425</v>
      </c>
      <c r="G426" s="87">
        <v>1</v>
      </c>
      <c r="H426" s="104" t="s">
        <v>438</v>
      </c>
      <c r="I426" s="104" t="s">
        <v>453</v>
      </c>
      <c r="J426" s="85" t="s">
        <v>418</v>
      </c>
      <c r="K426" s="85">
        <v>1</v>
      </c>
      <c r="L426" s="85"/>
      <c r="M426" s="85"/>
      <c r="N426" s="85"/>
      <c r="O426" s="85"/>
      <c r="P426" s="85"/>
      <c r="Q426" s="104" t="s">
        <v>419</v>
      </c>
      <c r="R426" s="87"/>
      <c r="S426" s="85"/>
      <c r="T426" s="104" t="s">
        <v>455</v>
      </c>
      <c r="U426" s="125" t="str">
        <f>"SEQ_"&amp;E426&amp;"_SN"</f>
        <v>SEQ_TB_CMMN_CD_DETAIL_SN</v>
      </c>
      <c r="V426" s="125"/>
      <c r="W426" s="104"/>
      <c r="X426" s="85"/>
      <c r="Y426" s="123"/>
      <c r="Z426" s="130" t="str">
        <f t="shared" si="140"/>
        <v>/* 테이블 : 공통코드상세 */ CREATE TABLE TB_CMMN_CD_DETAIL (</v>
      </c>
      <c r="AA426" s="125" t="str">
        <f t="shared" si="134"/>
        <v>CD_DETAIL_SN INTEGER PRIMARY KEY,</v>
      </c>
      <c r="AB426" s="125" t="str">
        <f t="shared" si="138"/>
        <v/>
      </c>
      <c r="AC426" s="125" t="str">
        <f t="shared" si="139"/>
        <v>CREATE SEQUENCE SEQ_TB_CMMN_CD_DETAIL_SN START 100000;</v>
      </c>
      <c r="AD426" s="125" t="str">
        <f t="shared" ref="AD426:AD465" si="143">IF(ISBLANK(U426),"","ALTER TABLE "&amp;E426&amp;" ALTER COLUMN "&amp;H426&amp;" SET DEFAULT NEXTVAL('"&amp;U426&amp;"');")</f>
        <v>ALTER TABLE TB_CMMN_CD_DETAIL ALTER COLUMN CD_DETAIL_SN SET DEFAULT NEXTVAL('SEQ_TB_CMMN_CD_DETAIL_SN');</v>
      </c>
      <c r="AE426" s="125" t="str">
        <f t="shared" si="141"/>
        <v/>
      </c>
      <c r="AF426" s="125" t="str">
        <f t="shared" si="142"/>
        <v>COMMENT ON COLUMN TB_CMMN_CD_DETAIL.CD_DETAIL_SN IS '코드 상세 일련번호' ;</v>
      </c>
      <c r="AG426" s="125" t="str">
        <f t="shared" si="135"/>
        <v>ALTER TABLE TB_CMMN_CD_DETAIL ALTER COLUMN CD_DETAIL_SN TYPE INTEGER;</v>
      </c>
      <c r="AH426" s="125" t="str">
        <f t="shared" si="136"/>
        <v>ALTER TABLE TB_CMMN_CD_DETAIL ADD COLUMN CD_DETAIL_SN INTEGER NOT NULL;</v>
      </c>
      <c r="AI426" s="125" t="str">
        <f t="shared" si="137"/>
        <v>ALTER TABLE TB_CMMN_CD_DETAIL DROP COLUMN CD_DETAIL_SN;</v>
      </c>
    </row>
    <row r="427" spans="2:35" ht="20.100000000000001" customHeight="1">
      <c r="B427" s="55">
        <v>422</v>
      </c>
      <c r="C427" s="26" t="s">
        <v>7</v>
      </c>
      <c r="D427" s="26" t="s">
        <v>19</v>
      </c>
      <c r="E427" s="10" t="s">
        <v>424</v>
      </c>
      <c r="F427" s="10" t="s">
        <v>425</v>
      </c>
      <c r="G427" s="87">
        <v>2</v>
      </c>
      <c r="H427" s="104" t="s">
        <v>435</v>
      </c>
      <c r="I427" s="104" t="s">
        <v>427</v>
      </c>
      <c r="J427" s="85" t="s">
        <v>418</v>
      </c>
      <c r="K427" s="85"/>
      <c r="L427" s="85"/>
      <c r="M427" s="10"/>
      <c r="N427" s="104"/>
      <c r="O427" s="95"/>
      <c r="P427" s="95"/>
      <c r="Q427" s="104" t="s">
        <v>106</v>
      </c>
      <c r="R427" s="119" t="s">
        <v>526</v>
      </c>
      <c r="S427" s="85"/>
      <c r="T427" s="104" t="s">
        <v>467</v>
      </c>
      <c r="U427" s="123"/>
      <c r="V427" s="123"/>
      <c r="W427" s="104" t="s">
        <v>757</v>
      </c>
      <c r="X427" s="85"/>
      <c r="Y427" s="123"/>
      <c r="Z427" s="130" t="str">
        <f t="shared" si="140"/>
        <v>/* 테이블 : 공통코드상세 */ CREATE TABLE TB_CMMN_CD_DETAIL (</v>
      </c>
      <c r="AA427" s="125" t="str">
        <f t="shared" ref="AA427:AA465" si="144">H427&amp;" "&amp;Q427&amp;R427&amp;IF(ISBLANK(K427),""," PRIMARY KEY")&amp;IF(AND(ISBLANK(K427),J427="Y")," NOT NULL","")&amp;","</f>
        <v>CD_NM VARCHAR(50) NOT NULL,</v>
      </c>
      <c r="AB427" s="125" t="str">
        <f t="shared" si="138"/>
        <v/>
      </c>
      <c r="AC427" s="125" t="str">
        <f t="shared" si="139"/>
        <v/>
      </c>
      <c r="AD427" s="125" t="str">
        <f t="shared" si="143"/>
        <v/>
      </c>
      <c r="AE427" s="125" t="str">
        <f t="shared" si="141"/>
        <v/>
      </c>
      <c r="AF427" s="125" t="str">
        <f t="shared" si="142"/>
        <v>COMMENT ON COLUMN TB_CMMN_CD_DETAIL.CD_NM IS '코드 이름' ;</v>
      </c>
      <c r="AG427" s="125" t="str">
        <f t="shared" si="135"/>
        <v>ALTER TABLE TB_CMMN_CD_DETAIL ALTER COLUMN CD_NM TYPE VARCHAR(50);</v>
      </c>
      <c r="AH427" s="125" t="str">
        <f t="shared" si="136"/>
        <v>ALTER TABLE TB_CMMN_CD_DETAIL ADD COLUMN CD_NM VARCHAR(50) NOT NULL;</v>
      </c>
      <c r="AI427" s="125" t="str">
        <f t="shared" si="137"/>
        <v>ALTER TABLE TB_CMMN_CD_DETAIL DROP COLUMN CD_NM;</v>
      </c>
    </row>
    <row r="428" spans="2:35" ht="20.100000000000001" customHeight="1">
      <c r="B428" s="55">
        <v>423</v>
      </c>
      <c r="C428" s="26" t="s">
        <v>7</v>
      </c>
      <c r="D428" s="26" t="s">
        <v>19</v>
      </c>
      <c r="E428" s="10" t="s">
        <v>424</v>
      </c>
      <c r="F428" s="10" t="s">
        <v>425</v>
      </c>
      <c r="G428" s="87">
        <v>3</v>
      </c>
      <c r="H428" s="104" t="s">
        <v>454</v>
      </c>
      <c r="I428" s="104" t="s">
        <v>532</v>
      </c>
      <c r="J428" s="85"/>
      <c r="K428" s="85"/>
      <c r="L428" s="85"/>
      <c r="M428" s="85"/>
      <c r="N428" s="85"/>
      <c r="O428" s="85"/>
      <c r="P428" s="85"/>
      <c r="Q428" s="104" t="s">
        <v>229</v>
      </c>
      <c r="R428" s="47"/>
      <c r="S428" s="85"/>
      <c r="T428" s="104" t="s">
        <v>457</v>
      </c>
      <c r="U428" s="125"/>
      <c r="V428" s="125"/>
      <c r="W428" s="104"/>
      <c r="X428" s="85"/>
      <c r="Y428" s="123"/>
      <c r="Z428" s="130" t="str">
        <f t="shared" si="140"/>
        <v>/* 테이블 : 공통코드상세 */ CREATE TABLE TB_CMMN_CD_DETAIL (</v>
      </c>
      <c r="AA428" s="125" t="str">
        <f t="shared" si="144"/>
        <v>CD_DETAIL_SEQ INTEGER,</v>
      </c>
      <c r="AB428" s="125" t="str">
        <f t="shared" si="138"/>
        <v/>
      </c>
      <c r="AC428" s="125" t="str">
        <f t="shared" si="139"/>
        <v/>
      </c>
      <c r="AD428" s="125" t="str">
        <f t="shared" si="143"/>
        <v/>
      </c>
      <c r="AE428" s="125" t="str">
        <f t="shared" si="141"/>
        <v/>
      </c>
      <c r="AF428" s="125" t="str">
        <f t="shared" si="142"/>
        <v>COMMENT ON COLUMN TB_CMMN_CD_DETAIL.CD_DETAIL_SEQ IS '코드 상세 순번' ;</v>
      </c>
      <c r="AG428" s="125" t="str">
        <f t="shared" si="135"/>
        <v>ALTER TABLE TB_CMMN_CD_DETAIL ALTER COLUMN CD_DETAIL_SEQ TYPE INTEGER;</v>
      </c>
      <c r="AH428" s="125" t="str">
        <f t="shared" si="136"/>
        <v>ALTER TABLE TB_CMMN_CD_DETAIL ADD COLUMN CD_DETAIL_SEQ INTEGER;</v>
      </c>
      <c r="AI428" s="125" t="str">
        <f t="shared" si="137"/>
        <v>ALTER TABLE TB_CMMN_CD_DETAIL DROP COLUMN CD_DETAIL_SEQ;</v>
      </c>
    </row>
    <row r="429" spans="2:35" ht="20.100000000000001" customHeight="1">
      <c r="B429" s="55">
        <v>424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4</v>
      </c>
      <c r="H429" s="104" t="s">
        <v>439</v>
      </c>
      <c r="I429" s="104" t="s">
        <v>440</v>
      </c>
      <c r="J429" s="85" t="s">
        <v>418</v>
      </c>
      <c r="K429" s="85"/>
      <c r="L429" s="85"/>
      <c r="M429" s="85"/>
      <c r="N429" s="85"/>
      <c r="O429" s="85"/>
      <c r="P429" s="85"/>
      <c r="Q429" s="104" t="s">
        <v>420</v>
      </c>
      <c r="R429" s="119" t="s">
        <v>526</v>
      </c>
      <c r="S429" s="85"/>
      <c r="T429" s="104" t="s">
        <v>458</v>
      </c>
      <c r="U429" s="123"/>
      <c r="V429" s="123"/>
      <c r="W429" s="104"/>
      <c r="X429" s="85"/>
      <c r="Y429" s="123"/>
      <c r="Z429" s="130" t="str">
        <f t="shared" si="140"/>
        <v>/* 테이블 : 공통코드상세 */ CREATE TABLE TB_CMMN_CD_DETAIL (</v>
      </c>
      <c r="AA429" s="125" t="str">
        <f t="shared" si="144"/>
        <v>CD_DETAIL_NM VARCHAR(50) NOT NULL,</v>
      </c>
      <c r="AB429" s="125" t="str">
        <f t="shared" si="138"/>
        <v/>
      </c>
      <c r="AC429" s="125" t="str">
        <f t="shared" si="139"/>
        <v/>
      </c>
      <c r="AD429" s="125" t="str">
        <f t="shared" si="143"/>
        <v/>
      </c>
      <c r="AE429" s="125" t="str">
        <f t="shared" si="141"/>
        <v/>
      </c>
      <c r="AF429" s="125" t="str">
        <f t="shared" si="142"/>
        <v>COMMENT ON COLUMN TB_CMMN_CD_DETAIL.CD_DETAIL_NM IS '코드 상세 이름' ;</v>
      </c>
      <c r="AG429" s="125" t="str">
        <f t="shared" si="135"/>
        <v>ALTER TABLE TB_CMMN_CD_DETAIL ALTER COLUMN CD_DETAIL_NM TYPE VARCHAR(50);</v>
      </c>
      <c r="AH429" s="125" t="str">
        <f t="shared" si="136"/>
        <v>ALTER TABLE TB_CMMN_CD_DETAIL ADD COLUMN CD_DETAIL_NM VARCHAR(50) NOT NULL;</v>
      </c>
      <c r="AI429" s="125" t="str">
        <f t="shared" si="137"/>
        <v>ALTER TABLE TB_CMMN_CD_DETAIL DROP COLUMN CD_DETAIL_NM;</v>
      </c>
    </row>
    <row r="430" spans="2:35" ht="20.100000000000001" customHeight="1">
      <c r="B430" s="135">
        <v>425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5</v>
      </c>
      <c r="H430" s="104" t="s">
        <v>441</v>
      </c>
      <c r="I430" s="104" t="s">
        <v>442</v>
      </c>
      <c r="J430" s="85"/>
      <c r="K430" s="85"/>
      <c r="L430" s="85"/>
      <c r="M430" s="85"/>
      <c r="N430" s="85"/>
      <c r="O430" s="85"/>
      <c r="P430" s="85"/>
      <c r="Q430" s="104" t="s">
        <v>421</v>
      </c>
      <c r="R430" s="87"/>
      <c r="S430" s="85"/>
      <c r="T430" s="104" t="s">
        <v>459</v>
      </c>
      <c r="U430" s="123"/>
      <c r="V430" s="123"/>
      <c r="W430" s="104"/>
      <c r="X430" s="85"/>
      <c r="Y430" s="123"/>
      <c r="Z430" s="130" t="str">
        <f t="shared" si="140"/>
        <v>/* 테이블 : 공통코드상세 */ CREATE TABLE TB_CMMN_CD_DETAIL (</v>
      </c>
      <c r="AA430" s="125" t="str">
        <f t="shared" si="144"/>
        <v>CD_DETAIL_DC TEXT,</v>
      </c>
      <c r="AB430" s="125" t="str">
        <f t="shared" si="138"/>
        <v/>
      </c>
      <c r="AC430" s="125" t="str">
        <f t="shared" si="139"/>
        <v/>
      </c>
      <c r="AD430" s="125" t="str">
        <f t="shared" si="143"/>
        <v/>
      </c>
      <c r="AE430" s="125" t="str">
        <f t="shared" si="141"/>
        <v/>
      </c>
      <c r="AF430" s="125" t="str">
        <f t="shared" si="142"/>
        <v>COMMENT ON COLUMN TB_CMMN_CD_DETAIL.CD_DETAIL_DC IS '코드 상세 설명' ;</v>
      </c>
      <c r="AG430" s="125" t="str">
        <f t="shared" si="135"/>
        <v>ALTER TABLE TB_CMMN_CD_DETAIL ALTER COLUMN CD_DETAIL_DC TYPE TEXT;</v>
      </c>
      <c r="AH430" s="125" t="str">
        <f t="shared" si="136"/>
        <v>ALTER TABLE TB_CMMN_CD_DETAIL ADD COLUMN CD_DETAIL_DC TEXT;</v>
      </c>
      <c r="AI430" s="125" t="str">
        <f t="shared" si="137"/>
        <v>ALTER TABLE TB_CMMN_CD_DETAIL DROP COLUMN CD_DETAIL_DC;</v>
      </c>
    </row>
    <row r="431" spans="2:35" ht="20.100000000000001" customHeight="1">
      <c r="B431" s="55">
        <v>426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6</v>
      </c>
      <c r="H431" s="104" t="s">
        <v>443</v>
      </c>
      <c r="I431" s="104" t="s">
        <v>448</v>
      </c>
      <c r="J431" s="85"/>
      <c r="K431" s="85"/>
      <c r="L431" s="85"/>
      <c r="M431" s="85"/>
      <c r="N431" s="85"/>
      <c r="O431" s="85"/>
      <c r="P431" s="85"/>
      <c r="Q431" s="104" t="s">
        <v>420</v>
      </c>
      <c r="R431" s="119" t="s">
        <v>530</v>
      </c>
      <c r="S431" s="85"/>
      <c r="T431" s="104" t="s">
        <v>460</v>
      </c>
      <c r="U431" s="123"/>
      <c r="V431" s="123"/>
      <c r="W431" s="104" t="s">
        <v>470</v>
      </c>
      <c r="X431" s="85"/>
      <c r="Y431" s="123"/>
      <c r="Z431" s="130" t="str">
        <f t="shared" si="140"/>
        <v>/* 테이블 : 공통코드상세 */ CREATE TABLE TB_CMMN_CD_DETAIL (</v>
      </c>
      <c r="AA431" s="125" t="str">
        <f t="shared" si="144"/>
        <v>CD_DETAIL_VAL1 VARCHAR(2000),</v>
      </c>
      <c r="AB431" s="125" t="str">
        <f t="shared" si="138"/>
        <v/>
      </c>
      <c r="AC431" s="125" t="str">
        <f t="shared" si="139"/>
        <v/>
      </c>
      <c r="AD431" s="125" t="str">
        <f t="shared" si="143"/>
        <v/>
      </c>
      <c r="AE431" s="125" t="str">
        <f t="shared" si="141"/>
        <v/>
      </c>
      <c r="AF431" s="125" t="str">
        <f t="shared" si="142"/>
        <v>COMMENT ON COLUMN TB_CMMN_CD_DETAIL.CD_DETAIL_VAL1 IS '코드 상세값 1' ;</v>
      </c>
      <c r="AG431" s="125" t="str">
        <f t="shared" si="135"/>
        <v>ALTER TABLE TB_CMMN_CD_DETAIL ALTER COLUMN CD_DETAIL_VAL1 TYPE VARCHAR(2000);</v>
      </c>
      <c r="AH431" s="125" t="str">
        <f t="shared" si="136"/>
        <v>ALTER TABLE TB_CMMN_CD_DETAIL ADD COLUMN CD_DETAIL_VAL1 VARCHAR(2000);</v>
      </c>
      <c r="AI431" s="125" t="str">
        <f t="shared" si="137"/>
        <v>ALTER TABLE TB_CMMN_CD_DETAIL DROP COLUMN CD_DETAIL_VAL1;</v>
      </c>
    </row>
    <row r="432" spans="2:35" ht="20.100000000000001" customHeight="1">
      <c r="B432" s="55">
        <v>427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7</v>
      </c>
      <c r="H432" s="104" t="s">
        <v>445</v>
      </c>
      <c r="I432" s="104" t="s">
        <v>449</v>
      </c>
      <c r="J432" s="85"/>
      <c r="K432" s="85"/>
      <c r="L432" s="85"/>
      <c r="M432" s="85"/>
      <c r="N432" s="85"/>
      <c r="O432" s="85"/>
      <c r="P432" s="85"/>
      <c r="Q432" s="104" t="s">
        <v>420</v>
      </c>
      <c r="R432" s="119" t="s">
        <v>530</v>
      </c>
      <c r="S432" s="85"/>
      <c r="T432" s="104" t="s">
        <v>461</v>
      </c>
      <c r="U432" s="123"/>
      <c r="V432" s="123"/>
      <c r="W432" s="104" t="s">
        <v>470</v>
      </c>
      <c r="X432" s="85"/>
      <c r="Y432" s="123"/>
      <c r="Z432" s="130" t="str">
        <f t="shared" si="140"/>
        <v>/* 테이블 : 공통코드상세 */ CREATE TABLE TB_CMMN_CD_DETAIL (</v>
      </c>
      <c r="AA432" s="125" t="str">
        <f t="shared" si="144"/>
        <v>CD_DETAIL_VAL2 VARCHAR(2000),</v>
      </c>
      <c r="AB432" s="125" t="str">
        <f t="shared" si="138"/>
        <v/>
      </c>
      <c r="AC432" s="125" t="str">
        <f t="shared" si="139"/>
        <v/>
      </c>
      <c r="AD432" s="125" t="str">
        <f t="shared" si="143"/>
        <v/>
      </c>
      <c r="AE432" s="125" t="str">
        <f t="shared" si="141"/>
        <v/>
      </c>
      <c r="AF432" s="125" t="str">
        <f t="shared" si="142"/>
        <v>COMMENT ON COLUMN TB_CMMN_CD_DETAIL.CD_DETAIL_VAL2 IS '코드 상세값 2' ;</v>
      </c>
      <c r="AG432" s="125" t="str">
        <f t="shared" si="135"/>
        <v>ALTER TABLE TB_CMMN_CD_DETAIL ALTER COLUMN CD_DETAIL_VAL2 TYPE VARCHAR(2000);</v>
      </c>
      <c r="AH432" s="125" t="str">
        <f t="shared" si="136"/>
        <v>ALTER TABLE TB_CMMN_CD_DETAIL ADD COLUMN CD_DETAIL_VAL2 VARCHAR(2000);</v>
      </c>
      <c r="AI432" s="125" t="str">
        <f t="shared" si="137"/>
        <v>ALTER TABLE TB_CMMN_CD_DETAIL DROP COLUMN CD_DETAIL_VAL2;</v>
      </c>
    </row>
    <row r="433" spans="2:35" ht="20.100000000000001" customHeight="1">
      <c r="B433" s="55">
        <v>428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8</v>
      </c>
      <c r="H433" s="104" t="s">
        <v>446</v>
      </c>
      <c r="I433" s="104" t="s">
        <v>450</v>
      </c>
      <c r="J433" s="85"/>
      <c r="K433" s="85"/>
      <c r="L433" s="85"/>
      <c r="M433" s="85"/>
      <c r="N433" s="85"/>
      <c r="O433" s="85"/>
      <c r="P433" s="85"/>
      <c r="Q433" s="104" t="s">
        <v>420</v>
      </c>
      <c r="R433" s="119" t="s">
        <v>530</v>
      </c>
      <c r="S433" s="85"/>
      <c r="T433" s="104" t="s">
        <v>462</v>
      </c>
      <c r="U433" s="123"/>
      <c r="V433" s="123"/>
      <c r="W433" s="104" t="s">
        <v>470</v>
      </c>
      <c r="X433" s="85"/>
      <c r="Y433" s="123"/>
      <c r="Z433" s="130" t="str">
        <f t="shared" si="140"/>
        <v>/* 테이블 : 공통코드상세 */ CREATE TABLE TB_CMMN_CD_DETAIL (</v>
      </c>
      <c r="AA433" s="125" t="str">
        <f t="shared" si="144"/>
        <v>CD_DETAIL_VAL3 VARCHAR(2000),</v>
      </c>
      <c r="AB433" s="125" t="str">
        <f t="shared" si="138"/>
        <v/>
      </c>
      <c r="AC433" s="125" t="str">
        <f t="shared" si="139"/>
        <v/>
      </c>
      <c r="AD433" s="125" t="str">
        <f t="shared" si="143"/>
        <v/>
      </c>
      <c r="AE433" s="125" t="str">
        <f t="shared" si="141"/>
        <v/>
      </c>
      <c r="AF433" s="125" t="str">
        <f t="shared" si="142"/>
        <v>COMMENT ON COLUMN TB_CMMN_CD_DETAIL.CD_DETAIL_VAL3 IS '코드 상세값 3' ;</v>
      </c>
      <c r="AG433" s="125" t="str">
        <f t="shared" si="135"/>
        <v>ALTER TABLE TB_CMMN_CD_DETAIL ALTER COLUMN CD_DETAIL_VAL3 TYPE VARCHAR(2000);</v>
      </c>
      <c r="AH433" s="125" t="str">
        <f t="shared" ref="AH433:AH473" si="145">"ALTER TABLE "&amp;$E433&amp;" ADD COLUMN "&amp;$H433&amp;" "&amp;$Q433&amp;IF(ISBLANK(R433),"",$R433)&amp;IF(ISBLANK($J433),""," NOT NULL")&amp;IF(ISBLANK($S433),""," DEFAULT '" &amp; $S433 &amp; "'") &amp; ";"</f>
        <v>ALTER TABLE TB_CMMN_CD_DETAIL ADD COLUMN CD_DETAIL_VAL3 VARCHAR(2000);</v>
      </c>
      <c r="AI433" s="125" t="str">
        <f t="shared" si="137"/>
        <v>ALTER TABLE TB_CMMN_CD_DETAIL DROP COLUMN CD_DETAIL_VAL3;</v>
      </c>
    </row>
    <row r="434" spans="2:35" ht="20.100000000000001" customHeight="1">
      <c r="B434" s="135">
        <v>429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9</v>
      </c>
      <c r="H434" s="104" t="s">
        <v>447</v>
      </c>
      <c r="I434" s="104" t="s">
        <v>451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463</v>
      </c>
      <c r="U434" s="123"/>
      <c r="V434" s="123"/>
      <c r="W434" s="104" t="s">
        <v>470</v>
      </c>
      <c r="X434" s="85"/>
      <c r="Y434" s="123"/>
      <c r="Z434" s="130" t="str">
        <f t="shared" si="140"/>
        <v>/* 테이블 : 공통코드상세 */ CREATE TABLE TB_CMMN_CD_DETAIL (</v>
      </c>
      <c r="AA434" s="125" t="str">
        <f t="shared" si="144"/>
        <v>CD_DETAIL_VAL4 VARCHAR(2000),</v>
      </c>
      <c r="AB434" s="125" t="str">
        <f t="shared" si="138"/>
        <v/>
      </c>
      <c r="AC434" s="125" t="str">
        <f t="shared" si="139"/>
        <v/>
      </c>
      <c r="AD434" s="125" t="str">
        <f t="shared" si="143"/>
        <v/>
      </c>
      <c r="AE434" s="125" t="str">
        <f t="shared" si="141"/>
        <v/>
      </c>
      <c r="AF434" s="125" t="str">
        <f t="shared" si="142"/>
        <v>COMMENT ON COLUMN TB_CMMN_CD_DETAIL.CD_DETAIL_VAL4 IS '코드 상세값 4' ;</v>
      </c>
      <c r="AG434" s="125" t="str">
        <f t="shared" ref="AG434:AG465" si="146">"ALTER TABLE "&amp;$E434&amp;" ALTER COLUMN "&amp;$H434&amp;" TYPE "&amp;$Q434&amp;IF(ISBLANK(R434),"",R434)&amp;";"</f>
        <v>ALTER TABLE TB_CMMN_CD_DETAIL ALTER COLUMN CD_DETAIL_VAL4 TYPE VARCHAR(2000);</v>
      </c>
      <c r="AH434" s="125" t="str">
        <f t="shared" si="145"/>
        <v>ALTER TABLE TB_CMMN_CD_DETAIL ADD COLUMN CD_DETAIL_VAL4 VARCHAR(2000);</v>
      </c>
      <c r="AI434" s="125" t="str">
        <f t="shared" ref="AI434:AI473" si="147">"ALTER TABLE "&amp;$E434&amp;" DROP COLUMN "&amp;$H434&amp;";"</f>
        <v>ALTER TABLE TB_CMMN_CD_DETAIL DROP COLUMN CD_DETAIL_VAL4;</v>
      </c>
    </row>
    <row r="435" spans="2:35" ht="20.100000000000001" customHeight="1">
      <c r="B435" s="55">
        <v>430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10</v>
      </c>
      <c r="H435" s="104" t="s">
        <v>444</v>
      </c>
      <c r="I435" s="104" t="s">
        <v>452</v>
      </c>
      <c r="J435" s="85"/>
      <c r="K435" s="85"/>
      <c r="L435" s="85"/>
      <c r="M435" s="85"/>
      <c r="N435" s="85"/>
      <c r="O435" s="85"/>
      <c r="P435" s="85"/>
      <c r="Q435" s="104" t="s">
        <v>420</v>
      </c>
      <c r="R435" s="119" t="s">
        <v>530</v>
      </c>
      <c r="S435" s="85"/>
      <c r="T435" s="104" t="s">
        <v>464</v>
      </c>
      <c r="U435" s="123"/>
      <c r="V435" s="123"/>
      <c r="W435" s="104" t="s">
        <v>470</v>
      </c>
      <c r="X435" s="85"/>
      <c r="Y435" s="123"/>
      <c r="Z435" s="130" t="str">
        <f t="shared" si="140"/>
        <v>/* 테이블 : 공통코드상세 */ CREATE TABLE TB_CMMN_CD_DETAIL (</v>
      </c>
      <c r="AA435" s="125" t="str">
        <f t="shared" si="144"/>
        <v>CD_DETAIL_VAL5 VARCHAR(2000),</v>
      </c>
      <c r="AB435" s="125" t="str">
        <f t="shared" si="138"/>
        <v/>
      </c>
      <c r="AC435" s="125" t="str">
        <f t="shared" si="139"/>
        <v/>
      </c>
      <c r="AD435" s="125" t="str">
        <f t="shared" si="143"/>
        <v/>
      </c>
      <c r="AE435" s="125" t="str">
        <f t="shared" si="141"/>
        <v/>
      </c>
      <c r="AF435" s="125" t="str">
        <f t="shared" si="142"/>
        <v>COMMENT ON COLUMN TB_CMMN_CD_DETAIL.CD_DETAIL_VAL5 IS '코드 상세값 5' ;</v>
      </c>
      <c r="AG435" s="125" t="str">
        <f t="shared" si="146"/>
        <v>ALTER TABLE TB_CMMN_CD_DETAIL ALTER COLUMN CD_DETAIL_VAL5 TYPE VARCHAR(2000);</v>
      </c>
      <c r="AH435" s="125" t="str">
        <f t="shared" si="145"/>
        <v>ALTER TABLE TB_CMMN_CD_DETAIL ADD COLUMN CD_DETAIL_VAL5 VARCHAR(2000);</v>
      </c>
      <c r="AI435" s="125" t="str">
        <f t="shared" si="147"/>
        <v>ALTER TABLE TB_CMMN_CD_DETAIL DROP COLUMN CD_DETAIL_VAL5;</v>
      </c>
    </row>
    <row r="436" spans="2:35" ht="20.100000000000001" customHeight="1">
      <c r="B436" s="55">
        <v>431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11</v>
      </c>
      <c r="H436" s="104" t="s">
        <v>437</v>
      </c>
      <c r="I436" s="104" t="s">
        <v>431</v>
      </c>
      <c r="J436" s="85"/>
      <c r="K436" s="85"/>
      <c r="L436" s="85"/>
      <c r="M436" s="85"/>
      <c r="N436" s="85"/>
      <c r="O436" s="85"/>
      <c r="P436" s="85"/>
      <c r="Q436" s="104" t="s">
        <v>171</v>
      </c>
      <c r="R436" s="87"/>
      <c r="S436" s="85"/>
      <c r="T436" s="104" t="s">
        <v>431</v>
      </c>
      <c r="U436" s="123"/>
      <c r="V436" s="123"/>
      <c r="W436" s="104"/>
      <c r="X436" s="85"/>
      <c r="Y436" s="123"/>
      <c r="Z436" s="130" t="str">
        <f t="shared" si="140"/>
        <v>/* 테이블 : 공통코드상세 */ CREATE TABLE TB_CMMN_CD_DETAIL (</v>
      </c>
      <c r="AA436" s="125" t="str">
        <f t="shared" si="144"/>
        <v>REMARK TEXT,</v>
      </c>
      <c r="AB436" s="125" t="str">
        <f t="shared" si="138"/>
        <v/>
      </c>
      <c r="AC436" s="125" t="str">
        <f t="shared" si="139"/>
        <v/>
      </c>
      <c r="AD436" s="125" t="str">
        <f t="shared" si="143"/>
        <v/>
      </c>
      <c r="AE436" s="125" t="str">
        <f t="shared" si="141"/>
        <v/>
      </c>
      <c r="AF436" s="125" t="str">
        <f t="shared" si="142"/>
        <v>COMMENT ON COLUMN TB_CMMN_CD_DETAIL.REMARK IS '비고' ;</v>
      </c>
      <c r="AG436" s="125" t="str">
        <f t="shared" si="146"/>
        <v>ALTER TABLE TB_CMMN_CD_DETAIL ALTER COLUMN REMARK TYPE TEXT;</v>
      </c>
      <c r="AH436" s="125" t="str">
        <f t="shared" si="145"/>
        <v>ALTER TABLE TB_CMMN_CD_DETAIL ADD COLUMN REMARK TEXT;</v>
      </c>
      <c r="AI436" s="125" t="str">
        <f t="shared" si="147"/>
        <v>ALTER TABLE TB_CMMN_CD_DETAIL DROP COLUMN REMARK;</v>
      </c>
    </row>
    <row r="437" spans="2:35" ht="20.100000000000001" customHeight="1">
      <c r="B437" s="55">
        <v>432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12</v>
      </c>
      <c r="H437" s="104" t="s">
        <v>408</v>
      </c>
      <c r="I437" s="104" t="s">
        <v>429</v>
      </c>
      <c r="J437" s="85" t="s">
        <v>418</v>
      </c>
      <c r="K437" s="85"/>
      <c r="L437" s="85"/>
      <c r="M437" s="85"/>
      <c r="N437" s="85"/>
      <c r="O437" s="85"/>
      <c r="P437" s="85"/>
      <c r="Q437" s="51" t="s">
        <v>804</v>
      </c>
      <c r="R437" s="119" t="s">
        <v>522</v>
      </c>
      <c r="S437" s="85"/>
      <c r="T437" s="104" t="s">
        <v>465</v>
      </c>
      <c r="U437" s="123"/>
      <c r="V437" s="123"/>
      <c r="W437" s="104"/>
      <c r="X437" s="85"/>
      <c r="Y437" s="123"/>
      <c r="Z437" s="130" t="str">
        <f t="shared" si="140"/>
        <v>/* 테이블 : 공통코드상세 */ CREATE TABLE TB_CMMN_CD_DETAIL (</v>
      </c>
      <c r="AA437" s="125" t="str">
        <f t="shared" si="144"/>
        <v>USE_YN BPCHAR(1) NOT NULL,</v>
      </c>
      <c r="AB437" s="125" t="str">
        <f t="shared" si="138"/>
        <v/>
      </c>
      <c r="AC437" s="125" t="str">
        <f t="shared" si="139"/>
        <v/>
      </c>
      <c r="AD437" s="125" t="str">
        <f t="shared" si="143"/>
        <v/>
      </c>
      <c r="AE437" s="125" t="str">
        <f t="shared" si="141"/>
        <v/>
      </c>
      <c r="AF437" s="125" t="str">
        <f t="shared" si="142"/>
        <v>COMMENT ON COLUMN TB_CMMN_CD_DETAIL.USE_YN IS '사용 여부' ;</v>
      </c>
      <c r="AG437" s="125" t="str">
        <f t="shared" si="146"/>
        <v>ALTER TABLE TB_CMMN_CD_DETAIL ALTER COLUMN USE_YN TYPE BPCHAR(1);</v>
      </c>
      <c r="AH437" s="125" t="str">
        <f t="shared" si="145"/>
        <v>ALTER TABLE TB_CMMN_CD_DETAIL ADD COLUMN USE_YN BPCHAR(1) NOT NULL;</v>
      </c>
      <c r="AI437" s="125" t="str">
        <f t="shared" si="147"/>
        <v>ALTER TABLE TB_CMMN_CD_DETAIL DROP COLUMN USE_YN;</v>
      </c>
    </row>
    <row r="438" spans="2:35" ht="20.100000000000001" customHeight="1">
      <c r="B438" s="135">
        <v>433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13</v>
      </c>
      <c r="H438" s="97" t="s">
        <v>107</v>
      </c>
      <c r="I438" s="51" t="s">
        <v>76</v>
      </c>
      <c r="J438" s="73" t="s">
        <v>72</v>
      </c>
      <c r="K438" s="67"/>
      <c r="L438" s="67"/>
      <c r="M438" s="77"/>
      <c r="N438" s="77"/>
      <c r="O438" s="77"/>
      <c r="P438" s="77"/>
      <c r="Q438" s="100" t="s">
        <v>521</v>
      </c>
      <c r="R438" s="119" t="s">
        <v>526</v>
      </c>
      <c r="S438" s="80"/>
      <c r="T438" s="107" t="s">
        <v>219</v>
      </c>
      <c r="U438" s="123"/>
      <c r="V438" s="123"/>
      <c r="W438" s="116" t="s">
        <v>496</v>
      </c>
      <c r="X438" s="85"/>
      <c r="Y438" s="123"/>
      <c r="Z438" s="130" t="str">
        <f t="shared" si="140"/>
        <v>/* 테이블 : 공통코드상세 */ CREATE TABLE TB_CMMN_CD_DETAIL (</v>
      </c>
      <c r="AA438" s="125" t="str">
        <f t="shared" si="144"/>
        <v>REGISTER_ID VARCHAR(50) NOT NULL,</v>
      </c>
      <c r="AB438" s="125" t="str">
        <f t="shared" si="138"/>
        <v/>
      </c>
      <c r="AC438" s="125" t="str">
        <f t="shared" si="139"/>
        <v/>
      </c>
      <c r="AD438" s="125" t="str">
        <f t="shared" si="143"/>
        <v/>
      </c>
      <c r="AE438" s="125" t="str">
        <f t="shared" si="141"/>
        <v/>
      </c>
      <c r="AF438" s="125" t="str">
        <f t="shared" si="142"/>
        <v>COMMENT ON COLUMN TB_CMMN_CD_DETAIL.REGISTER_ID IS '등록자 ID' ;</v>
      </c>
      <c r="AG438" s="125" t="str">
        <f t="shared" si="146"/>
        <v>ALTER TABLE TB_CMMN_CD_DETAIL ALTER COLUMN REGISTER_ID TYPE VARCHAR(50);</v>
      </c>
      <c r="AH438" s="125" t="str">
        <f t="shared" si="145"/>
        <v>ALTER TABLE TB_CMMN_CD_DETAIL ADD COLUMN REGISTER_ID VARCHAR(50) NOT NULL;</v>
      </c>
      <c r="AI438" s="125" t="str">
        <f t="shared" si="147"/>
        <v>ALTER TABLE TB_CMMN_CD_DETAIL DROP COLUMN REGISTER_ID;</v>
      </c>
    </row>
    <row r="439" spans="2:35" ht="20.100000000000001" customHeight="1">
      <c r="B439" s="55">
        <v>434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14</v>
      </c>
      <c r="H439" s="97" t="s">
        <v>91</v>
      </c>
      <c r="I439" s="51" t="s">
        <v>77</v>
      </c>
      <c r="J439" s="73" t="s">
        <v>72</v>
      </c>
      <c r="K439" s="52"/>
      <c r="L439" s="52"/>
      <c r="M439" s="52"/>
      <c r="N439" s="52"/>
      <c r="O439" s="52"/>
      <c r="P439" s="52"/>
      <c r="Q439" s="56" t="s">
        <v>106</v>
      </c>
      <c r="R439" s="120" t="s">
        <v>527</v>
      </c>
      <c r="S439" s="80"/>
      <c r="T439" s="107" t="s">
        <v>218</v>
      </c>
      <c r="U439" s="123"/>
      <c r="V439" s="123"/>
      <c r="W439" s="104"/>
      <c r="X439" s="85"/>
      <c r="Y439" s="123"/>
      <c r="Z439" s="130" t="str">
        <f t="shared" si="140"/>
        <v>/* 테이블 : 공통코드상세 */ CREATE TABLE TB_CMMN_CD_DETAIL (</v>
      </c>
      <c r="AA439" s="125" t="str">
        <f t="shared" si="144"/>
        <v>REGISTER_IP VARCHAR(100) NOT NULL,</v>
      </c>
      <c r="AB439" s="125" t="str">
        <f t="shared" ref="AB439:AB465" si="148">IF(ISBLANK(L439),"","ALTER TABLE " &amp; E439 &amp; " ADD CONSTRAINT " &amp; E439 &amp; "_FKEY" &amp; L439 &amp;  " FOREIGN KEY(" &amp;H439 &amp; ") REFERENCES " &amp; M439 &amp; "(" &amp; N439 &amp; ") "&amp;O439&amp;" "&amp;P439&amp;";")</f>
        <v/>
      </c>
      <c r="AC439" s="125" t="str">
        <f t="shared" ref="AC439:AC465" si="149">IF(ISBLANK(U439),"","CREATE SEQUENCE "&amp;U439&amp;" START 100000;")</f>
        <v/>
      </c>
      <c r="AD439" s="125" t="str">
        <f t="shared" si="143"/>
        <v/>
      </c>
      <c r="AE439" s="125" t="str">
        <f t="shared" si="141"/>
        <v/>
      </c>
      <c r="AF439" s="125" t="str">
        <f t="shared" si="142"/>
        <v>COMMENT ON COLUMN TB_CMMN_CD_DETAIL.REGISTER_IP IS '등록자 IP' ;</v>
      </c>
      <c r="AG439" s="125" t="str">
        <f t="shared" si="146"/>
        <v>ALTER TABLE TB_CMMN_CD_DETAIL ALTER COLUMN REGISTER_IP TYPE VARCHAR(100);</v>
      </c>
      <c r="AH439" s="125" t="str">
        <f t="shared" si="145"/>
        <v>ALTER TABLE TB_CMMN_CD_DETAIL ADD COLUMN REGISTER_IP VARCHAR(100) NOT NULL;</v>
      </c>
      <c r="AI439" s="125" t="str">
        <f t="shared" si="147"/>
        <v>ALTER TABLE TB_CMMN_CD_DETAIL DROP COLUMN REGISTER_IP;</v>
      </c>
    </row>
    <row r="440" spans="2:35" ht="20.100000000000001" customHeight="1">
      <c r="B440" s="55">
        <v>435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15</v>
      </c>
      <c r="H440" s="97" t="s">
        <v>92</v>
      </c>
      <c r="I440" s="96" t="s">
        <v>78</v>
      </c>
      <c r="J440" s="73" t="s">
        <v>72</v>
      </c>
      <c r="K440" s="52"/>
      <c r="L440" s="52"/>
      <c r="M440" s="52"/>
      <c r="N440" s="52"/>
      <c r="O440" s="52"/>
      <c r="P440" s="52"/>
      <c r="Q440" s="51" t="s">
        <v>706</v>
      </c>
      <c r="R440" s="120"/>
      <c r="S440" s="80"/>
      <c r="T440" s="107" t="s">
        <v>217</v>
      </c>
      <c r="U440" s="123"/>
      <c r="V440" s="123"/>
      <c r="W440" s="104"/>
      <c r="X440" s="85"/>
      <c r="Y440" s="123"/>
      <c r="Z440" s="130" t="str">
        <f t="shared" si="140"/>
        <v>/* 테이블 : 공통코드상세 */ CREATE TABLE TB_CMMN_CD_DETAIL (</v>
      </c>
      <c r="AA440" s="125" t="str">
        <f t="shared" si="144"/>
        <v>REG_DT TIMESTAMP NOT NULL,</v>
      </c>
      <c r="AB440" s="125" t="str">
        <f t="shared" si="148"/>
        <v/>
      </c>
      <c r="AC440" s="125" t="str">
        <f t="shared" si="149"/>
        <v/>
      </c>
      <c r="AD440" s="125" t="str">
        <f t="shared" si="143"/>
        <v/>
      </c>
      <c r="AE440" s="125" t="str">
        <f t="shared" si="141"/>
        <v/>
      </c>
      <c r="AF440" s="125" t="str">
        <f t="shared" si="142"/>
        <v>COMMENT ON COLUMN TB_CMMN_CD_DETAIL.REG_DT IS '등록 일시' ;</v>
      </c>
      <c r="AG440" s="125" t="str">
        <f t="shared" si="146"/>
        <v>ALTER TABLE TB_CMMN_CD_DETAIL ALTER COLUMN REG_DT TYPE TIMESTAMP;</v>
      </c>
      <c r="AH440" s="125" t="str">
        <f t="shared" si="145"/>
        <v>ALTER TABLE TB_CMMN_CD_DETAIL ADD COLUMN REG_DT TIMESTAMP NOT NULL;</v>
      </c>
      <c r="AI440" s="125" t="str">
        <f t="shared" si="147"/>
        <v>ALTER TABLE TB_CMMN_CD_DETAIL DROP COLUMN REG_DT;</v>
      </c>
    </row>
    <row r="441" spans="2:35" ht="20.100000000000001" customHeight="1">
      <c r="B441" s="55">
        <v>436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16</v>
      </c>
      <c r="H441" s="97" t="s">
        <v>93</v>
      </c>
      <c r="I441" s="96" t="s">
        <v>80</v>
      </c>
      <c r="J441" s="52"/>
      <c r="K441" s="52"/>
      <c r="L441" s="52"/>
      <c r="M441" s="79"/>
      <c r="N441" s="79"/>
      <c r="O441" s="79"/>
      <c r="P441" s="79"/>
      <c r="Q441" s="100" t="s">
        <v>521</v>
      </c>
      <c r="R441" s="119" t="s">
        <v>526</v>
      </c>
      <c r="S441" s="80"/>
      <c r="T441" s="107" t="s">
        <v>216</v>
      </c>
      <c r="U441" s="123"/>
      <c r="V441" s="123"/>
      <c r="W441" s="116" t="s">
        <v>496</v>
      </c>
      <c r="X441" s="85"/>
      <c r="Y441" s="123"/>
      <c r="Z441" s="130" t="str">
        <f t="shared" si="140"/>
        <v>/* 테이블 : 공통코드상세 */ CREATE TABLE TB_CMMN_CD_DETAIL (</v>
      </c>
      <c r="AA441" s="125" t="str">
        <f t="shared" si="144"/>
        <v>UPDUSR_ID VARCHAR(50),</v>
      </c>
      <c r="AB441" s="125" t="str">
        <f t="shared" si="148"/>
        <v/>
      </c>
      <c r="AC441" s="125" t="str">
        <f t="shared" si="149"/>
        <v/>
      </c>
      <c r="AD441" s="125" t="str">
        <f t="shared" si="143"/>
        <v/>
      </c>
      <c r="AE441" s="125" t="str">
        <f t="shared" si="141"/>
        <v/>
      </c>
      <c r="AF441" s="125" t="str">
        <f t="shared" si="142"/>
        <v>COMMENT ON COLUMN TB_CMMN_CD_DETAIL.UPDUSR_ID IS '수정자 ID' ;</v>
      </c>
      <c r="AG441" s="125" t="str">
        <f t="shared" si="146"/>
        <v>ALTER TABLE TB_CMMN_CD_DETAIL ALTER COLUMN UPDUSR_ID TYPE VARCHAR(50);</v>
      </c>
      <c r="AH441" s="125" t="str">
        <f t="shared" si="145"/>
        <v>ALTER TABLE TB_CMMN_CD_DETAIL ADD COLUMN UPDUSR_ID VARCHAR(50);</v>
      </c>
      <c r="AI441" s="125" t="str">
        <f t="shared" si="147"/>
        <v>ALTER TABLE TB_CMMN_CD_DETAIL DROP COLUMN UPDUSR_ID;</v>
      </c>
    </row>
    <row r="442" spans="2:35" ht="20.100000000000001" customHeight="1">
      <c r="B442" s="135">
        <v>437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17</v>
      </c>
      <c r="H442" s="97" t="s">
        <v>94</v>
      </c>
      <c r="I442" s="96" t="s">
        <v>79</v>
      </c>
      <c r="J442" s="52"/>
      <c r="K442" s="52"/>
      <c r="L442" s="52"/>
      <c r="M442" s="52"/>
      <c r="N442" s="52"/>
      <c r="O442" s="52"/>
      <c r="P442" s="52"/>
      <c r="Q442" s="56" t="s">
        <v>106</v>
      </c>
      <c r="R442" s="120" t="s">
        <v>527</v>
      </c>
      <c r="S442" s="80"/>
      <c r="T442" s="107" t="s">
        <v>215</v>
      </c>
      <c r="U442" s="123"/>
      <c r="V442" s="123"/>
      <c r="W442" s="104"/>
      <c r="X442" s="85"/>
      <c r="Y442" s="123"/>
      <c r="Z442" s="130" t="str">
        <f t="shared" si="140"/>
        <v>/* 테이블 : 공통코드상세 */ CREATE TABLE TB_CMMN_CD_DETAIL (</v>
      </c>
      <c r="AA442" s="125" t="str">
        <f t="shared" si="144"/>
        <v>UPDUSR_IP VARCHAR(100),</v>
      </c>
      <c r="AB442" s="125" t="str">
        <f t="shared" si="148"/>
        <v/>
      </c>
      <c r="AC442" s="125" t="str">
        <f t="shared" si="149"/>
        <v/>
      </c>
      <c r="AD442" s="125" t="str">
        <f t="shared" si="143"/>
        <v/>
      </c>
      <c r="AE442" s="125" t="str">
        <f t="shared" si="141"/>
        <v/>
      </c>
      <c r="AF442" s="125" t="str">
        <f t="shared" si="142"/>
        <v>COMMENT ON COLUMN TB_CMMN_CD_DETAIL.UPDUSR_IP IS '수정자 IP' ;</v>
      </c>
      <c r="AG442" s="125" t="str">
        <f t="shared" si="146"/>
        <v>ALTER TABLE TB_CMMN_CD_DETAIL ALTER COLUMN UPDUSR_IP TYPE VARCHAR(100);</v>
      </c>
      <c r="AH442" s="125" t="str">
        <f t="shared" si="145"/>
        <v>ALTER TABLE TB_CMMN_CD_DETAIL ADD COLUMN UPDUSR_IP VARCHAR(100);</v>
      </c>
      <c r="AI442" s="125" t="str">
        <f t="shared" si="147"/>
        <v>ALTER TABLE TB_CMMN_CD_DETAIL DROP COLUMN UPDUSR_IP;</v>
      </c>
    </row>
    <row r="443" spans="2:35" ht="20.100000000000001" customHeight="1">
      <c r="B443" s="55">
        <v>438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18</v>
      </c>
      <c r="H443" s="98" t="s">
        <v>95</v>
      </c>
      <c r="I443" s="97" t="s">
        <v>81</v>
      </c>
      <c r="J443" s="61"/>
      <c r="K443" s="61"/>
      <c r="L443" s="61"/>
      <c r="M443" s="61"/>
      <c r="N443" s="61"/>
      <c r="O443" s="61"/>
      <c r="P443" s="61"/>
      <c r="Q443" s="51" t="s">
        <v>706</v>
      </c>
      <c r="R443" s="120"/>
      <c r="S443" s="77"/>
      <c r="T443" s="107" t="s">
        <v>214</v>
      </c>
      <c r="U443" s="123"/>
      <c r="V443" s="123"/>
      <c r="W443" s="104"/>
      <c r="X443" s="85"/>
      <c r="Y443" s="123"/>
      <c r="Z443" s="130" t="str">
        <f t="shared" si="140"/>
        <v>/* 테이블 : 공통코드상세 */ CREATE TABLE TB_CMMN_CD_DETAIL (</v>
      </c>
      <c r="AA443" s="125" t="str">
        <f t="shared" si="144"/>
        <v>UPDT_DT TIMESTAMP,</v>
      </c>
      <c r="AB443" s="125" t="str">
        <f t="shared" si="148"/>
        <v/>
      </c>
      <c r="AC443" s="125" t="str">
        <f t="shared" si="149"/>
        <v/>
      </c>
      <c r="AD443" s="125" t="str">
        <f t="shared" si="143"/>
        <v/>
      </c>
      <c r="AE443" s="125" t="str">
        <f t="shared" si="141"/>
        <v/>
      </c>
      <c r="AF443" s="125" t="str">
        <f t="shared" si="142"/>
        <v>COMMENT ON COLUMN TB_CMMN_CD_DETAIL.UPDT_DT IS '수정 일시' ;</v>
      </c>
      <c r="AG443" s="125" t="str">
        <f t="shared" si="146"/>
        <v>ALTER TABLE TB_CMMN_CD_DETAIL ALTER COLUMN UPDT_DT TYPE TIMESTAMP;</v>
      </c>
      <c r="AH443" s="125" t="str">
        <f t="shared" si="145"/>
        <v>ALTER TABLE TB_CMMN_CD_DETAIL ADD COLUMN UPDT_DT TIMESTAMP;</v>
      </c>
      <c r="AI443" s="125" t="str">
        <f t="shared" si="147"/>
        <v>ALTER TABLE TB_CMMN_CD_DETAIL DROP COLUMN UPDT_DT;</v>
      </c>
    </row>
    <row r="444" spans="2:35" ht="20.100000000000001" customHeight="1">
      <c r="B444" s="55">
        <v>439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19</v>
      </c>
      <c r="H444" s="97" t="s">
        <v>96</v>
      </c>
      <c r="I444" s="97" t="s">
        <v>82</v>
      </c>
      <c r="J444" s="73" t="s">
        <v>72</v>
      </c>
      <c r="K444" s="61"/>
      <c r="L444" s="61"/>
      <c r="M444" s="61"/>
      <c r="N444" s="61"/>
      <c r="O444" s="61"/>
      <c r="P444" s="61"/>
      <c r="Q444" s="51" t="s">
        <v>804</v>
      </c>
      <c r="R444" s="120" t="s">
        <v>522</v>
      </c>
      <c r="S444" s="82" t="s">
        <v>803</v>
      </c>
      <c r="T444" s="107" t="s">
        <v>213</v>
      </c>
      <c r="U444" s="123"/>
      <c r="V444" s="123"/>
      <c r="W444" s="104"/>
      <c r="X444" s="85"/>
      <c r="Y444" s="123"/>
      <c r="Z444" s="130" t="str">
        <f t="shared" si="140"/>
        <v>/* 테이블 : 공통코드상세 */ CREATE TABLE TB_CMMN_CD_DETAIL (</v>
      </c>
      <c r="AA444" s="125" t="str">
        <f t="shared" si="144"/>
        <v>DEL_YN BPCHAR(1) NOT NULL,</v>
      </c>
      <c r="AB444" s="125" t="str">
        <f t="shared" si="148"/>
        <v/>
      </c>
      <c r="AC444" s="125" t="str">
        <f t="shared" si="149"/>
        <v/>
      </c>
      <c r="AD444" s="125" t="str">
        <f t="shared" si="143"/>
        <v/>
      </c>
      <c r="AE444" s="125" t="str">
        <f t="shared" si="141"/>
        <v>ALTER TABLE TB_CMMN_CD_DETAIL ALTER COLUMN DEL_YN SET DEFAULT 'N'::bpchar;</v>
      </c>
      <c r="AF444" s="125" t="str">
        <f t="shared" si="142"/>
        <v>COMMENT ON COLUMN TB_CMMN_CD_DETAIL.DEL_YN IS '삭제 여부' ;</v>
      </c>
      <c r="AG444" s="125" t="str">
        <f t="shared" si="146"/>
        <v>ALTER TABLE TB_CMMN_CD_DETAIL ALTER COLUMN DEL_YN TYPE BPCHAR(1);</v>
      </c>
      <c r="AH444" s="125" t="str">
        <f t="shared" si="145"/>
        <v>ALTER TABLE TB_CMMN_CD_DETAIL ADD COLUMN DEL_YN BPCHAR(1) NOT NULL DEFAULT ''N'::bpchar';</v>
      </c>
      <c r="AI444" s="125" t="str">
        <f t="shared" si="147"/>
        <v>ALTER TABLE TB_CMMN_CD_DETAIL DROP COLUMN DEL_YN;</v>
      </c>
    </row>
    <row r="445" spans="2:35" ht="20.100000000000001" customHeight="1">
      <c r="B445" s="55">
        <v>440</v>
      </c>
      <c r="C445" s="26" t="s">
        <v>7</v>
      </c>
      <c r="D445" s="26" t="s">
        <v>19</v>
      </c>
      <c r="E445" s="10" t="s">
        <v>517</v>
      </c>
      <c r="F445" s="10" t="s">
        <v>518</v>
      </c>
      <c r="G445" s="87">
        <v>1</v>
      </c>
      <c r="H445" s="104" t="s">
        <v>481</v>
      </c>
      <c r="I445" s="104" t="s">
        <v>478</v>
      </c>
      <c r="J445" s="85" t="s">
        <v>418</v>
      </c>
      <c r="K445" s="85">
        <v>1</v>
      </c>
      <c r="L445" s="85"/>
      <c r="M445" s="85"/>
      <c r="N445" s="85"/>
      <c r="O445" s="85"/>
      <c r="P445" s="85"/>
      <c r="Q445" s="104" t="s">
        <v>229</v>
      </c>
      <c r="R445" s="87"/>
      <c r="S445" s="85"/>
      <c r="T445" s="104" t="s">
        <v>504</v>
      </c>
      <c r="U445" s="125" t="str">
        <f>"SEQ_"&amp;E445&amp;"_SN"</f>
        <v>SEQ_TB_BANNER_SN</v>
      </c>
      <c r="V445" s="125"/>
      <c r="W445" s="104"/>
      <c r="X445" s="85"/>
      <c r="Y445" s="123"/>
      <c r="Z445" s="130" t="str">
        <f t="shared" si="140"/>
        <v>/* 테이블 : 배너 */ CREATE TABLE TB_BANNER (</v>
      </c>
      <c r="AA445" s="125" t="str">
        <f t="shared" si="144"/>
        <v>BANNER_SN INTEGER PRIMARY KEY,</v>
      </c>
      <c r="AB445" s="125" t="str">
        <f t="shared" si="148"/>
        <v/>
      </c>
      <c r="AC445" s="125" t="str">
        <f t="shared" si="149"/>
        <v>CREATE SEQUENCE SEQ_TB_BANNER_SN START 100000;</v>
      </c>
      <c r="AD445" s="125" t="str">
        <f t="shared" si="143"/>
        <v>ALTER TABLE TB_BANNER ALTER COLUMN BANNER_SN SET DEFAULT NEXTVAL('SEQ_TB_BANNER_SN');</v>
      </c>
      <c r="AE445" s="125" t="str">
        <f t="shared" si="141"/>
        <v/>
      </c>
      <c r="AF445" s="125" t="str">
        <f t="shared" si="142"/>
        <v>COMMENT ON COLUMN TB_BANNER.BANNER_SN IS '배너 일련번호' ;</v>
      </c>
      <c r="AG445" s="125" t="str">
        <f t="shared" si="146"/>
        <v>ALTER TABLE TB_BANNER ALTER COLUMN BANNER_SN TYPE INTEGER;</v>
      </c>
      <c r="AH445" s="125" t="str">
        <f t="shared" si="145"/>
        <v>ALTER TABLE TB_BANNER ADD COLUMN BANNER_SN INTEGER NOT NULL;</v>
      </c>
      <c r="AI445" s="125" t="str">
        <f t="shared" si="147"/>
        <v>ALTER TABLE TB_BANNER DROP COLUMN BANNER_SN;</v>
      </c>
    </row>
    <row r="446" spans="2:35" ht="20.100000000000001" customHeight="1">
      <c r="B446" s="135">
        <v>441</v>
      </c>
      <c r="C446" s="26" t="s">
        <v>7</v>
      </c>
      <c r="D446" s="26" t="s">
        <v>19</v>
      </c>
      <c r="E446" s="10" t="s">
        <v>517</v>
      </c>
      <c r="F446" s="10" t="s">
        <v>518</v>
      </c>
      <c r="G446" s="87">
        <v>2</v>
      </c>
      <c r="H446" s="104" t="s">
        <v>482</v>
      </c>
      <c r="I446" s="104" t="s">
        <v>479</v>
      </c>
      <c r="J446" s="85" t="s">
        <v>418</v>
      </c>
      <c r="K446" s="85"/>
      <c r="L446" s="85"/>
      <c r="M446" s="85"/>
      <c r="N446" s="85"/>
      <c r="O446" s="85"/>
      <c r="P446" s="85"/>
      <c r="Q446" s="104" t="s">
        <v>420</v>
      </c>
      <c r="R446" s="119" t="s">
        <v>526</v>
      </c>
      <c r="S446" s="85"/>
      <c r="T446" s="104" t="s">
        <v>505</v>
      </c>
      <c r="U446" s="123"/>
      <c r="V446" s="123"/>
      <c r="W446" s="104" t="s">
        <v>507</v>
      </c>
      <c r="X446" s="85"/>
      <c r="Y446" s="123"/>
      <c r="Z446" s="130" t="str">
        <f t="shared" si="140"/>
        <v>/* 테이블 : 배너 */ CREATE TABLE TB_BANNER (</v>
      </c>
      <c r="AA446" s="125" t="str">
        <f t="shared" si="144"/>
        <v>BANNER_CL_CD VARCHAR(50) NOT NULL,</v>
      </c>
      <c r="AB446" s="125" t="str">
        <f t="shared" si="148"/>
        <v/>
      </c>
      <c r="AC446" s="125" t="str">
        <f t="shared" si="149"/>
        <v/>
      </c>
      <c r="AD446" s="125" t="str">
        <f t="shared" si="143"/>
        <v/>
      </c>
      <c r="AE446" s="125" t="str">
        <f t="shared" si="141"/>
        <v/>
      </c>
      <c r="AF446" s="125" t="str">
        <f t="shared" si="142"/>
        <v>COMMENT ON COLUMN TB_BANNER.BANNER_CL_CD IS '배너 분류 코드' ;</v>
      </c>
      <c r="AG446" s="125" t="str">
        <f t="shared" si="146"/>
        <v>ALTER TABLE TB_BANNER ALTER COLUMN BANNER_CL_CD TYPE VARCHAR(50);</v>
      </c>
      <c r="AH446" s="125" t="str">
        <f t="shared" si="145"/>
        <v>ALTER TABLE TB_BANNER ADD COLUMN BANNER_CL_CD VARCHAR(50) NOT NULL;</v>
      </c>
      <c r="AI446" s="125" t="str">
        <f t="shared" si="147"/>
        <v>ALTER TABLE TB_BANNER DROP COLUMN BANNER_CL_CD;</v>
      </c>
    </row>
    <row r="447" spans="2:35" ht="20.100000000000001" customHeight="1">
      <c r="B447" s="55">
        <v>442</v>
      </c>
      <c r="C447" s="26" t="s">
        <v>7</v>
      </c>
      <c r="D447" s="26" t="s">
        <v>19</v>
      </c>
      <c r="E447" s="10" t="s">
        <v>517</v>
      </c>
      <c r="F447" s="10" t="s">
        <v>518</v>
      </c>
      <c r="G447" s="87">
        <v>3</v>
      </c>
      <c r="H447" s="104" t="s">
        <v>483</v>
      </c>
      <c r="I447" s="104" t="s">
        <v>484</v>
      </c>
      <c r="J447" s="85"/>
      <c r="K447" s="85"/>
      <c r="L447" s="85"/>
      <c r="M447" s="85"/>
      <c r="N447" s="85"/>
      <c r="O447" s="85"/>
      <c r="P447" s="85"/>
      <c r="Q447" s="104" t="s">
        <v>420</v>
      </c>
      <c r="R447" s="119" t="s">
        <v>526</v>
      </c>
      <c r="S447" s="85"/>
      <c r="T447" s="104" t="s">
        <v>506</v>
      </c>
      <c r="U447" s="123"/>
      <c r="V447" s="123"/>
      <c r="W447" s="104" t="s">
        <v>767</v>
      </c>
      <c r="X447" s="85"/>
      <c r="Y447" s="123"/>
      <c r="Z447" s="130" t="str">
        <f t="shared" si="140"/>
        <v>/* 테이블 : 배너 */ CREATE TABLE TB_BANNER (</v>
      </c>
      <c r="AA447" s="125" t="str">
        <f t="shared" si="144"/>
        <v>BANNER_CL_DETAIL_CD VARCHAR(50),</v>
      </c>
      <c r="AB447" s="125" t="str">
        <f t="shared" si="148"/>
        <v/>
      </c>
      <c r="AC447" s="125" t="str">
        <f t="shared" si="149"/>
        <v/>
      </c>
      <c r="AD447" s="125" t="str">
        <f t="shared" si="143"/>
        <v/>
      </c>
      <c r="AE447" s="125" t="str">
        <f t="shared" si="141"/>
        <v/>
      </c>
      <c r="AF447" s="125" t="str">
        <f t="shared" si="142"/>
        <v>COMMENT ON COLUMN TB_BANNER.BANNER_CL_DETAIL_CD IS '배너 분류 상세 코드' ;</v>
      </c>
      <c r="AG447" s="125" t="str">
        <f t="shared" si="146"/>
        <v>ALTER TABLE TB_BANNER ALTER COLUMN BANNER_CL_DETAIL_CD TYPE VARCHAR(50);</v>
      </c>
      <c r="AH447" s="125" t="str">
        <f t="shared" si="145"/>
        <v>ALTER TABLE TB_BANNER ADD COLUMN BANNER_CL_DETAIL_CD VARCHAR(50);</v>
      </c>
      <c r="AI447" s="125" t="str">
        <f t="shared" si="147"/>
        <v>ALTER TABLE TB_BANNER DROP COLUMN BANNER_CL_DETAIL_CD;</v>
      </c>
    </row>
    <row r="448" spans="2:35" ht="20.100000000000001" customHeight="1">
      <c r="B448" s="55">
        <v>443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4</v>
      </c>
      <c r="H448" s="104" t="s">
        <v>756</v>
      </c>
      <c r="I448" s="104" t="s">
        <v>755</v>
      </c>
      <c r="J448" s="85" t="s">
        <v>418</v>
      </c>
      <c r="K448" s="85"/>
      <c r="L448" s="85"/>
      <c r="M448" s="85"/>
      <c r="N448" s="85"/>
      <c r="O448" s="85"/>
      <c r="P448" s="85"/>
      <c r="Q448" s="104" t="s">
        <v>229</v>
      </c>
      <c r="R448" s="47"/>
      <c r="S448" s="85"/>
      <c r="T448" s="104" t="s">
        <v>754</v>
      </c>
      <c r="U448" s="125"/>
      <c r="V448" s="125"/>
      <c r="W448" s="104"/>
      <c r="X448" s="85"/>
      <c r="Y448" s="123"/>
      <c r="Z448" s="130" t="str">
        <f t="shared" si="140"/>
        <v>/* 테이블 : 배너 */ CREATE TABLE TB_BANNER (</v>
      </c>
      <c r="AA448" s="125" t="str">
        <f t="shared" si="144"/>
        <v>BANNER_EXPSR_SEQ INTEGER NOT NULL,</v>
      </c>
      <c r="AB448" s="125" t="str">
        <f t="shared" si="148"/>
        <v/>
      </c>
      <c r="AC448" s="125" t="str">
        <f t="shared" si="149"/>
        <v/>
      </c>
      <c r="AD448" s="125" t="str">
        <f t="shared" si="143"/>
        <v/>
      </c>
      <c r="AE448" s="125" t="str">
        <f t="shared" si="141"/>
        <v/>
      </c>
      <c r="AF448" s="125" t="str">
        <f t="shared" si="142"/>
        <v>COMMENT ON COLUMN TB_BANNER.BANNER_EXPSR_SEQ IS '배너 노출 순번' ;</v>
      </c>
      <c r="AG448" s="125" t="str">
        <f t="shared" si="146"/>
        <v>ALTER TABLE TB_BANNER ALTER COLUMN BANNER_EXPSR_SEQ TYPE INTEGER;</v>
      </c>
      <c r="AH448" s="125" t="str">
        <f t="shared" si="145"/>
        <v>ALTER TABLE TB_BANNER ADD COLUMN BANNER_EXPSR_SEQ INTEGER NOT NULL;</v>
      </c>
      <c r="AI448" s="125" t="str">
        <f t="shared" si="147"/>
        <v>ALTER TABLE TB_BANNER DROP COLUMN BANNER_EXPSR_SEQ;</v>
      </c>
    </row>
    <row r="449" spans="2:35" ht="20.100000000000001" customHeight="1">
      <c r="B449" s="55">
        <v>444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5</v>
      </c>
      <c r="H449" s="104" t="s">
        <v>489</v>
      </c>
      <c r="I449" s="104" t="s">
        <v>480</v>
      </c>
      <c r="J449" s="85"/>
      <c r="K449" s="85"/>
      <c r="L449" s="85"/>
      <c r="M449" s="85"/>
      <c r="N449" s="85"/>
      <c r="O449" s="85"/>
      <c r="P449" s="85"/>
      <c r="Q449" s="104" t="s">
        <v>420</v>
      </c>
      <c r="R449" s="119" t="s">
        <v>528</v>
      </c>
      <c r="S449" s="85"/>
      <c r="T449" s="104" t="s">
        <v>508</v>
      </c>
      <c r="U449" s="123"/>
      <c r="V449" s="123"/>
      <c r="W449" s="104"/>
      <c r="X449" s="85"/>
      <c r="Y449" s="123"/>
      <c r="Z449" s="130" t="str">
        <f t="shared" si="140"/>
        <v>/* 테이블 : 배너 */ CREATE TABLE TB_BANNER (</v>
      </c>
      <c r="AA449" s="125" t="str">
        <f t="shared" si="144"/>
        <v>BANNER_NM VARCHAR(255),</v>
      </c>
      <c r="AB449" s="125" t="str">
        <f t="shared" si="148"/>
        <v/>
      </c>
      <c r="AC449" s="125" t="str">
        <f t="shared" si="149"/>
        <v/>
      </c>
      <c r="AD449" s="125" t="str">
        <f t="shared" si="143"/>
        <v/>
      </c>
      <c r="AE449" s="125" t="str">
        <f t="shared" si="141"/>
        <v/>
      </c>
      <c r="AF449" s="125" t="str">
        <f t="shared" si="142"/>
        <v>COMMENT ON COLUMN TB_BANNER.BANNER_NM IS '배너 이름' ;</v>
      </c>
      <c r="AG449" s="125" t="str">
        <f t="shared" si="146"/>
        <v>ALTER TABLE TB_BANNER ALTER COLUMN BANNER_NM TYPE VARCHAR(255);</v>
      </c>
      <c r="AH449" s="125" t="str">
        <f t="shared" si="145"/>
        <v>ALTER TABLE TB_BANNER ADD COLUMN BANNER_NM VARCHAR(255);</v>
      </c>
      <c r="AI449" s="125" t="str">
        <f t="shared" si="147"/>
        <v>ALTER TABLE TB_BANNER DROP COLUMN BANNER_NM;</v>
      </c>
    </row>
    <row r="450" spans="2:35" ht="20.100000000000001" customHeight="1">
      <c r="B450" s="135">
        <v>445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6</v>
      </c>
      <c r="H450" s="104" t="s">
        <v>490</v>
      </c>
      <c r="I450" s="104" t="s">
        <v>488</v>
      </c>
      <c r="J450" s="85"/>
      <c r="K450" s="85"/>
      <c r="L450" s="85"/>
      <c r="M450" s="85"/>
      <c r="N450" s="85"/>
      <c r="O450" s="85"/>
      <c r="P450" s="85"/>
      <c r="Q450" s="104" t="s">
        <v>421</v>
      </c>
      <c r="R450" s="87"/>
      <c r="S450" s="85"/>
      <c r="T450" s="104" t="s">
        <v>509</v>
      </c>
      <c r="U450" s="123"/>
      <c r="V450" s="123"/>
      <c r="W450" s="104"/>
      <c r="X450" s="85"/>
      <c r="Y450" s="123"/>
      <c r="Z450" s="130" t="str">
        <f t="shared" si="140"/>
        <v>/* 테이블 : 배너 */ CREATE TABLE TB_BANNER (</v>
      </c>
      <c r="AA450" s="125" t="str">
        <f t="shared" si="144"/>
        <v>BANNER_DC TEXT,</v>
      </c>
      <c r="AB450" s="125" t="str">
        <f t="shared" si="148"/>
        <v/>
      </c>
      <c r="AC450" s="125" t="str">
        <f t="shared" si="149"/>
        <v/>
      </c>
      <c r="AD450" s="125" t="str">
        <f t="shared" si="143"/>
        <v/>
      </c>
      <c r="AE450" s="125" t="str">
        <f t="shared" si="141"/>
        <v/>
      </c>
      <c r="AF450" s="125" t="str">
        <f t="shared" si="142"/>
        <v>COMMENT ON COLUMN TB_BANNER.BANNER_DC IS '배너 설명' ;</v>
      </c>
      <c r="AG450" s="125" t="str">
        <f t="shared" si="146"/>
        <v>ALTER TABLE TB_BANNER ALTER COLUMN BANNER_DC TYPE TEXT;</v>
      </c>
      <c r="AH450" s="125" t="str">
        <f t="shared" si="145"/>
        <v>ALTER TABLE TB_BANNER ADD COLUMN BANNER_DC TEXT;</v>
      </c>
      <c r="AI450" s="125" t="str">
        <f t="shared" si="147"/>
        <v>ALTER TABLE TB_BANNER DROP COLUMN BANNER_DC;</v>
      </c>
    </row>
    <row r="451" spans="2:35" ht="20.100000000000001" customHeight="1">
      <c r="B451" s="55">
        <v>446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7</v>
      </c>
      <c r="H451" s="104" t="s">
        <v>492</v>
      </c>
      <c r="I451" s="104" t="s">
        <v>491</v>
      </c>
      <c r="J451" s="85"/>
      <c r="K451" s="85"/>
      <c r="L451" s="85">
        <v>1</v>
      </c>
      <c r="M451" s="10" t="s">
        <v>364</v>
      </c>
      <c r="N451" s="96" t="s">
        <v>365</v>
      </c>
      <c r="O451" s="96" t="s">
        <v>539</v>
      </c>
      <c r="P451" s="96" t="s">
        <v>540</v>
      </c>
      <c r="Q451" s="104" t="s">
        <v>229</v>
      </c>
      <c r="R451" s="87"/>
      <c r="S451" s="85"/>
      <c r="T451" s="104" t="s">
        <v>510</v>
      </c>
      <c r="U451" s="123"/>
      <c r="V451" s="123"/>
      <c r="W451" s="104"/>
      <c r="X451" s="85"/>
      <c r="Y451" s="123"/>
      <c r="Z451" s="130" t="str">
        <f t="shared" si="140"/>
        <v>/* 테이블 : 배너 */ CREATE TABLE TB_BANNER (</v>
      </c>
      <c r="AA451" s="125" t="str">
        <f t="shared" si="144"/>
        <v>ATCH_FILE_SN INTEGER,</v>
      </c>
      <c r="AB451" s="125" t="str">
        <f t="shared" si="148"/>
        <v>ALTER TABLE TB_BANNER ADD CONSTRAINT TB_BANNER_FKEY1 FOREIGN KEY(ATCH_FILE_SN) REFERENCES TB_ATCH_FILE(ATCH_FILE_SN) ON UPDATE CASCADE ON DELETE SET NULL;</v>
      </c>
      <c r="AC451" s="125" t="str">
        <f t="shared" si="149"/>
        <v/>
      </c>
      <c r="AD451" s="125" t="str">
        <f t="shared" si="143"/>
        <v/>
      </c>
      <c r="AE451" s="125" t="str">
        <f t="shared" si="141"/>
        <v/>
      </c>
      <c r="AF451" s="125" t="str">
        <f t="shared" si="142"/>
        <v>COMMENT ON COLUMN TB_BANNER.ATCH_FILE_SN IS '첨부 파일 일련번호' ;</v>
      </c>
      <c r="AG451" s="125" t="str">
        <f t="shared" si="146"/>
        <v>ALTER TABLE TB_BANNER ALTER COLUMN ATCH_FILE_SN TYPE INTEGER;</v>
      </c>
      <c r="AH451" s="125" t="str">
        <f t="shared" si="145"/>
        <v>ALTER TABLE TB_BANNER ADD COLUMN ATCH_FILE_SN INTEGER;</v>
      </c>
      <c r="AI451" s="125" t="str">
        <f t="shared" si="147"/>
        <v>ALTER TABLE TB_BANNER DROP COLUMN ATCH_FILE_SN;</v>
      </c>
    </row>
    <row r="452" spans="2:35" ht="20.100000000000001" customHeight="1">
      <c r="B452" s="55">
        <v>447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8</v>
      </c>
      <c r="H452" s="104" t="s">
        <v>583</v>
      </c>
      <c r="I452" s="104" t="s">
        <v>583</v>
      </c>
      <c r="J452" s="85"/>
      <c r="K452" s="85"/>
      <c r="L452" s="85"/>
      <c r="M452" s="85"/>
      <c r="N452" s="85"/>
      <c r="O452" s="85"/>
      <c r="P452" s="85"/>
      <c r="Q452" s="104" t="s">
        <v>106</v>
      </c>
      <c r="R452" s="119" t="s">
        <v>530</v>
      </c>
      <c r="S452" s="85"/>
      <c r="T452" s="104" t="s">
        <v>353</v>
      </c>
      <c r="U452" s="123"/>
      <c r="V452" s="123"/>
      <c r="W452" s="104"/>
      <c r="X452" s="85"/>
      <c r="Y452" s="123"/>
      <c r="Z452" s="130" t="str">
        <f t="shared" si="140"/>
        <v>/* 테이블 : 배너 */ CREATE TABLE TB_BANNER (</v>
      </c>
      <c r="AA452" s="125" t="str">
        <f t="shared" si="144"/>
        <v>URL VARCHAR(2000),</v>
      </c>
      <c r="AB452" s="125" t="str">
        <f t="shared" si="148"/>
        <v/>
      </c>
      <c r="AC452" s="125" t="str">
        <f t="shared" si="149"/>
        <v/>
      </c>
      <c r="AD452" s="125" t="str">
        <f t="shared" si="143"/>
        <v/>
      </c>
      <c r="AE452" s="125" t="str">
        <f t="shared" si="141"/>
        <v/>
      </c>
      <c r="AF452" s="125" t="str">
        <f t="shared" si="142"/>
        <v>COMMENT ON COLUMN TB_BANNER.URL IS '클릭시 이동 URL' ;</v>
      </c>
      <c r="AG452" s="125" t="str">
        <f t="shared" si="146"/>
        <v>ALTER TABLE TB_BANNER ALTER COLUMN URL TYPE VARCHAR(2000);</v>
      </c>
      <c r="AH452" s="125" t="str">
        <f t="shared" si="145"/>
        <v>ALTER TABLE TB_BANNER ADD COLUMN URL VARCHAR(2000);</v>
      </c>
      <c r="AI452" s="125" t="str">
        <f t="shared" si="147"/>
        <v>ALTER TABLE TB_BANNER DROP COLUMN URL;</v>
      </c>
    </row>
    <row r="453" spans="2:35" ht="20.100000000000001" customHeight="1">
      <c r="B453" s="55">
        <v>448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9</v>
      </c>
      <c r="H453" s="104" t="s">
        <v>486</v>
      </c>
      <c r="I453" s="104" t="s">
        <v>485</v>
      </c>
      <c r="J453" s="85" t="s">
        <v>418</v>
      </c>
      <c r="K453" s="85"/>
      <c r="L453" s="85"/>
      <c r="M453" s="85"/>
      <c r="N453" s="85"/>
      <c r="O453" s="85"/>
      <c r="P453" s="85"/>
      <c r="Q453" s="51" t="s">
        <v>804</v>
      </c>
      <c r="R453" s="119" t="s">
        <v>522</v>
      </c>
      <c r="S453" s="85"/>
      <c r="T453" s="104" t="s">
        <v>511</v>
      </c>
      <c r="U453" s="123"/>
      <c r="V453" s="123"/>
      <c r="W453" s="104" t="s">
        <v>512</v>
      </c>
      <c r="X453" s="85"/>
      <c r="Y453" s="123"/>
      <c r="Z453" s="130" t="str">
        <f t="shared" si="140"/>
        <v>/* 테이블 : 배너 */ CREATE TABLE TB_BANNER (</v>
      </c>
      <c r="AA453" s="125" t="str">
        <f t="shared" si="144"/>
        <v>CLASS_MAPNG_YN BPCHAR(1) NOT NULL,</v>
      </c>
      <c r="AB453" s="125" t="str">
        <f t="shared" si="148"/>
        <v/>
      </c>
      <c r="AC453" s="125" t="str">
        <f t="shared" si="149"/>
        <v/>
      </c>
      <c r="AD453" s="125" t="str">
        <f t="shared" si="143"/>
        <v/>
      </c>
      <c r="AE453" s="125" t="str">
        <f t="shared" si="141"/>
        <v/>
      </c>
      <c r="AF453" s="125" t="str">
        <f t="shared" si="142"/>
        <v>COMMENT ON COLUMN TB_BANNER.CLASS_MAPNG_YN IS '클래스 매핑 여부' ;</v>
      </c>
      <c r="AG453" s="125" t="str">
        <f t="shared" si="146"/>
        <v>ALTER TABLE TB_BANNER ALTER COLUMN CLASS_MAPNG_YN TYPE BPCHAR(1);</v>
      </c>
      <c r="AH453" s="125" t="str">
        <f t="shared" si="145"/>
        <v>ALTER TABLE TB_BANNER ADD COLUMN CLASS_MAPNG_YN BPCHAR(1) NOT NULL;</v>
      </c>
      <c r="AI453" s="125" t="str">
        <f t="shared" si="147"/>
        <v>ALTER TABLE TB_BANNER DROP COLUMN CLASS_MAPNG_YN;</v>
      </c>
    </row>
    <row r="454" spans="2:35" ht="20.100000000000001" customHeight="1">
      <c r="B454" s="135">
        <v>449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10</v>
      </c>
      <c r="H454" s="104" t="s">
        <v>497</v>
      </c>
      <c r="I454" s="104" t="s">
        <v>487</v>
      </c>
      <c r="J454" s="85"/>
      <c r="K454" s="85"/>
      <c r="L454" s="85">
        <v>2</v>
      </c>
      <c r="M454" s="13" t="s">
        <v>22</v>
      </c>
      <c r="N454" s="101" t="s">
        <v>162</v>
      </c>
      <c r="O454" s="95" t="s">
        <v>539</v>
      </c>
      <c r="P454" s="95" t="s">
        <v>541</v>
      </c>
      <c r="Q454" s="104" t="s">
        <v>229</v>
      </c>
      <c r="R454" s="87"/>
      <c r="S454" s="85"/>
      <c r="T454" s="104" t="s">
        <v>513</v>
      </c>
      <c r="U454" s="123"/>
      <c r="V454" s="123"/>
      <c r="W454" s="104"/>
      <c r="X454" s="85"/>
      <c r="Y454" s="123"/>
      <c r="Z454" s="130" t="str">
        <f t="shared" si="140"/>
        <v>/* 테이블 : 배너 */ CREATE TABLE TB_BANNER (</v>
      </c>
      <c r="AA454" s="125" t="str">
        <f t="shared" si="144"/>
        <v>CLASS_SN INTEGER,</v>
      </c>
      <c r="AB454" s="125" t="str">
        <f t="shared" si="148"/>
        <v>ALTER TABLE TB_BANNER ADD CONSTRAINT TB_BANNER_FKEY2 FOREIGN KEY(CLASS_SN) REFERENCES TB_CLASS(CLASS_SN) ON UPDATE CASCADE ON DELETE CASCADE;</v>
      </c>
      <c r="AC454" s="125" t="str">
        <f t="shared" si="149"/>
        <v/>
      </c>
      <c r="AD454" s="125" t="str">
        <f t="shared" si="143"/>
        <v/>
      </c>
      <c r="AE454" s="125" t="str">
        <f t="shared" si="141"/>
        <v/>
      </c>
      <c r="AF454" s="125" t="str">
        <f t="shared" si="142"/>
        <v>COMMENT ON COLUMN TB_BANNER.CLASS_SN IS '클래스 일련번호' ;</v>
      </c>
      <c r="AG454" s="125" t="str">
        <f t="shared" si="146"/>
        <v>ALTER TABLE TB_BANNER ALTER COLUMN CLASS_SN TYPE INTEGER;</v>
      </c>
      <c r="AH454" s="125" t="str">
        <f t="shared" si="145"/>
        <v>ALTER TABLE TB_BANNER ADD COLUMN CLASS_SN INTEGER;</v>
      </c>
      <c r="AI454" s="125" t="str">
        <f t="shared" si="147"/>
        <v>ALTER TABLE TB_BANNER DROP COLUMN CLASS_SN;</v>
      </c>
    </row>
    <row r="455" spans="2:35" ht="20.100000000000001" customHeight="1">
      <c r="B455" s="55">
        <v>450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11</v>
      </c>
      <c r="H455" s="104" t="s">
        <v>432</v>
      </c>
      <c r="I455" s="104" t="s">
        <v>429</v>
      </c>
      <c r="J455" s="85" t="s">
        <v>418</v>
      </c>
      <c r="K455" s="85"/>
      <c r="L455" s="85"/>
      <c r="M455" s="85"/>
      <c r="N455" s="85"/>
      <c r="O455" s="85"/>
      <c r="P455" s="126"/>
      <c r="Q455" s="51" t="s">
        <v>804</v>
      </c>
      <c r="R455" s="119" t="s">
        <v>522</v>
      </c>
      <c r="S455" s="85"/>
      <c r="T455" s="104" t="s">
        <v>465</v>
      </c>
      <c r="U455" s="123"/>
      <c r="V455" s="123"/>
      <c r="W455" s="104"/>
      <c r="X455" s="85"/>
      <c r="Y455" s="123"/>
      <c r="Z455" s="130" t="str">
        <f t="shared" si="140"/>
        <v>/* 테이블 : 배너 */ CREATE TABLE TB_BANNER (</v>
      </c>
      <c r="AA455" s="125" t="str">
        <f t="shared" si="144"/>
        <v>USE_YN BPCHAR(1) NOT NULL,</v>
      </c>
      <c r="AB455" s="125" t="str">
        <f t="shared" si="148"/>
        <v/>
      </c>
      <c r="AC455" s="125" t="str">
        <f t="shared" si="149"/>
        <v/>
      </c>
      <c r="AD455" s="125" t="str">
        <f t="shared" si="143"/>
        <v/>
      </c>
      <c r="AE455" s="125" t="str">
        <f t="shared" si="141"/>
        <v/>
      </c>
      <c r="AF455" s="125" t="str">
        <f t="shared" si="142"/>
        <v>COMMENT ON COLUMN TB_BANNER.USE_YN IS '사용 여부' ;</v>
      </c>
      <c r="AG455" s="125" t="str">
        <f t="shared" si="146"/>
        <v>ALTER TABLE TB_BANNER ALTER COLUMN USE_YN TYPE BPCHAR(1);</v>
      </c>
      <c r="AH455" s="125" t="str">
        <f t="shared" si="145"/>
        <v>ALTER TABLE TB_BANNER ADD COLUMN USE_YN BPCHAR(1) NOT NULL;</v>
      </c>
      <c r="AI455" s="125" t="str">
        <f t="shared" si="147"/>
        <v>ALTER TABLE TB_BANNER DROP COLUMN USE_YN;</v>
      </c>
    </row>
    <row r="456" spans="2:35" ht="20.100000000000001" customHeight="1">
      <c r="B456" s="55">
        <v>451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12</v>
      </c>
      <c r="H456" s="101" t="s">
        <v>498</v>
      </c>
      <c r="I456" s="101" t="s">
        <v>503</v>
      </c>
      <c r="J456" s="73" t="s">
        <v>72</v>
      </c>
      <c r="K456" s="61"/>
      <c r="L456" s="61"/>
      <c r="M456" s="69"/>
      <c r="N456" s="69"/>
      <c r="O456" s="69"/>
      <c r="P456" s="69"/>
      <c r="Q456" s="51" t="s">
        <v>804</v>
      </c>
      <c r="R456" s="119" t="s">
        <v>522</v>
      </c>
      <c r="S456" s="85"/>
      <c r="T456" s="104" t="s">
        <v>514</v>
      </c>
      <c r="U456" s="123"/>
      <c r="V456" s="123"/>
      <c r="W456" s="104"/>
      <c r="X456" s="85"/>
      <c r="Y456" s="123"/>
      <c r="Z456" s="130" t="str">
        <f t="shared" si="140"/>
        <v>/* 테이블 : 배너 */ CREATE TABLE TB_BANNER (</v>
      </c>
      <c r="AA456" s="125" t="str">
        <f t="shared" si="144"/>
        <v>BANNER_PD_SET_YN BPCHAR(1) NOT NULL,</v>
      </c>
      <c r="AB456" s="125" t="str">
        <f t="shared" si="148"/>
        <v/>
      </c>
      <c r="AC456" s="125" t="str">
        <f t="shared" si="149"/>
        <v/>
      </c>
      <c r="AD456" s="125" t="str">
        <f t="shared" si="143"/>
        <v/>
      </c>
      <c r="AE456" s="125" t="str">
        <f t="shared" si="141"/>
        <v/>
      </c>
      <c r="AF456" s="125" t="str">
        <f t="shared" si="142"/>
        <v>COMMENT ON COLUMN TB_BANNER.BANNER_PD_SET_YN IS '배너 기간 설정 여부' ;</v>
      </c>
      <c r="AG456" s="125" t="str">
        <f t="shared" si="146"/>
        <v>ALTER TABLE TB_BANNER ALTER COLUMN BANNER_PD_SET_YN TYPE BPCHAR(1);</v>
      </c>
      <c r="AH456" s="125" t="str">
        <f t="shared" si="145"/>
        <v>ALTER TABLE TB_BANNER ADD COLUMN BANNER_PD_SET_YN BPCHAR(1) NOT NULL;</v>
      </c>
      <c r="AI456" s="125" t="str">
        <f t="shared" si="147"/>
        <v>ALTER TABLE TB_BANNER DROP COLUMN BANNER_PD_SET_YN;</v>
      </c>
    </row>
    <row r="457" spans="2:35" ht="20.100000000000001" customHeight="1">
      <c r="B457" s="55">
        <v>452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13</v>
      </c>
      <c r="H457" s="102" t="s">
        <v>499</v>
      </c>
      <c r="I457" s="101" t="s">
        <v>502</v>
      </c>
      <c r="J457" s="61"/>
      <c r="K457" s="61"/>
      <c r="L457" s="61"/>
      <c r="M457" s="61"/>
      <c r="N457" s="61"/>
      <c r="O457" s="61"/>
      <c r="P457" s="61"/>
      <c r="Q457" s="51" t="s">
        <v>106</v>
      </c>
      <c r="R457" s="120" t="s">
        <v>753</v>
      </c>
      <c r="S457" s="85"/>
      <c r="T457" s="104" t="s">
        <v>515</v>
      </c>
      <c r="U457" s="123"/>
      <c r="V457" s="123"/>
      <c r="W457" s="104"/>
      <c r="X457" s="85"/>
      <c r="Y457" s="123"/>
      <c r="Z457" s="130" t="str">
        <f t="shared" si="140"/>
        <v>/* 테이블 : 배너 */ CREATE TABLE TB_BANNER (</v>
      </c>
      <c r="AA457" s="125" t="str">
        <f t="shared" si="144"/>
        <v>BANNER_BEGIN_DT VARCHAR(16),</v>
      </c>
      <c r="AB457" s="125" t="str">
        <f t="shared" si="148"/>
        <v/>
      </c>
      <c r="AC457" s="125" t="str">
        <f t="shared" si="149"/>
        <v/>
      </c>
      <c r="AD457" s="125" t="str">
        <f t="shared" si="143"/>
        <v/>
      </c>
      <c r="AE457" s="125" t="str">
        <f t="shared" si="141"/>
        <v/>
      </c>
      <c r="AF457" s="125" t="str">
        <f t="shared" si="142"/>
        <v>COMMENT ON COLUMN TB_BANNER.BANNER_BEGIN_DT IS '배너 시작 일시' ;</v>
      </c>
      <c r="AG457" s="125" t="str">
        <f t="shared" si="146"/>
        <v>ALTER TABLE TB_BANNER ALTER COLUMN BANNER_BEGIN_DT TYPE VARCHAR(16);</v>
      </c>
      <c r="AH457" s="125" t="str">
        <f t="shared" si="145"/>
        <v>ALTER TABLE TB_BANNER ADD COLUMN BANNER_BEGIN_DT VARCHAR(16);</v>
      </c>
      <c r="AI457" s="125" t="str">
        <f t="shared" si="147"/>
        <v>ALTER TABLE TB_BANNER DROP COLUMN BANNER_BEGIN_DT;</v>
      </c>
    </row>
    <row r="458" spans="2:35" ht="20.100000000000001" customHeight="1">
      <c r="B458" s="135">
        <v>453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14</v>
      </c>
      <c r="H458" s="101" t="s">
        <v>500</v>
      </c>
      <c r="I458" s="101" t="s">
        <v>501</v>
      </c>
      <c r="J458" s="61"/>
      <c r="K458" s="61"/>
      <c r="L458" s="61"/>
      <c r="M458" s="61"/>
      <c r="N458" s="61"/>
      <c r="O458" s="61"/>
      <c r="P458" s="61"/>
      <c r="Q458" s="51" t="s">
        <v>106</v>
      </c>
      <c r="R458" s="120" t="s">
        <v>753</v>
      </c>
      <c r="S458" s="85"/>
      <c r="T458" s="104" t="s">
        <v>516</v>
      </c>
      <c r="U458" s="123"/>
      <c r="V458" s="123"/>
      <c r="W458" s="104"/>
      <c r="X458" s="85"/>
      <c r="Y458" s="123"/>
      <c r="Z458" s="130" t="str">
        <f t="shared" si="140"/>
        <v>/* 테이블 : 배너 */ CREATE TABLE TB_BANNER (</v>
      </c>
      <c r="AA458" s="125" t="str">
        <f t="shared" si="144"/>
        <v>BANNER_END_DT VARCHAR(16),</v>
      </c>
      <c r="AB458" s="125" t="str">
        <f t="shared" si="148"/>
        <v/>
      </c>
      <c r="AC458" s="125" t="str">
        <f t="shared" si="149"/>
        <v/>
      </c>
      <c r="AD458" s="125" t="str">
        <f t="shared" si="143"/>
        <v/>
      </c>
      <c r="AE458" s="125" t="str">
        <f t="shared" si="141"/>
        <v/>
      </c>
      <c r="AF458" s="125" t="str">
        <f t="shared" si="142"/>
        <v>COMMENT ON COLUMN TB_BANNER.BANNER_END_DT IS '배너 종료 일시' ;</v>
      </c>
      <c r="AG458" s="125" t="str">
        <f t="shared" si="146"/>
        <v>ALTER TABLE TB_BANNER ALTER COLUMN BANNER_END_DT TYPE VARCHAR(16);</v>
      </c>
      <c r="AH458" s="125" t="str">
        <f t="shared" si="145"/>
        <v>ALTER TABLE TB_BANNER ADD COLUMN BANNER_END_DT VARCHAR(16);</v>
      </c>
      <c r="AI458" s="125" t="str">
        <f t="shared" si="147"/>
        <v>ALTER TABLE TB_BANNER DROP COLUMN BANNER_END_DT;</v>
      </c>
    </row>
    <row r="459" spans="2:35" ht="20.100000000000001" customHeight="1">
      <c r="B459" s="55">
        <v>454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15</v>
      </c>
      <c r="H459" s="97" t="s">
        <v>107</v>
      </c>
      <c r="I459" s="51" t="s">
        <v>76</v>
      </c>
      <c r="J459" s="73" t="s">
        <v>72</v>
      </c>
      <c r="K459" s="67"/>
      <c r="L459" s="67"/>
      <c r="M459" s="77"/>
      <c r="N459" s="77"/>
      <c r="O459" s="77"/>
      <c r="P459" s="77"/>
      <c r="Q459" s="100" t="s">
        <v>521</v>
      </c>
      <c r="R459" s="119" t="s">
        <v>526</v>
      </c>
      <c r="S459" s="80"/>
      <c r="T459" s="107" t="s">
        <v>219</v>
      </c>
      <c r="U459" s="123"/>
      <c r="V459" s="123"/>
      <c r="W459" s="104"/>
      <c r="X459" s="85"/>
      <c r="Y459" s="123"/>
      <c r="Z459" s="130" t="str">
        <f t="shared" si="140"/>
        <v>/* 테이블 : 배너 */ CREATE TABLE TB_BANNER (</v>
      </c>
      <c r="AA459" s="125" t="str">
        <f t="shared" si="144"/>
        <v>REGISTER_ID VARCHAR(50) NOT NULL,</v>
      </c>
      <c r="AB459" s="125" t="str">
        <f t="shared" si="148"/>
        <v/>
      </c>
      <c r="AC459" s="125" t="str">
        <f t="shared" si="149"/>
        <v/>
      </c>
      <c r="AD459" s="125" t="str">
        <f t="shared" si="143"/>
        <v/>
      </c>
      <c r="AE459" s="125" t="str">
        <f t="shared" si="141"/>
        <v/>
      </c>
      <c r="AF459" s="125" t="str">
        <f t="shared" si="142"/>
        <v>COMMENT ON COLUMN TB_BANNER.REGISTER_ID IS '등록자 ID' ;</v>
      </c>
      <c r="AG459" s="125" t="str">
        <f t="shared" si="146"/>
        <v>ALTER TABLE TB_BANNER ALTER COLUMN REGISTER_ID TYPE VARCHAR(50);</v>
      </c>
      <c r="AH459" s="125" t="str">
        <f t="shared" si="145"/>
        <v>ALTER TABLE TB_BANNER ADD COLUMN REGISTER_ID VARCHAR(50) NOT NULL;</v>
      </c>
      <c r="AI459" s="125" t="str">
        <f t="shared" si="147"/>
        <v>ALTER TABLE TB_BANNER DROP COLUMN REGISTER_ID;</v>
      </c>
    </row>
    <row r="460" spans="2:35" ht="20.100000000000001" customHeight="1">
      <c r="B460" s="55">
        <v>455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16</v>
      </c>
      <c r="H460" s="97" t="s">
        <v>91</v>
      </c>
      <c r="I460" s="51" t="s">
        <v>77</v>
      </c>
      <c r="J460" s="73" t="s">
        <v>72</v>
      </c>
      <c r="K460" s="52"/>
      <c r="L460" s="52"/>
      <c r="M460" s="52"/>
      <c r="N460" s="52"/>
      <c r="O460" s="52"/>
      <c r="P460" s="52"/>
      <c r="Q460" s="56" t="s">
        <v>106</v>
      </c>
      <c r="R460" s="120" t="s">
        <v>527</v>
      </c>
      <c r="S460" s="80"/>
      <c r="T460" s="107" t="s">
        <v>218</v>
      </c>
      <c r="U460" s="123"/>
      <c r="V460" s="123"/>
      <c r="W460" s="104"/>
      <c r="X460" s="85"/>
      <c r="Y460" s="123"/>
      <c r="Z460" s="130" t="str">
        <f t="shared" ref="Z460:Z465" si="150">"/* 테이블 : "&amp; $F460 &amp;" */ CREATE TABLE "&amp;$E460&amp;" ("</f>
        <v>/* 테이블 : 배너 */ CREATE TABLE TB_BANNER (</v>
      </c>
      <c r="AA460" s="125" t="str">
        <f t="shared" si="144"/>
        <v>REGISTER_IP VARCHAR(100) NOT NULL,</v>
      </c>
      <c r="AB460" s="125" t="str">
        <f t="shared" si="148"/>
        <v/>
      </c>
      <c r="AC460" s="125" t="str">
        <f t="shared" si="149"/>
        <v/>
      </c>
      <c r="AD460" s="125" t="str">
        <f t="shared" si="143"/>
        <v/>
      </c>
      <c r="AE460" s="125" t="str">
        <f t="shared" ref="AE460:AE473" si="151">IF(ISBLANK($S460),"","ALTER TABLE " &amp; $E460 &amp; " ALTER COLUMN " &amp; $H460 &amp; " SET DEFAULT " &amp; $S460 &amp; ";")</f>
        <v/>
      </c>
      <c r="AF460" s="125" t="str">
        <f t="shared" ref="AF460:AF465" si="152">"COMMENT ON COLUMN "&amp;$E460&amp;"."&amp;$H460&amp;" IS '"&amp;$T460&amp;"' ;"</f>
        <v>COMMENT ON COLUMN TB_BANNER.REGISTER_IP IS '등록자 IP' ;</v>
      </c>
      <c r="AG460" s="125" t="str">
        <f t="shared" si="146"/>
        <v>ALTER TABLE TB_BANNER ALTER COLUMN REGISTER_IP TYPE VARCHAR(100);</v>
      </c>
      <c r="AH460" s="125" t="str">
        <f t="shared" si="145"/>
        <v>ALTER TABLE TB_BANNER ADD COLUMN REGISTER_IP VARCHAR(100) NOT NULL;</v>
      </c>
      <c r="AI460" s="125" t="str">
        <f t="shared" si="147"/>
        <v>ALTER TABLE TB_BANNER DROP COLUMN REGISTER_IP;</v>
      </c>
    </row>
    <row r="461" spans="2:35" ht="20.100000000000001" customHeight="1">
      <c r="B461" s="55">
        <v>456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17</v>
      </c>
      <c r="H461" s="97" t="s">
        <v>92</v>
      </c>
      <c r="I461" s="96" t="s">
        <v>78</v>
      </c>
      <c r="J461" s="73" t="s">
        <v>72</v>
      </c>
      <c r="K461" s="52"/>
      <c r="L461" s="52"/>
      <c r="M461" s="52"/>
      <c r="N461" s="52"/>
      <c r="O461" s="52"/>
      <c r="P461" s="52"/>
      <c r="Q461" s="51" t="s">
        <v>706</v>
      </c>
      <c r="R461" s="120"/>
      <c r="S461" s="80"/>
      <c r="T461" s="107" t="s">
        <v>217</v>
      </c>
      <c r="U461" s="123"/>
      <c r="V461" s="123"/>
      <c r="W461" s="104"/>
      <c r="X461" s="85"/>
      <c r="Y461" s="123"/>
      <c r="Z461" s="130" t="str">
        <f t="shared" si="150"/>
        <v>/* 테이블 : 배너 */ CREATE TABLE TB_BANNER (</v>
      </c>
      <c r="AA461" s="125" t="str">
        <f t="shared" si="144"/>
        <v>REG_DT TIMESTAMP NOT NULL,</v>
      </c>
      <c r="AB461" s="125" t="str">
        <f t="shared" si="148"/>
        <v/>
      </c>
      <c r="AC461" s="125" t="str">
        <f t="shared" si="149"/>
        <v/>
      </c>
      <c r="AD461" s="125" t="str">
        <f t="shared" si="143"/>
        <v/>
      </c>
      <c r="AE461" s="125" t="str">
        <f t="shared" si="151"/>
        <v/>
      </c>
      <c r="AF461" s="125" t="str">
        <f t="shared" si="152"/>
        <v>COMMENT ON COLUMN TB_BANNER.REG_DT IS '등록 일시' ;</v>
      </c>
      <c r="AG461" s="125" t="str">
        <f t="shared" si="146"/>
        <v>ALTER TABLE TB_BANNER ALTER COLUMN REG_DT TYPE TIMESTAMP;</v>
      </c>
      <c r="AH461" s="125" t="str">
        <f t="shared" si="145"/>
        <v>ALTER TABLE TB_BANNER ADD COLUMN REG_DT TIMESTAMP NOT NULL;</v>
      </c>
      <c r="AI461" s="125" t="str">
        <f t="shared" si="147"/>
        <v>ALTER TABLE TB_BANNER DROP COLUMN REG_DT;</v>
      </c>
    </row>
    <row r="462" spans="2:35" ht="20.100000000000001" customHeight="1">
      <c r="B462" s="135">
        <v>457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18</v>
      </c>
      <c r="H462" s="97" t="s">
        <v>93</v>
      </c>
      <c r="I462" s="96" t="s">
        <v>80</v>
      </c>
      <c r="J462" s="52"/>
      <c r="K462" s="52"/>
      <c r="L462" s="52"/>
      <c r="M462" s="79"/>
      <c r="N462" s="79"/>
      <c r="O462" s="79"/>
      <c r="P462" s="79"/>
      <c r="Q462" s="100" t="s">
        <v>521</v>
      </c>
      <c r="R462" s="119" t="s">
        <v>526</v>
      </c>
      <c r="S462" s="80"/>
      <c r="T462" s="107" t="s">
        <v>216</v>
      </c>
      <c r="U462" s="123"/>
      <c r="V462" s="123"/>
      <c r="W462" s="104"/>
      <c r="X462" s="85"/>
      <c r="Y462" s="123"/>
      <c r="Z462" s="130" t="str">
        <f t="shared" si="150"/>
        <v>/* 테이블 : 배너 */ CREATE TABLE TB_BANNER (</v>
      </c>
      <c r="AA462" s="125" t="str">
        <f t="shared" si="144"/>
        <v>UPDUSR_ID VARCHAR(50),</v>
      </c>
      <c r="AB462" s="125" t="str">
        <f t="shared" si="148"/>
        <v/>
      </c>
      <c r="AC462" s="125" t="str">
        <f t="shared" si="149"/>
        <v/>
      </c>
      <c r="AD462" s="125" t="str">
        <f t="shared" si="143"/>
        <v/>
      </c>
      <c r="AE462" s="125" t="str">
        <f t="shared" si="151"/>
        <v/>
      </c>
      <c r="AF462" s="125" t="str">
        <f t="shared" si="152"/>
        <v>COMMENT ON COLUMN TB_BANNER.UPDUSR_ID IS '수정자 ID' ;</v>
      </c>
      <c r="AG462" s="125" t="str">
        <f t="shared" si="146"/>
        <v>ALTER TABLE TB_BANNER ALTER COLUMN UPDUSR_ID TYPE VARCHAR(50);</v>
      </c>
      <c r="AH462" s="125" t="str">
        <f t="shared" si="145"/>
        <v>ALTER TABLE TB_BANNER ADD COLUMN UPDUSR_ID VARCHAR(50);</v>
      </c>
      <c r="AI462" s="125" t="str">
        <f t="shared" si="147"/>
        <v>ALTER TABLE TB_BANNER DROP COLUMN UPDUSR_ID;</v>
      </c>
    </row>
    <row r="463" spans="2:35" ht="20.100000000000001" customHeight="1">
      <c r="B463" s="55">
        <v>458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19</v>
      </c>
      <c r="H463" s="97" t="s">
        <v>94</v>
      </c>
      <c r="I463" s="96" t="s">
        <v>79</v>
      </c>
      <c r="J463" s="52"/>
      <c r="K463" s="52"/>
      <c r="L463" s="52"/>
      <c r="M463" s="52"/>
      <c r="N463" s="52"/>
      <c r="O463" s="52"/>
      <c r="P463" s="52"/>
      <c r="Q463" s="56" t="s">
        <v>106</v>
      </c>
      <c r="R463" s="120" t="s">
        <v>527</v>
      </c>
      <c r="S463" s="80"/>
      <c r="T463" s="107" t="s">
        <v>215</v>
      </c>
      <c r="U463" s="123"/>
      <c r="V463" s="123"/>
      <c r="W463" s="104"/>
      <c r="X463" s="85"/>
      <c r="Y463" s="123"/>
      <c r="Z463" s="130" t="str">
        <f t="shared" si="150"/>
        <v>/* 테이블 : 배너 */ CREATE TABLE TB_BANNER (</v>
      </c>
      <c r="AA463" s="125" t="str">
        <f t="shared" si="144"/>
        <v>UPDUSR_IP VARCHAR(100),</v>
      </c>
      <c r="AB463" s="125" t="str">
        <f t="shared" si="148"/>
        <v/>
      </c>
      <c r="AC463" s="125" t="str">
        <f t="shared" si="149"/>
        <v/>
      </c>
      <c r="AD463" s="125" t="str">
        <f t="shared" si="143"/>
        <v/>
      </c>
      <c r="AE463" s="125" t="str">
        <f t="shared" si="151"/>
        <v/>
      </c>
      <c r="AF463" s="125" t="str">
        <f t="shared" si="152"/>
        <v>COMMENT ON COLUMN TB_BANNER.UPDUSR_IP IS '수정자 IP' ;</v>
      </c>
      <c r="AG463" s="125" t="str">
        <f t="shared" si="146"/>
        <v>ALTER TABLE TB_BANNER ALTER COLUMN UPDUSR_IP TYPE VARCHAR(100);</v>
      </c>
      <c r="AH463" s="125" t="str">
        <f t="shared" si="145"/>
        <v>ALTER TABLE TB_BANNER ADD COLUMN UPDUSR_IP VARCHAR(100);</v>
      </c>
      <c r="AI463" s="125" t="str">
        <f t="shared" si="147"/>
        <v>ALTER TABLE TB_BANNER DROP COLUMN UPDUSR_IP;</v>
      </c>
    </row>
    <row r="464" spans="2:35" ht="20.100000000000001" customHeight="1">
      <c r="B464" s="55">
        <v>459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20</v>
      </c>
      <c r="H464" s="98" t="s">
        <v>95</v>
      </c>
      <c r="I464" s="97" t="s">
        <v>81</v>
      </c>
      <c r="J464" s="61"/>
      <c r="K464" s="61"/>
      <c r="L464" s="61"/>
      <c r="M464" s="61"/>
      <c r="N464" s="61"/>
      <c r="O464" s="61"/>
      <c r="P464" s="61"/>
      <c r="Q464" s="51" t="s">
        <v>706</v>
      </c>
      <c r="R464" s="120"/>
      <c r="S464" s="77"/>
      <c r="T464" s="107" t="s">
        <v>214</v>
      </c>
      <c r="U464" s="123"/>
      <c r="V464" s="123"/>
      <c r="W464" s="104"/>
      <c r="X464" s="85"/>
      <c r="Y464" s="123"/>
      <c r="Z464" s="130" t="str">
        <f t="shared" si="150"/>
        <v>/* 테이블 : 배너 */ CREATE TABLE TB_BANNER (</v>
      </c>
      <c r="AA464" s="125" t="str">
        <f t="shared" si="144"/>
        <v>UPDT_DT TIMESTAMP,</v>
      </c>
      <c r="AB464" s="125" t="str">
        <f t="shared" si="148"/>
        <v/>
      </c>
      <c r="AC464" s="125" t="str">
        <f t="shared" si="149"/>
        <v/>
      </c>
      <c r="AD464" s="125" t="str">
        <f t="shared" si="143"/>
        <v/>
      </c>
      <c r="AE464" s="125" t="str">
        <f t="shared" si="151"/>
        <v/>
      </c>
      <c r="AF464" s="125" t="str">
        <f t="shared" si="152"/>
        <v>COMMENT ON COLUMN TB_BANNER.UPDT_DT IS '수정 일시' ;</v>
      </c>
      <c r="AG464" s="125" t="str">
        <f t="shared" si="146"/>
        <v>ALTER TABLE TB_BANNER ALTER COLUMN UPDT_DT TYPE TIMESTAMP;</v>
      </c>
      <c r="AH464" s="125" t="str">
        <f t="shared" si="145"/>
        <v>ALTER TABLE TB_BANNER ADD COLUMN UPDT_DT TIMESTAMP;</v>
      </c>
      <c r="AI464" s="125" t="str">
        <f t="shared" si="147"/>
        <v>ALTER TABLE TB_BANNER DROP COLUMN UPDT_DT;</v>
      </c>
    </row>
    <row r="465" spans="2:35" ht="20.100000000000001" customHeight="1">
      <c r="B465" s="55">
        <v>460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21</v>
      </c>
      <c r="H465" s="97" t="s">
        <v>96</v>
      </c>
      <c r="I465" s="97" t="s">
        <v>82</v>
      </c>
      <c r="J465" s="73" t="s">
        <v>72</v>
      </c>
      <c r="K465" s="61"/>
      <c r="L465" s="61"/>
      <c r="M465" s="61"/>
      <c r="N465" s="61"/>
      <c r="O465" s="61"/>
      <c r="P465" s="61"/>
      <c r="Q465" s="51" t="s">
        <v>804</v>
      </c>
      <c r="R465" s="120" t="s">
        <v>522</v>
      </c>
      <c r="S465" s="82" t="s">
        <v>803</v>
      </c>
      <c r="T465" s="107" t="s">
        <v>213</v>
      </c>
      <c r="U465" s="123"/>
      <c r="V465" s="123"/>
      <c r="W465" s="104"/>
      <c r="X465" s="85"/>
      <c r="Y465" s="123"/>
      <c r="Z465" s="130" t="str">
        <f t="shared" si="150"/>
        <v>/* 테이블 : 배너 */ CREATE TABLE TB_BANNER (</v>
      </c>
      <c r="AA465" s="125" t="str">
        <f t="shared" si="144"/>
        <v>DEL_YN BPCHAR(1) NOT NULL,</v>
      </c>
      <c r="AB465" s="125" t="str">
        <f t="shared" si="148"/>
        <v/>
      </c>
      <c r="AC465" s="125" t="str">
        <f t="shared" si="149"/>
        <v/>
      </c>
      <c r="AD465" s="125" t="str">
        <f t="shared" si="143"/>
        <v/>
      </c>
      <c r="AE465" s="125" t="str">
        <f t="shared" si="151"/>
        <v>ALTER TABLE TB_BANNER ALTER COLUMN DEL_YN SET DEFAULT 'N'::bpchar;</v>
      </c>
      <c r="AF465" s="125" t="str">
        <f t="shared" si="152"/>
        <v>COMMENT ON COLUMN TB_BANNER.DEL_YN IS '삭제 여부' ;</v>
      </c>
      <c r="AG465" s="125" t="str">
        <f t="shared" si="146"/>
        <v>ALTER TABLE TB_BANNER ALTER COLUMN DEL_YN TYPE BPCHAR(1);</v>
      </c>
      <c r="AH465" s="125" t="str">
        <f t="shared" si="145"/>
        <v>ALTER TABLE TB_BANNER ADD COLUMN DEL_YN BPCHAR(1) NOT NULL DEFAULT ''N'::bpchar';</v>
      </c>
      <c r="AI465" s="125" t="str">
        <f t="shared" si="147"/>
        <v>ALTER TABLE TB_BANNER DROP COLUMN DEL_YN;</v>
      </c>
    </row>
    <row r="466" spans="2:35">
      <c r="AE466" s="50" t="str">
        <f t="shared" si="151"/>
        <v/>
      </c>
      <c r="AH466" s="50" t="str">
        <f t="shared" si="145"/>
        <v>ALTER TABLE  ADD COLUMN  ;</v>
      </c>
      <c r="AI466" s="50" t="str">
        <f t="shared" si="147"/>
        <v>ALTER TABLE  DROP COLUMN ;</v>
      </c>
    </row>
    <row r="467" spans="2:35">
      <c r="AE467" s="50" t="str">
        <f t="shared" si="151"/>
        <v/>
      </c>
      <c r="AH467" s="50" t="str">
        <f t="shared" si="145"/>
        <v>ALTER TABLE  ADD COLUMN  ;</v>
      </c>
      <c r="AI467" s="50" t="str">
        <f t="shared" si="147"/>
        <v>ALTER TABLE  DROP COLUMN ;</v>
      </c>
    </row>
    <row r="468" spans="2:35">
      <c r="AE468" s="50" t="str">
        <f t="shared" si="151"/>
        <v/>
      </c>
      <c r="AH468" s="50" t="str">
        <f t="shared" si="145"/>
        <v>ALTER TABLE  ADD COLUMN  ;</v>
      </c>
      <c r="AI468" s="50" t="str">
        <f t="shared" si="147"/>
        <v>ALTER TABLE  DROP COLUMN ;</v>
      </c>
    </row>
    <row r="469" spans="2:35">
      <c r="AE469" s="50" t="str">
        <f t="shared" si="151"/>
        <v/>
      </c>
      <c r="AH469" s="50" t="str">
        <f t="shared" si="145"/>
        <v>ALTER TABLE  ADD COLUMN  ;</v>
      </c>
      <c r="AI469" s="50" t="str">
        <f t="shared" si="147"/>
        <v>ALTER TABLE  DROP COLUMN ;</v>
      </c>
    </row>
    <row r="470" spans="2:35">
      <c r="AE470" s="50" t="str">
        <f t="shared" si="151"/>
        <v/>
      </c>
      <c r="AH470" s="50" t="str">
        <f t="shared" si="145"/>
        <v>ALTER TABLE  ADD COLUMN  ;</v>
      </c>
      <c r="AI470" s="50" t="str">
        <f t="shared" si="147"/>
        <v>ALTER TABLE  DROP COLUMN ;</v>
      </c>
    </row>
    <row r="471" spans="2:35">
      <c r="AE471" s="50" t="str">
        <f t="shared" si="151"/>
        <v/>
      </c>
      <c r="AH471" s="50" t="str">
        <f t="shared" si="145"/>
        <v>ALTER TABLE  ADD COLUMN  ;</v>
      </c>
      <c r="AI471" s="50" t="str">
        <f t="shared" si="147"/>
        <v>ALTER TABLE  DROP COLUMN ;</v>
      </c>
    </row>
    <row r="472" spans="2:35">
      <c r="AE472" s="50" t="str">
        <f t="shared" si="151"/>
        <v/>
      </c>
      <c r="AH472" s="50" t="str">
        <f t="shared" si="145"/>
        <v>ALTER TABLE  ADD COLUMN  ;</v>
      </c>
      <c r="AI472" s="50" t="str">
        <f t="shared" si="147"/>
        <v>ALTER TABLE  DROP COLUMN ;</v>
      </c>
    </row>
    <row r="473" spans="2:35">
      <c r="AE473" s="50" t="str">
        <f t="shared" si="151"/>
        <v/>
      </c>
      <c r="AH473" s="50" t="str">
        <f t="shared" si="145"/>
        <v>ALTER TABLE  ADD COLUMN  ;</v>
      </c>
      <c r="AI473" s="50" t="str">
        <f t="shared" si="147"/>
        <v>ALTER TABLE  DROP COLUMN ;</v>
      </c>
    </row>
    <row r="490" spans="2:24">
      <c r="B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W490" s="124"/>
      <c r="X490" s="124"/>
    </row>
    <row r="491" spans="2:24">
      <c r="B491" s="124"/>
      <c r="C491" s="111"/>
      <c r="D491" s="112"/>
      <c r="E491" s="113"/>
      <c r="F491" s="113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W491" s="124"/>
      <c r="X491" s="124"/>
    </row>
    <row r="492" spans="2:24">
      <c r="B492" s="124"/>
      <c r="C492" s="111"/>
      <c r="D492" s="112"/>
      <c r="E492" s="113"/>
      <c r="F492" s="113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W492" s="124"/>
      <c r="X492" s="124"/>
    </row>
    <row r="493" spans="2:24">
      <c r="B493" s="124"/>
      <c r="C493" s="111"/>
      <c r="D493" s="112"/>
      <c r="E493" s="113"/>
      <c r="F493" s="113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21"/>
      <c r="F494" s="21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4"/>
      <c r="F495" s="11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4"/>
      <c r="F496" s="11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114"/>
      <c r="F497" s="11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11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21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4"/>
      <c r="F500" s="11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21"/>
      <c r="F501" s="113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21"/>
      <c r="F502" s="113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21"/>
      <c r="F503" s="113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114"/>
      <c r="F504" s="11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21"/>
      <c r="F505" s="21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1"/>
      <c r="E506" s="21"/>
      <c r="F506" s="21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1"/>
      <c r="E507" s="21"/>
      <c r="F507" s="21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1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5"/>
      <c r="F517" s="115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</sheetData>
  <autoFilter ref="B4:Y473" xr:uid="{85B6E963-2664-4494-AE6E-E89C8C9EB8F2}">
    <sortState ref="B21:Y464">
      <sortCondition ref="B4:B465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2024-02-27T06:35:22Z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