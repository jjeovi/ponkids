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jeoV\intellij\ponkids\src\main\resources\doc\"/>
    </mc:Choice>
  </mc:AlternateContent>
  <xr:revisionPtr revIDLastSave="0" documentId="13_ncr:1_{DD3AE96A-7694-469C-B6EA-F314F055B7AD}" xr6:coauthVersionLast="36" xr6:coauthVersionMax="47" xr10:uidLastSave="{00000000-0000-0000-0000-000000000000}"/>
  <bookViews>
    <workbookView xWindow="0" yWindow="495" windowWidth="38400" windowHeight="21105" xr2:uid="{00000000-000D-0000-FFFF-FFFF00000000}"/>
  </bookViews>
  <sheets>
    <sheet name="안내창 문구 정리" sheetId="1" r:id="rId1"/>
  </sheets>
  <definedNames>
    <definedName name="FlagPercent">'안내창 문구 정리'!#REF!</definedName>
    <definedName name="_xlnm.Print_Titles" localSheetId="0">'안내창 문구 정리'!$2:$2</definedName>
    <definedName name="범주목록">#REF!</definedName>
    <definedName name="열제목1">'안내창 문구 정리'!$B$2</definedName>
    <definedName name="열제목2">#REF!</definedName>
    <definedName name="직원목록">#REF!</definedName>
  </definedNames>
  <calcPr calcId="191029"/>
</workbook>
</file>

<file path=xl/calcChain.xml><?xml version="1.0" encoding="utf-8"?>
<calcChain xmlns="http://schemas.openxmlformats.org/spreadsheetml/2006/main">
  <c r="H27" i="1" l="1"/>
  <c r="H24" i="1"/>
  <c r="H21" i="1"/>
  <c r="H16" i="1"/>
  <c r="H13" i="1"/>
  <c r="H10" i="1"/>
  <c r="H7" i="1"/>
  <c r="H50" i="1"/>
  <c r="H31" i="1"/>
  <c r="H41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33" i="1"/>
  <c r="H65" i="1"/>
  <c r="H66" i="1"/>
  <c r="H67" i="1"/>
  <c r="H68" i="1"/>
  <c r="H69" i="1"/>
  <c r="H70" i="1"/>
  <c r="H71" i="1"/>
  <c r="H72" i="1"/>
  <c r="H73" i="1"/>
  <c r="H74" i="1"/>
  <c r="H30" i="1"/>
  <c r="H22" i="1"/>
  <c r="H20" i="1"/>
  <c r="H19" i="1"/>
  <c r="H18" i="1"/>
  <c r="H17" i="1"/>
  <c r="H15" i="1"/>
  <c r="H23" i="1"/>
  <c r="H75" i="1" l="1"/>
  <c r="H32" i="1"/>
  <c r="H29" i="1"/>
  <c r="H28" i="1"/>
  <c r="H26" i="1"/>
  <c r="H25" i="1"/>
  <c r="H14" i="1"/>
  <c r="H12" i="1"/>
  <c r="H11" i="1"/>
  <c r="H3" i="1"/>
  <c r="H4" i="1"/>
  <c r="H5" i="1"/>
  <c r="H6" i="1"/>
  <c r="H8" i="1"/>
  <c r="H9" i="1"/>
</calcChain>
</file>

<file path=xl/sharedStrings.xml><?xml version="1.0" encoding="utf-8"?>
<sst xmlns="http://schemas.openxmlformats.org/spreadsheetml/2006/main" count="386" uniqueCount="110">
  <si>
    <t>경로1</t>
    <phoneticPr fontId="11" type="noConversion"/>
  </si>
  <si>
    <t>경로2</t>
    <phoneticPr fontId="11" type="noConversion"/>
  </si>
  <si>
    <t>경로3</t>
    <phoneticPr fontId="11" type="noConversion"/>
  </si>
  <si>
    <t>경로4</t>
    <phoneticPr fontId="11" type="noConversion"/>
  </si>
  <si>
    <t>url</t>
    <phoneticPr fontId="11" type="noConversion"/>
  </si>
  <si>
    <t>안내문구</t>
    <phoneticPr fontId="11" type="noConversion"/>
  </si>
  <si>
    <t>비고</t>
    <phoneticPr fontId="11" type="noConversion"/>
  </si>
  <si>
    <t>구분</t>
    <phoneticPr fontId="11" type="noConversion"/>
  </si>
  <si>
    <t>관리자</t>
    <phoneticPr fontId="11" type="noConversion"/>
  </si>
  <si>
    <t>로그인</t>
    <phoneticPr fontId="11" type="noConversion"/>
  </si>
  <si>
    <t>상황</t>
    <phoneticPr fontId="11" type="noConversion"/>
  </si>
  <si>
    <t>전체경로 및 안내창 출력상황</t>
    <phoneticPr fontId="11" type="noConversion"/>
  </si>
  <si>
    <t>아이디 비밀번호 맞지 않을때</t>
    <phoneticPr fontId="11" type="noConversion"/>
  </si>
  <si>
    <t>아이디 또는 비밀번호가 맞지 않습니다. 다시 확인해 주세요.</t>
    <phoneticPr fontId="11" type="noConversion"/>
  </si>
  <si>
    <t>변경문구 ( 변경요청할 시에만 입력 )</t>
    <phoneticPr fontId="11" type="noConversion"/>
  </si>
  <si>
    <t>접근할 수 있는 권한이 없습니다. 관리자 계정으로 로그인해주세요.</t>
    <phoneticPr fontId="11" type="noConversion"/>
  </si>
  <si>
    <t>피오니키즈 안내창 문구 정리</t>
    <phoneticPr fontId="11" type="noConversion"/>
  </si>
  <si>
    <t>내용검토
(수용 or 변경요청)</t>
    <phoneticPr fontId="11" type="noConversion"/>
  </si>
  <si>
    <t>회원 관리</t>
    <phoneticPr fontId="11" type="noConversion"/>
  </si>
  <si>
    <t>회원 조회</t>
    <phoneticPr fontId="11" type="noConversion"/>
  </si>
  <si>
    <t>정상적으로 수정되었습니다.</t>
    <phoneticPr fontId="11" type="noConversion"/>
  </si>
  <si>
    <t>하단 내용 확인 후 변경이 필요하면, 내용검토(L셀)에 [변경요청]으로 선택 후, 변경문구(M셀)를 적어주시기 바랍니다.</t>
    <phoneticPr fontId="11" type="noConversion"/>
  </si>
  <si>
    <t>사용자 화면 관리</t>
    <phoneticPr fontId="11" type="noConversion"/>
  </si>
  <si>
    <t>배너 관리</t>
    <phoneticPr fontId="11" type="noConversion"/>
  </si>
  <si>
    <t>배너 등록</t>
    <phoneticPr fontId="11" type="noConversion"/>
  </si>
  <si>
    <t>정상적으로 등록되었습니다.</t>
    <phoneticPr fontId="11" type="noConversion"/>
  </si>
  <si>
    <t>등록 성공</t>
    <phoneticPr fontId="11" type="noConversion"/>
  </si>
  <si>
    <t>배너 조회</t>
    <phoneticPr fontId="11" type="noConversion"/>
  </si>
  <si>
    <t>배너 선택</t>
    <phoneticPr fontId="11" type="noConversion"/>
  </si>
  <si>
    <t>수정 성공</t>
    <phoneticPr fontId="11" type="noConversion"/>
  </si>
  <si>
    <t>회원 등록</t>
    <phoneticPr fontId="11" type="noConversion"/>
  </si>
  <si>
    <t>회원 선택</t>
    <phoneticPr fontId="11" type="noConversion"/>
  </si>
  <si>
    <t>클래스 관리</t>
    <phoneticPr fontId="11" type="noConversion"/>
  </si>
  <si>
    <t>클래스 등록</t>
    <phoneticPr fontId="11" type="noConversion"/>
  </si>
  <si>
    <t>클래스 조회</t>
    <phoneticPr fontId="11" type="noConversion"/>
  </si>
  <si>
    <t>클래스 선택</t>
    <phoneticPr fontId="11" type="noConversion"/>
  </si>
  <si>
    <t>클래스 관리</t>
    <phoneticPr fontId="11" type="noConversion"/>
  </si>
  <si>
    <t>수업 관리</t>
    <phoneticPr fontId="11" type="noConversion"/>
  </si>
  <si>
    <t>등록 성공</t>
    <phoneticPr fontId="11" type="noConversion"/>
  </si>
  <si>
    <t>수정 성공</t>
    <phoneticPr fontId="11" type="noConversion"/>
  </si>
  <si>
    <t>수업 선택</t>
    <phoneticPr fontId="11" type="noConversion"/>
  </si>
  <si>
    <t>후기 관리</t>
    <phoneticPr fontId="11" type="noConversion"/>
  </si>
  <si>
    <t>후기 조회</t>
    <phoneticPr fontId="11" type="noConversion"/>
  </si>
  <si>
    <t>후기 선택</t>
    <phoneticPr fontId="11" type="noConversion"/>
  </si>
  <si>
    <t>문의 관리</t>
    <phoneticPr fontId="11" type="noConversion"/>
  </si>
  <si>
    <t>문의 조회</t>
    <phoneticPr fontId="11" type="noConversion"/>
  </si>
  <si>
    <t>문의 선택</t>
    <phoneticPr fontId="11" type="noConversion"/>
  </si>
  <si>
    <t>게시판 관리</t>
    <phoneticPr fontId="11" type="noConversion"/>
  </si>
  <si>
    <t>게시판 등록</t>
    <phoneticPr fontId="11" type="noConversion"/>
  </si>
  <si>
    <t>답변 등록 성공</t>
    <phoneticPr fontId="11" type="noConversion"/>
  </si>
  <si>
    <t>게시판 조회</t>
    <phoneticPr fontId="11" type="noConversion"/>
  </si>
  <si>
    <t>게시판 선택</t>
    <phoneticPr fontId="11" type="noConversion"/>
  </si>
  <si>
    <t>정상적으로 수정되었습니다.</t>
    <phoneticPr fontId="11" type="noConversion"/>
  </si>
  <si>
    <t>게시물 관리</t>
    <phoneticPr fontId="11" type="noConversion"/>
  </si>
  <si>
    <t>게시물 등록</t>
    <phoneticPr fontId="11" type="noConversion"/>
  </si>
  <si>
    <t>게시물 선택</t>
    <phoneticPr fontId="11" type="noConversion"/>
  </si>
  <si>
    <t>팝업 관리</t>
    <phoneticPr fontId="11" type="noConversion"/>
  </si>
  <si>
    <t>팝업 등록</t>
    <phoneticPr fontId="11" type="noConversion"/>
  </si>
  <si>
    <t>https://pioneerkids.us/admLogin?auth=pon</t>
    <phoneticPr fontId="11" type="noConversion"/>
  </si>
  <si>
    <t>https://pioneerkids.us/admin/banner/mcd111/regist</t>
    <phoneticPr fontId="11" type="noConversion"/>
  </si>
  <si>
    <t>https://pioneerkids.us/admin/banner/mcd112/modify?pk=100012</t>
    <phoneticPr fontId="11" type="noConversion"/>
  </si>
  <si>
    <t>https://pioneerkids.us/admin/user/mcd21/regist</t>
    <phoneticPr fontId="11" type="noConversion"/>
  </si>
  <si>
    <t>https://pioneerkids.us/admin/user/mcd22/modify?userSn=100044</t>
    <phoneticPr fontId="11" type="noConversion"/>
  </si>
  <si>
    <t>https://pioneerkids.us/admin/class/mcd31/regist</t>
    <phoneticPr fontId="11" type="noConversion"/>
  </si>
  <si>
    <t>https://pioneerkids.us/admin/class/mcd32/modify?pk=100021</t>
    <phoneticPr fontId="11" type="noConversion"/>
  </si>
  <si>
    <t>https://pioneerkids.us/admin/lctre/mcd332/100021/regist</t>
    <phoneticPr fontId="11" type="noConversion"/>
  </si>
  <si>
    <t>https://pioneerkids.us/admin/lctre/mcd332/100021/modify?pk=100000</t>
    <phoneticPr fontId="11" type="noConversion"/>
  </si>
  <si>
    <t>https://pioneerkids.us/admin/classReview/mcd341/list</t>
    <phoneticPr fontId="11" type="noConversion"/>
  </si>
  <si>
    <t>https://pioneerkids.us/admin/classInqry/mcd351/list</t>
    <phoneticPr fontId="11" type="noConversion"/>
  </si>
  <si>
    <t>https://pioneerkids.us/admin/bbs/mcd41/regist</t>
    <phoneticPr fontId="11" type="noConversion"/>
  </si>
  <si>
    <t>https://pioneerkids.us/admin/bbs/mcd42/modify?bbsSn=101</t>
    <phoneticPr fontId="11" type="noConversion"/>
  </si>
  <si>
    <t>https://pioneerkids.us/admin/ntt/mcd42/regist?bbsSn=101&amp;bbsSeCd=01</t>
    <phoneticPr fontId="11" type="noConversion"/>
  </si>
  <si>
    <t>https://pioneerkids.us/admin/ntt/mcd42/modify?nttSn=100011&amp;bbsSeCd=02</t>
    <phoneticPr fontId="11" type="noConversion"/>
  </si>
  <si>
    <t>https://pioneerkids.us/admin/popup/mcd61/regist</t>
    <phoneticPr fontId="11" type="noConversion"/>
  </si>
  <si>
    <t>팝업 조회</t>
    <phoneticPr fontId="11" type="noConversion"/>
  </si>
  <si>
    <t>팝업 선택</t>
    <phoneticPr fontId="11" type="noConversion"/>
  </si>
  <si>
    <t>시스템 관리</t>
    <phoneticPr fontId="11" type="noConversion"/>
  </si>
  <si>
    <t>https://pioneerkids.us/admin/menu/mcd71/adm/list</t>
    <phoneticPr fontId="11" type="noConversion"/>
  </si>
  <si>
    <t>권한을 선택해 주세요.</t>
    <phoneticPr fontId="11" type="noConversion"/>
  </si>
  <si>
    <t>관리자 메뉴 관리</t>
    <phoneticPr fontId="11" type="noConversion"/>
  </si>
  <si>
    <t>부모메뉴 설정되어 있는 메뉴 삭제 시도</t>
    <phoneticPr fontId="11" type="noConversion"/>
  </si>
  <si>
    <t>부모메뉴로 설정되어있는 메뉴는 삭제가 불가능합니다. 하위 메뉴 부터 삭제해주세요.
하위메뉴가 없다면, 부모메뉴 설정을 N으로 수정한 후 삭제해주세요.</t>
    <phoneticPr fontId="11" type="noConversion"/>
  </si>
  <si>
    <t>등록할 메뉴의 상위메뉴를 선택해주세요.</t>
    <phoneticPr fontId="11" type="noConversion"/>
  </si>
  <si>
    <t>부모메뉴로 설정되어있지 않는 메뉴 하위에는 메뉴를 등록할 수 없습니다.</t>
    <phoneticPr fontId="11" type="noConversion"/>
  </si>
  <si>
    <t>3레벨 이상의 경로에 메뉴 등록 시도</t>
    <phoneticPr fontId="11" type="noConversion"/>
  </si>
  <si>
    <t>메뉴 선택을 하지 않고 메뉴 등록 시도</t>
    <phoneticPr fontId="11" type="noConversion"/>
  </si>
  <si>
    <t>부모메뉴로 설정되어 있지 않은 메뉴에 메뉴 등록 시도</t>
    <phoneticPr fontId="11" type="noConversion"/>
  </si>
  <si>
    <t>3레벨 이상의 경로에는 메뉴를 등록할 수 없습니다.</t>
    <phoneticPr fontId="11" type="noConversion"/>
  </si>
  <si>
    <t>기존 등록중인 메뉴가 있을 때 메뉴 등록 시도</t>
    <phoneticPr fontId="11" type="noConversion"/>
  </si>
  <si>
    <t>기존 작성중인 메뉴등록 양식이 있습니다. 이어서 작성하시겠습니까?
(취소시 새 메뉴 등록)</t>
    <phoneticPr fontId="11" type="noConversion"/>
  </si>
  <si>
    <t>부모메뉴로 설정되어 있는 메뉴에 메뉴 삭제 시도</t>
    <phoneticPr fontId="11" type="noConversion"/>
  </si>
  <si>
    <t>https://pioneerkids.us/admin/menu/mcd72/pon/list</t>
    <phoneticPr fontId="11" type="noConversion"/>
  </si>
  <si>
    <t>사용자 메뉴 관리</t>
    <phoneticPr fontId="11" type="noConversion"/>
  </si>
  <si>
    <t>클래스 카테고리 관리</t>
    <phoneticPr fontId="11" type="noConversion"/>
  </si>
  <si>
    <t>https://pioneerkids.us/admin/classCategoryCl01/mcd73/regist</t>
    <phoneticPr fontId="11" type="noConversion"/>
  </si>
  <si>
    <t>삭제 성공</t>
    <phoneticPr fontId="11" type="noConversion"/>
  </si>
  <si>
    <t>정상적으로 삭제되었습니다.</t>
    <phoneticPr fontId="11" type="noConversion"/>
  </si>
  <si>
    <t>권한 선택 하지 않고 메뉴 등록 시도</t>
    <phoneticPr fontId="11" type="noConversion"/>
  </si>
  <si>
    <t>로그인 계정이 접근 권한 없을 경우</t>
    <phoneticPr fontId="11" type="noConversion"/>
  </si>
  <si>
    <t>https://pioneerkids.us/admin/classCategoryCl01/mcd73/list</t>
    <phoneticPr fontId="11" type="noConversion"/>
  </si>
  <si>
    <t>항목 관리</t>
    <phoneticPr fontId="11" type="noConversion"/>
  </si>
  <si>
    <t>https://pioneerkids.us/admin/classCategoryCl02/mcd73/100001/list</t>
    <phoneticPr fontId="11" type="noConversion"/>
  </si>
  <si>
    <t>https://pioneerkids.us/admin/classCategoryCl02/mcd73/100001/regist</t>
    <phoneticPr fontId="11" type="noConversion"/>
  </si>
  <si>
    <t>https://pioneerkids.us/admin/cmmnCd/mcd74/regist</t>
    <phoneticPr fontId="11" type="noConversion"/>
  </si>
  <si>
    <t>https://pioneerkids.us/admin/cmmnCd/mcd74/list</t>
    <phoneticPr fontId="11" type="noConversion"/>
  </si>
  <si>
    <t>공통코드 관리</t>
    <phoneticPr fontId="11" type="noConversion"/>
  </si>
  <si>
    <t>https://pioneerkids.us/admin/cmmnCdDetail/mcd74/100033/regist</t>
    <phoneticPr fontId="11" type="noConversion"/>
  </si>
  <si>
    <t>https://pioneerkids.us/admin/cmmnCdDetail/mcd74/100033/list</t>
    <phoneticPr fontId="11" type="noConversion"/>
  </si>
  <si>
    <t>삭제 성공</t>
    <phoneticPr fontId="11" type="noConversion"/>
  </si>
  <si>
    <t>정상적으로 삭제되었습니다.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</si>
</sst>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Over/Under flag&quot;;&quot;&quot;;&quot;&quot;"/>
  </numFmts>
  <fonts count="19" x14ac:knownFonts="1">
    <font>
      <sz val="11"/>
      <color theme="3" tint="-0.499984740745262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8"/>
      <color theme="3"/>
      <name val="Century Gothic"/>
      <family val="2"/>
      <scheme val="minor"/>
    </font>
    <font>
      <sz val="24"/>
      <color theme="3"/>
      <name val="Century Gothic"/>
      <family val="2"/>
      <scheme val="minor"/>
    </font>
    <font>
      <sz val="24"/>
      <color theme="3"/>
      <name val="Century Gothic"/>
      <family val="2"/>
      <scheme val="major"/>
    </font>
    <font>
      <b/>
      <sz val="12"/>
      <color theme="9" tint="-0.499984740745262"/>
      <name val="Century Gothic"/>
      <family val="2"/>
      <scheme val="minor"/>
    </font>
    <font>
      <b/>
      <sz val="11"/>
      <color theme="2" tint="-0.89996032593768116"/>
      <name val="Century Gothic"/>
      <family val="2"/>
      <scheme val="minor"/>
    </font>
    <font>
      <sz val="11"/>
      <color theme="2" tint="-0.89992980742820516"/>
      <name val="Century Gothic"/>
      <family val="2"/>
      <scheme val="minor"/>
    </font>
    <font>
      <sz val="11"/>
      <color theme="2" tint="-0.89989928891872917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8"/>
      <name val="돋움"/>
      <family val="3"/>
      <charset val="129"/>
      <scheme val="minor"/>
    </font>
    <font>
      <sz val="11"/>
      <color theme="3" tint="-0.499984740745262"/>
      <name val="맑은 고딕"/>
      <family val="3"/>
      <charset val="129"/>
    </font>
    <font>
      <sz val="24"/>
      <color theme="3"/>
      <name val="맑은 고딕"/>
      <family val="3"/>
      <charset val="129"/>
    </font>
    <font>
      <b/>
      <sz val="11"/>
      <color theme="2" tint="-0.89996032593768116"/>
      <name val="맑은 고딕"/>
      <family val="3"/>
      <charset val="129"/>
    </font>
    <font>
      <sz val="11"/>
      <color theme="2" tint="-0.89989928891872917"/>
      <name val="맑은 고딕"/>
      <family val="3"/>
      <charset val="129"/>
    </font>
    <font>
      <sz val="11"/>
      <color theme="2" tint="-0.89992980742820516"/>
      <name val="맑은 고딕"/>
      <family val="3"/>
      <charset val="129"/>
    </font>
    <font>
      <u/>
      <sz val="11"/>
      <color theme="10"/>
      <name val="Century Gothic"/>
      <family val="2"/>
      <scheme val="minor"/>
    </font>
    <font>
      <b/>
      <sz val="12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3" fillId="0" borderId="0" applyNumberFormat="0" applyFill="0" applyBorder="0" applyProtection="0">
      <alignment horizontal="left" vertical="center" indent="1"/>
    </xf>
    <xf numFmtId="9" fontId="5" fillId="0" borderId="3" applyProtection="0">
      <alignment horizontal="center" vertical="center"/>
    </xf>
    <xf numFmtId="0" fontId="1" fillId="2" borderId="1" applyNumberFormat="0" applyFont="0" applyBorder="0" applyProtection="0">
      <alignment horizontal="right" vertical="center" indent="2"/>
    </xf>
    <xf numFmtId="3" fontId="8" fillId="0" borderId="0" applyFill="0" applyBorder="0" applyProtection="0">
      <alignment horizontal="left" vertical="center" indent="1"/>
    </xf>
    <xf numFmtId="0" fontId="8" fillId="0" borderId="0" applyFill="0" applyBorder="0" applyProtection="0">
      <alignment horizontal="left" vertical="center" wrapText="1" indent="1"/>
    </xf>
    <xf numFmtId="0" fontId="6" fillId="0" borderId="0" applyNumberFormat="0" applyBorder="0" applyProtection="0">
      <alignment horizontal="left" vertical="center" wrapText="1" indent="1"/>
    </xf>
    <xf numFmtId="0" fontId="2" fillId="3" borderId="2" applyNumberFormat="0" applyFont="0" applyAlignment="0" applyProtection="0"/>
    <xf numFmtId="14" fontId="7" fillId="0" borderId="0" applyFill="0" applyBorder="0" applyProtection="0">
      <alignment horizontal="right" vertical="center" indent="2"/>
    </xf>
    <xf numFmtId="0" fontId="4" fillId="0" borderId="0" applyNumberFormat="0" applyFill="0" applyBorder="0" applyAlignment="0" applyProtection="0"/>
    <xf numFmtId="176" fontId="10" fillId="0" borderId="0" applyFill="0" applyProtection="0">
      <alignment horizontal="left" vertical="center" indent="1"/>
    </xf>
    <xf numFmtId="0" fontId="6" fillId="0" borderId="5" applyNumberFormat="0" applyFill="0" applyProtection="0">
      <alignment horizontal="left" vertical="center" wrapText="1" indent="2"/>
    </xf>
    <xf numFmtId="176" fontId="9" fillId="0" borderId="4">
      <alignment horizontal="right" vertical="center"/>
    </xf>
    <xf numFmtId="14" fontId="7" fillId="0" borderId="5">
      <alignment horizontal="left" vertical="center" indent="2"/>
    </xf>
    <xf numFmtId="3" fontId="8" fillId="2" borderId="0" applyBorder="0">
      <alignment horizontal="left" vertical="center" indent="1"/>
    </xf>
    <xf numFmtId="3" fontId="8" fillId="2" borderId="6">
      <alignment horizontal="left" vertical="center" indent="1"/>
    </xf>
    <xf numFmtId="0" fontId="17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2" fillId="0" borderId="0" xfId="0" applyFont="1">
      <alignment vertical="center"/>
    </xf>
    <xf numFmtId="14" fontId="12" fillId="0" borderId="0" xfId="8" applyFont="1" applyAlignment="1" applyProtection="1">
      <alignment vertical="center"/>
    </xf>
    <xf numFmtId="3" fontId="15" fillId="0" borderId="7" xfId="4" applyFont="1" applyBorder="1">
      <alignment horizontal="left" vertical="center" indent="1"/>
    </xf>
    <xf numFmtId="14" fontId="16" fillId="0" borderId="7" xfId="13" applyFont="1" applyBorder="1">
      <alignment horizontal="left" vertical="center" indent="2"/>
    </xf>
    <xf numFmtId="0" fontId="13" fillId="0" borderId="0" xfId="9" applyFont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8" applyFont="1" applyAlignment="1" applyProtection="1">
      <alignment horizontal="center" vertical="center"/>
    </xf>
    <xf numFmtId="0" fontId="13" fillId="0" borderId="0" xfId="9" applyFont="1" applyAlignment="1" applyProtection="1">
      <alignment horizontal="left" vertical="center"/>
    </xf>
    <xf numFmtId="0" fontId="15" fillId="0" borderId="7" xfId="5" applyFont="1" applyBorder="1" applyAlignment="1">
      <alignment horizontal="center" vertical="center" wrapText="1"/>
    </xf>
    <xf numFmtId="14" fontId="16" fillId="0" borderId="7" xfId="8" applyFont="1" applyBorder="1" applyAlignment="1">
      <alignment horizontal="center" vertical="center"/>
    </xf>
    <xf numFmtId="3" fontId="17" fillId="0" borderId="7" xfId="16" applyNumberFormat="1" applyBorder="1" applyAlignment="1">
      <alignment horizontal="left" vertical="center" indent="1"/>
    </xf>
    <xf numFmtId="3" fontId="15" fillId="4" borderId="7" xfId="15" applyFont="1" applyFill="1" applyBorder="1">
      <alignment horizontal="left" vertical="center" indent="1"/>
    </xf>
    <xf numFmtId="0" fontId="12" fillId="0" borderId="0" xfId="0" applyFont="1" applyAlignment="1">
      <alignment horizontal="left" vertical="center"/>
    </xf>
    <xf numFmtId="0" fontId="14" fillId="5" borderId="7" xfId="6" applyFont="1" applyFill="1" applyBorder="1" applyAlignment="1">
      <alignment horizontal="center" vertical="center" wrapText="1"/>
    </xf>
    <xf numFmtId="14" fontId="14" fillId="5" borderId="7" xfId="6" applyNumberFormat="1" applyFont="1" applyFill="1" applyBorder="1" applyAlignment="1">
      <alignment horizontal="center" vertical="center" wrapText="1"/>
    </xf>
    <xf numFmtId="3" fontId="14" fillId="5" borderId="7" xfId="6" applyNumberFormat="1" applyFont="1" applyFill="1" applyBorder="1" applyAlignment="1">
      <alignment horizontal="center" vertical="center" wrapText="1"/>
    </xf>
    <xf numFmtId="0" fontId="14" fillId="5" borderId="7" xfId="6" applyNumberFormat="1" applyFont="1" applyFill="1" applyBorder="1" applyAlignment="1">
      <alignment horizontal="center" vertical="center" wrapText="1"/>
    </xf>
    <xf numFmtId="14" fontId="14" fillId="5" borderId="7" xfId="11" applyNumberFormat="1" applyFont="1" applyFill="1" applyBorder="1" applyAlignment="1">
      <alignment horizontal="center" vertical="center" wrapText="1"/>
    </xf>
    <xf numFmtId="14" fontId="14" fillId="6" borderId="7" xfId="6" applyNumberFormat="1" applyFont="1" applyFill="1" applyBorder="1" applyAlignment="1">
      <alignment horizontal="center" vertical="center" wrapText="1"/>
    </xf>
    <xf numFmtId="3" fontId="14" fillId="6" borderId="7" xfId="6" applyNumberFormat="1" applyFont="1" applyFill="1" applyBorder="1" applyAlignment="1">
      <alignment horizontal="center" vertical="center" wrapText="1"/>
    </xf>
    <xf numFmtId="14" fontId="16" fillId="0" borderId="7" xfId="8" applyFont="1" applyBorder="1" applyAlignment="1">
      <alignment horizontal="left" vertical="center"/>
    </xf>
    <xf numFmtId="14" fontId="12" fillId="0" borderId="0" xfId="8" applyFont="1" applyAlignment="1" applyProtection="1">
      <alignment horizontal="left" vertical="center"/>
    </xf>
    <xf numFmtId="14" fontId="16" fillId="0" borderId="7" xfId="8" applyFont="1" applyBorder="1" applyAlignment="1">
      <alignment vertical="center"/>
    </xf>
    <xf numFmtId="14" fontId="18" fillId="0" borderId="0" xfId="8" applyFont="1" applyAlignment="1" applyProtection="1">
      <alignment vertical="center"/>
    </xf>
    <xf numFmtId="0" fontId="15" fillId="0" borderId="7" xfId="5" applyNumberFormat="1" applyFont="1" applyBorder="1" applyAlignment="1">
      <alignment horizontal="center" vertical="center" wrapText="1"/>
    </xf>
    <xf numFmtId="14" fontId="16" fillId="0" borderId="7" xfId="8" applyNumberFormat="1" applyFont="1" applyBorder="1" applyAlignment="1">
      <alignment horizontal="center" vertical="center"/>
    </xf>
    <xf numFmtId="14" fontId="16" fillId="0" borderId="7" xfId="8" applyNumberFormat="1" applyFont="1" applyBorder="1" applyAlignment="1">
      <alignment vertical="center"/>
    </xf>
    <xf numFmtId="14" fontId="16" fillId="0" borderId="7" xfId="8" applyNumberFormat="1" applyFont="1" applyBorder="1" applyAlignment="1">
      <alignment horizontal="left" vertical="center"/>
    </xf>
    <xf numFmtId="3" fontId="15" fillId="0" borderId="7" xfId="4" applyNumberFormat="1" applyFont="1" applyBorder="1" applyAlignment="1">
      <alignment horizontal="left" vertical="center" indent="1"/>
    </xf>
    <xf numFmtId="3" fontId="15" fillId="4" borderId="7" xfId="15" applyNumberFormat="1" applyFont="1" applyFill="1" applyBorder="1" applyAlignment="1">
      <alignment horizontal="left" vertical="center" indent="1"/>
    </xf>
    <xf numFmtId="14" fontId="16" fillId="0" borderId="7" xfId="13" applyNumberFormat="1" applyFont="1" applyFill="1" applyBorder="1" applyAlignment="1">
      <alignment horizontal="left" vertical="center" indent="2"/>
    </xf>
    <xf numFmtId="3" fontId="15" fillId="4" borderId="7" xfId="15" applyFont="1" applyFill="1" applyBorder="1" applyAlignment="1">
      <alignment horizontal="left" vertical="center" wrapText="1" indent="1"/>
    </xf>
    <xf numFmtId="3" fontId="15" fillId="4" borderId="7" xfId="15" applyNumberFormat="1" applyFont="1" applyFill="1" applyBorder="1" applyAlignment="1">
      <alignment horizontal="left" vertical="center" wrapText="1" indent="1"/>
    </xf>
  </cellXfs>
  <cellStyles count="17">
    <cellStyle name="날짜" xfId="8" xr:uid="{00000000-0005-0000-0000-000000000000}"/>
    <cellStyle name="메모" xfId="7" builtinId="10" customBuiltin="1"/>
    <cellStyle name="숫자" xfId="4" xr:uid="{00000000-0005-0000-0000-000002000000}"/>
    <cellStyle name="실제 시작" xfId="13" xr:uid="{00000000-0005-0000-0000-000003000000}"/>
    <cellStyle name="예상 기간" xfId="15" xr:uid="{00000000-0005-0000-0000-000004000000}"/>
    <cellStyle name="입력" xfId="2" builtinId="20" customBuiltin="1"/>
    <cellStyle name="제목" xfId="9" builtinId="15" customBuiltin="1"/>
    <cellStyle name="제목 1" xfId="1" builtinId="16" customBuiltin="1"/>
    <cellStyle name="제목 2" xfId="6" builtinId="17" customBuiltin="1"/>
    <cellStyle name="제목 3" xfId="10" builtinId="18" customBuiltin="1"/>
    <cellStyle name="제목 4" xfId="11" builtinId="19" customBuiltin="1"/>
    <cellStyle name="출력" xfId="3" builtinId="21" customBuiltin="1"/>
    <cellStyle name="텍스트" xfId="5" xr:uid="{00000000-0005-0000-0000-00000C000000}"/>
    <cellStyle name="표준" xfId="0" builtinId="0" customBuiltin="1"/>
    <cellStyle name="플래그" xfId="12" xr:uid="{00000000-0005-0000-0000-00000E000000}"/>
    <cellStyle name="하이퍼링크" xfId="16" builtinId="8"/>
    <cellStyle name="회색 열" xfId="14" xr:uid="{00000000-0005-0000-0000-00000F000000}"/>
  </cellStyles>
  <dxfs count="29"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 style="thin">
          <color theme="9"/>
        </bottom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1" defaultTableStyle="TableStyleMedium2" defaultPivotStyle="PivotStyleMedium2">
    <tableStyle name="사용자 지정 표 스타일" pivot="0" count="2" xr9:uid="{00000000-0011-0000-FFFF-FFFF00000000}">
      <tableStyleElement type="wholeTable" dxfId="28"/>
      <tableStyleElement type="headerRow" dxfId="27"/>
    </tableStyle>
  </tableStyles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트래커" displayName="프로젝트트래커" ref="B2:M75" totalsRowShown="0" headerRowDxfId="26" headerRowBorderDxfId="25" tableBorderDxfId="24">
  <autoFilter ref="B2:M75" xr:uid="{00000000-0009-0000-0100-000001000000}"/>
  <tableColumns count="12">
    <tableColumn id="1" xr3:uid="{00000000-0010-0000-0000-000001000000}" name="구분" dataDxfId="23" dataCellStyle="텍스트"/>
    <tableColumn id="10" xr3:uid="{C170C63E-8AD0-45A7-B67E-1629E2F5D7ED}" name="경로1" dataDxfId="22" dataCellStyle="텍스트"/>
    <tableColumn id="2" xr3:uid="{00000000-0010-0000-0000-000002000000}" name="경로2" dataDxfId="21" dataCellStyle="텍스트"/>
    <tableColumn id="3" xr3:uid="{00000000-0010-0000-0000-000003000000}" name="경로3" dataDxfId="20" dataCellStyle="텍스트"/>
    <tableColumn id="4" xr3:uid="{00000000-0010-0000-0000-000004000000}" name="경로4" dataDxfId="19" dataCellStyle="날짜"/>
    <tableColumn id="12" xr3:uid="{A61D3BE9-8F6D-42A7-B0A1-88B3AB64B929}" name="상황" dataDxfId="18" dataCellStyle="날짜"/>
    <tableColumn id="5" xr3:uid="{00000000-0010-0000-0000-000005000000}" name="전체경로 및 안내창 출력상황" dataDxfId="17" dataCellStyle="날짜">
      <calculatedColumnFormula>_xlfn.TEXTJOIN( " : ",TRUE, _xlfn.TEXTJOIN(" &gt; ", TRUE, C3, D3, E3, F3), G3 )</calculatedColumnFormula>
    </tableColumn>
    <tableColumn id="6" xr3:uid="{00000000-0010-0000-0000-000006000000}" name="url" dataDxfId="16" dataCellStyle="숫자"/>
    <tableColumn id="7" xr3:uid="{00000000-0010-0000-0000-000007000000}" name="안내문구" dataDxfId="15" dataCellStyle="예상 기간"/>
    <tableColumn id="8" xr3:uid="{00000000-0010-0000-0000-000008000000}" name="비고" dataDxfId="14" dataCellStyle="실제 시작"/>
    <tableColumn id="9" xr3:uid="{00000000-0010-0000-0000-000009000000}" name="내용검토_x000a_(수용 or 변경요청)" dataDxfId="13" dataCellStyle="날짜"/>
    <tableColumn id="11" xr3:uid="{00000000-0010-0000-0000-00000B000000}" name="변경문구 ( 변경요청할 시에만 입력 )" dataDxfId="12" dataCellStyle="숫자"/>
  </tableColumns>
  <tableStyleInfo name="사용자 지정 표 스타일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72_Project_Tracker">
      <a:dk1>
        <a:sysClr val="windowText" lastClr="000000"/>
      </a:dk1>
      <a:lt1>
        <a:sysClr val="window" lastClr="FFFFFF"/>
      </a:lt1>
      <a:dk2>
        <a:srgbClr val="4C483D"/>
      </a:dk2>
      <a:lt2>
        <a:srgbClr val="E4E3E2"/>
      </a:lt2>
      <a:accent1>
        <a:srgbClr val="FF5959"/>
      </a:accent1>
      <a:accent2>
        <a:srgbClr val="8DBB70"/>
      </a:accent2>
      <a:accent3>
        <a:srgbClr val="F0BB44"/>
      </a:accent3>
      <a:accent4>
        <a:srgbClr val="61ADBF"/>
      </a:accent4>
      <a:accent5>
        <a:srgbClr val="A3648B"/>
      </a:accent5>
      <a:accent6>
        <a:srgbClr val="F8943F"/>
      </a:accent6>
      <a:hlink>
        <a:srgbClr val="61ADBF"/>
      </a:hlink>
      <a:folHlink>
        <a:srgbClr val="A3648B"/>
      </a:folHlink>
    </a:clrScheme>
    <a:fontScheme name="085_Weekly_Time_Plann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oneerkids.us/admin/bbs/mcd42/modify?bbsSn=101" TargetMode="External"/><Relationship Id="rId18" Type="http://schemas.openxmlformats.org/officeDocument/2006/relationships/hyperlink" Target="https://pioneerkids.us/admin/menu/mcd71/adm/list" TargetMode="External"/><Relationship Id="rId26" Type="http://schemas.openxmlformats.org/officeDocument/2006/relationships/hyperlink" Target="https://pioneerkids.us/admin/menu/mcd71/adm/list" TargetMode="External"/><Relationship Id="rId39" Type="http://schemas.openxmlformats.org/officeDocument/2006/relationships/hyperlink" Target="https://pioneerkids.us/admin/cmmnCdDetail/mcd74/100033/list" TargetMode="External"/><Relationship Id="rId21" Type="http://schemas.openxmlformats.org/officeDocument/2006/relationships/hyperlink" Target="https://pioneerkids.us/admin/menu/mcd71/adm/list" TargetMode="External"/><Relationship Id="rId34" Type="http://schemas.openxmlformats.org/officeDocument/2006/relationships/hyperlink" Target="https://pioneerkids.us/admin/cmmnCd/mcd74/regist" TargetMode="External"/><Relationship Id="rId42" Type="http://schemas.openxmlformats.org/officeDocument/2006/relationships/hyperlink" Target="https://pioneerkids.us/admin/class/mcd32/modify?pk=100021" TargetMode="External"/><Relationship Id="rId47" Type="http://schemas.openxmlformats.org/officeDocument/2006/relationships/table" Target="../tables/table1.xml"/><Relationship Id="rId7" Type="http://schemas.openxmlformats.org/officeDocument/2006/relationships/hyperlink" Target="https://pioneerkids.us/admin/class/mcd32/modify?pk=100021" TargetMode="External"/><Relationship Id="rId2" Type="http://schemas.openxmlformats.org/officeDocument/2006/relationships/hyperlink" Target="https://pioneerkids.us/admLogin?auth=pon" TargetMode="External"/><Relationship Id="rId16" Type="http://schemas.openxmlformats.org/officeDocument/2006/relationships/hyperlink" Target="https://pioneerkids.us/admin/popup/mcd61/regist" TargetMode="External"/><Relationship Id="rId29" Type="http://schemas.openxmlformats.org/officeDocument/2006/relationships/hyperlink" Target="https://pioneerkids.us/admin/classCategoryCl01/mcd73/list" TargetMode="External"/><Relationship Id="rId1" Type="http://schemas.openxmlformats.org/officeDocument/2006/relationships/hyperlink" Target="https://pioneerkids.us/admLogin?auth=pon" TargetMode="External"/><Relationship Id="rId6" Type="http://schemas.openxmlformats.org/officeDocument/2006/relationships/hyperlink" Target="https://pioneerkids.us/admin/class/mcd31/regist" TargetMode="External"/><Relationship Id="rId11" Type="http://schemas.openxmlformats.org/officeDocument/2006/relationships/hyperlink" Target="https://pioneerkids.us/admin/classInqry/mcd351/list" TargetMode="External"/><Relationship Id="rId24" Type="http://schemas.openxmlformats.org/officeDocument/2006/relationships/hyperlink" Target="https://pioneerkids.us/admin/menu/mcd71/adm/list" TargetMode="External"/><Relationship Id="rId32" Type="http://schemas.openxmlformats.org/officeDocument/2006/relationships/hyperlink" Target="https://pioneerkids.us/admin/classCategoryCl02/mcd73/100001/list" TargetMode="External"/><Relationship Id="rId37" Type="http://schemas.openxmlformats.org/officeDocument/2006/relationships/hyperlink" Target="https://pioneerkids.us/admin/cmmnCdDetail/mcd74/100033/regist" TargetMode="External"/><Relationship Id="rId40" Type="http://schemas.openxmlformats.org/officeDocument/2006/relationships/hyperlink" Target="https://pioneerkids.us/admin/banner/mcd112/modify?pk=100012" TargetMode="External"/><Relationship Id="rId45" Type="http://schemas.openxmlformats.org/officeDocument/2006/relationships/hyperlink" Target="https://pioneerkids.us/admin/ntt/mcd42/modify?nttSn=100011&amp;bbsSeCd=02" TargetMode="External"/><Relationship Id="rId5" Type="http://schemas.openxmlformats.org/officeDocument/2006/relationships/hyperlink" Target="https://pioneerkids.us/admin/user/mcd22/modify?userSn=100044" TargetMode="External"/><Relationship Id="rId15" Type="http://schemas.openxmlformats.org/officeDocument/2006/relationships/hyperlink" Target="https://pioneerkids.us/admin/ntt/mcd42/modify?nttSn=100011&amp;bbsSeCd=02" TargetMode="External"/><Relationship Id="rId23" Type="http://schemas.openxmlformats.org/officeDocument/2006/relationships/hyperlink" Target="https://pioneerkids.us/admin/menu/mcd71/adm/list" TargetMode="External"/><Relationship Id="rId28" Type="http://schemas.openxmlformats.org/officeDocument/2006/relationships/hyperlink" Target="https://pioneerkids.us/admin/menu/mcd71/adm/list" TargetMode="External"/><Relationship Id="rId36" Type="http://schemas.openxmlformats.org/officeDocument/2006/relationships/hyperlink" Target="https://pioneerkids.us/admin/cmmnCd/mcd74/list" TargetMode="External"/><Relationship Id="rId10" Type="http://schemas.openxmlformats.org/officeDocument/2006/relationships/hyperlink" Target="https://pioneerkids.us/admin/classReview/mcd341/list" TargetMode="External"/><Relationship Id="rId19" Type="http://schemas.openxmlformats.org/officeDocument/2006/relationships/hyperlink" Target="https://pioneerkids.us/admin/menu/mcd71/adm/list" TargetMode="External"/><Relationship Id="rId31" Type="http://schemas.openxmlformats.org/officeDocument/2006/relationships/hyperlink" Target="https://pioneerkids.us/admin/classCategoryCl02/mcd73/100001/list" TargetMode="External"/><Relationship Id="rId44" Type="http://schemas.openxmlformats.org/officeDocument/2006/relationships/hyperlink" Target="https://pioneerkids.us/admin/bbs/mcd42/modify?bbsSn=101" TargetMode="External"/><Relationship Id="rId4" Type="http://schemas.openxmlformats.org/officeDocument/2006/relationships/hyperlink" Target="https://pioneerkids.us/admin/user/mcd21/regist" TargetMode="External"/><Relationship Id="rId9" Type="http://schemas.openxmlformats.org/officeDocument/2006/relationships/hyperlink" Target="https://pioneerkids.us/admin/lctre/mcd332/100021/modify?pk=100000" TargetMode="External"/><Relationship Id="rId14" Type="http://schemas.openxmlformats.org/officeDocument/2006/relationships/hyperlink" Target="https://pioneerkids.us/admin/ntt/mcd42/regist?bbsSn=101&amp;bbsSeCd=01" TargetMode="External"/><Relationship Id="rId22" Type="http://schemas.openxmlformats.org/officeDocument/2006/relationships/hyperlink" Target="https://pioneerkids.us/admin/menu/mcd71/adm/list" TargetMode="External"/><Relationship Id="rId27" Type="http://schemas.openxmlformats.org/officeDocument/2006/relationships/hyperlink" Target="https://pioneerkids.us/admin/classCategoryCl01/mcd73/regist" TargetMode="External"/><Relationship Id="rId30" Type="http://schemas.openxmlformats.org/officeDocument/2006/relationships/hyperlink" Target="https://pioneerkids.us/admin/classCategoryCl01/mcd73/list" TargetMode="External"/><Relationship Id="rId35" Type="http://schemas.openxmlformats.org/officeDocument/2006/relationships/hyperlink" Target="https://pioneerkids.us/admin/cmmnCd/mcd74/list" TargetMode="External"/><Relationship Id="rId43" Type="http://schemas.openxmlformats.org/officeDocument/2006/relationships/hyperlink" Target="https://pioneerkids.us/admin/lctre/mcd332/100021/modify?pk=100000" TargetMode="External"/><Relationship Id="rId8" Type="http://schemas.openxmlformats.org/officeDocument/2006/relationships/hyperlink" Target="https://pioneerkids.us/admin/lctre/mcd332/100021/regist" TargetMode="External"/><Relationship Id="rId3" Type="http://schemas.openxmlformats.org/officeDocument/2006/relationships/hyperlink" Target="https://pioneerkids.us/admin/banner/mcd112/modify?pk=100012" TargetMode="External"/><Relationship Id="rId12" Type="http://schemas.openxmlformats.org/officeDocument/2006/relationships/hyperlink" Target="https://pioneerkids.us/admin/bbs/mcd41/regist" TargetMode="External"/><Relationship Id="rId17" Type="http://schemas.openxmlformats.org/officeDocument/2006/relationships/hyperlink" Target="https://pioneerkids.us/admin/banner/mcd111/regist" TargetMode="External"/><Relationship Id="rId25" Type="http://schemas.openxmlformats.org/officeDocument/2006/relationships/hyperlink" Target="https://pioneerkids.us/admin/menu/mcd71/adm/list" TargetMode="External"/><Relationship Id="rId33" Type="http://schemas.openxmlformats.org/officeDocument/2006/relationships/hyperlink" Target="https://pioneerkids.us/admin/classCategoryCl02/mcd73/100001/regist" TargetMode="External"/><Relationship Id="rId38" Type="http://schemas.openxmlformats.org/officeDocument/2006/relationships/hyperlink" Target="https://pioneerkids.us/admin/cmmnCdDetail/mcd74/100033/list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pioneerkids.us/admin/menu/mcd71/adm/list" TargetMode="External"/><Relationship Id="rId41" Type="http://schemas.openxmlformats.org/officeDocument/2006/relationships/hyperlink" Target="https://pioneerkids.us/admin/user/mcd22/modify?userSn=100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  <pageSetUpPr autoPageBreaks="0" fitToPage="1"/>
  </sheetPr>
  <dimension ref="B1:M75"/>
  <sheetViews>
    <sheetView showGridLines="0" tabSelected="1" zoomScale="70" zoomScaleNormal="70" workbookViewId="0">
      <pane ySplit="2" topLeftCell="A3" activePane="bottomLeft" state="frozen"/>
      <selection pane="bottomLeft" activeCell="G11" sqref="G11"/>
    </sheetView>
  </sheetViews>
  <sheetFormatPr defaultColWidth="9" defaultRowHeight="30" customHeight="1" x14ac:dyDescent="0.3"/>
  <cols>
    <col min="1" max="1" width="2.625" style="1" customWidth="1"/>
    <col min="2" max="2" width="14" style="6" customWidth="1"/>
    <col min="3" max="3" width="15.625" style="6" customWidth="1"/>
    <col min="4" max="4" width="21.625" style="6" customWidth="1"/>
    <col min="5" max="5" width="14.125" style="6" customWidth="1"/>
    <col min="6" max="6" width="13.625" style="7" customWidth="1"/>
    <col min="7" max="7" width="49.75" style="2" customWidth="1"/>
    <col min="8" max="8" width="81" style="22" customWidth="1"/>
    <col min="9" max="9" width="69.25" style="1" customWidth="1"/>
    <col min="10" max="10" width="78.25" style="13" customWidth="1"/>
    <col min="11" max="11" width="26.875" style="2" customWidth="1"/>
    <col min="12" max="12" width="21.375" style="2" customWidth="1"/>
    <col min="13" max="13" width="64.125" style="1" bestFit="1" customWidth="1"/>
    <col min="14" max="14" width="2.625" style="1" customWidth="1"/>
    <col min="15" max="16384" width="9" style="1"/>
  </cols>
  <sheetData>
    <row r="1" spans="2:13" ht="65.099999999999994" customHeight="1" x14ac:dyDescent="0.3">
      <c r="B1" s="8" t="s">
        <v>16</v>
      </c>
      <c r="C1" s="5"/>
      <c r="G1" s="24" t="s">
        <v>21</v>
      </c>
    </row>
    <row r="2" spans="2:13" ht="41.25" customHeight="1" x14ac:dyDescent="0.3">
      <c r="B2" s="14" t="s">
        <v>7</v>
      </c>
      <c r="C2" s="14" t="s">
        <v>0</v>
      </c>
      <c r="D2" s="14" t="s">
        <v>1</v>
      </c>
      <c r="E2" s="14" t="s">
        <v>2</v>
      </c>
      <c r="F2" s="15" t="s">
        <v>3</v>
      </c>
      <c r="G2" s="15" t="s">
        <v>10</v>
      </c>
      <c r="H2" s="15" t="s">
        <v>11</v>
      </c>
      <c r="I2" s="16" t="s">
        <v>4</v>
      </c>
      <c r="J2" s="17" t="s">
        <v>5</v>
      </c>
      <c r="K2" s="18" t="s">
        <v>6</v>
      </c>
      <c r="L2" s="19" t="s">
        <v>17</v>
      </c>
      <c r="M2" s="20" t="s">
        <v>14</v>
      </c>
    </row>
    <row r="3" spans="2:13" ht="30" customHeight="1" x14ac:dyDescent="0.3">
      <c r="B3" s="9" t="s">
        <v>8</v>
      </c>
      <c r="C3" s="9" t="s">
        <v>9</v>
      </c>
      <c r="D3" s="9"/>
      <c r="E3" s="9"/>
      <c r="F3" s="10"/>
      <c r="G3" s="23" t="s">
        <v>12</v>
      </c>
      <c r="H3" s="21" t="str">
        <f t="shared" ref="H3:H75" si="0">_xlfn.TEXTJOIN( " : ",TRUE, _xlfn.TEXTJOIN(" &gt; ", TRUE, C3, D3, E3, F3), G3 )</f>
        <v>로그인 : 아이디 비밀번호 맞지 않을때</v>
      </c>
      <c r="I3" s="11" t="s">
        <v>58</v>
      </c>
      <c r="J3" s="12" t="s">
        <v>13</v>
      </c>
      <c r="K3" s="4"/>
      <c r="L3" s="10"/>
      <c r="M3" s="3"/>
    </row>
    <row r="4" spans="2:13" ht="30" customHeight="1" x14ac:dyDescent="0.3">
      <c r="B4" s="9" t="s">
        <v>8</v>
      </c>
      <c r="C4" s="9" t="s">
        <v>9</v>
      </c>
      <c r="D4" s="9"/>
      <c r="E4" s="9"/>
      <c r="F4" s="10"/>
      <c r="G4" s="23" t="s">
        <v>98</v>
      </c>
      <c r="H4" s="21" t="str">
        <f t="shared" si="0"/>
        <v>로그인 : 로그인 계정이 접근 권한 없을 경우</v>
      </c>
      <c r="I4" s="11" t="s">
        <v>58</v>
      </c>
      <c r="J4" s="12" t="s">
        <v>15</v>
      </c>
      <c r="K4" s="4"/>
      <c r="L4" s="10"/>
      <c r="M4" s="3"/>
    </row>
    <row r="5" spans="2:13" ht="30" customHeight="1" x14ac:dyDescent="0.3">
      <c r="B5" s="9" t="s">
        <v>8</v>
      </c>
      <c r="C5" s="9" t="s">
        <v>22</v>
      </c>
      <c r="D5" s="9" t="s">
        <v>23</v>
      </c>
      <c r="E5" s="9" t="s">
        <v>24</v>
      </c>
      <c r="F5" s="10"/>
      <c r="G5" s="23" t="s">
        <v>26</v>
      </c>
      <c r="H5" s="21" t="str">
        <f t="shared" si="0"/>
        <v>사용자 화면 관리 &gt; 배너 관리 &gt; 배너 등록 : 등록 성공</v>
      </c>
      <c r="I5" s="11" t="s">
        <v>59</v>
      </c>
      <c r="J5" s="12" t="s">
        <v>25</v>
      </c>
      <c r="K5" s="4"/>
      <c r="L5" s="10"/>
      <c r="M5" s="3"/>
    </row>
    <row r="6" spans="2:13" ht="30" customHeight="1" x14ac:dyDescent="0.3">
      <c r="B6" s="9" t="s">
        <v>8</v>
      </c>
      <c r="C6" s="9" t="s">
        <v>22</v>
      </c>
      <c r="D6" s="9" t="s">
        <v>23</v>
      </c>
      <c r="E6" s="9" t="s">
        <v>27</v>
      </c>
      <c r="F6" s="10" t="s">
        <v>28</v>
      </c>
      <c r="G6" s="23" t="s">
        <v>29</v>
      </c>
      <c r="H6" s="21" t="str">
        <f t="shared" si="0"/>
        <v>사용자 화면 관리 &gt; 배너 관리 &gt; 배너 조회 &gt; 배너 선택 : 수정 성공</v>
      </c>
      <c r="I6" s="11" t="s">
        <v>60</v>
      </c>
      <c r="J6" s="12" t="s">
        <v>20</v>
      </c>
      <c r="K6" s="4"/>
      <c r="L6" s="10"/>
      <c r="M6" s="3"/>
    </row>
    <row r="7" spans="2:13" ht="30" customHeight="1" x14ac:dyDescent="0.3">
      <c r="B7" s="9" t="s">
        <v>8</v>
      </c>
      <c r="C7" s="9" t="s">
        <v>22</v>
      </c>
      <c r="D7" s="9" t="s">
        <v>23</v>
      </c>
      <c r="E7" s="9" t="s">
        <v>27</v>
      </c>
      <c r="F7" s="10" t="s">
        <v>28</v>
      </c>
      <c r="G7" s="23" t="s">
        <v>108</v>
      </c>
      <c r="H7" s="21" t="str">
        <f t="shared" ref="H7" si="1">_xlfn.TEXTJOIN( " : ",TRUE, _xlfn.TEXTJOIN(" &gt; ", TRUE, C7, D7, E7, F7), G7 )</f>
        <v>사용자 화면 관리 &gt; 배너 관리 &gt; 배너 조회 &gt; 배너 선택 : 삭제 성공</v>
      </c>
      <c r="I7" s="11" t="s">
        <v>60</v>
      </c>
      <c r="J7" s="12" t="s">
        <v>96</v>
      </c>
      <c r="K7" s="4"/>
      <c r="L7" s="10"/>
      <c r="M7" s="3"/>
    </row>
    <row r="8" spans="2:13" ht="30" customHeight="1" x14ac:dyDescent="0.3">
      <c r="B8" s="9" t="s">
        <v>8</v>
      </c>
      <c r="C8" s="9" t="s">
        <v>18</v>
      </c>
      <c r="D8" s="9" t="s">
        <v>30</v>
      </c>
      <c r="E8" s="9"/>
      <c r="F8" s="10"/>
      <c r="G8" s="23" t="s">
        <v>26</v>
      </c>
      <c r="H8" s="21" t="str">
        <f t="shared" si="0"/>
        <v>회원 관리 &gt; 회원 등록 : 등록 성공</v>
      </c>
      <c r="I8" s="11" t="s">
        <v>61</v>
      </c>
      <c r="J8" s="12" t="s">
        <v>25</v>
      </c>
      <c r="K8" s="4"/>
      <c r="L8" s="10"/>
      <c r="M8" s="3"/>
    </row>
    <row r="9" spans="2:13" ht="30" customHeight="1" x14ac:dyDescent="0.3">
      <c r="B9" s="9" t="s">
        <v>8</v>
      </c>
      <c r="C9" s="9" t="s">
        <v>18</v>
      </c>
      <c r="D9" s="9" t="s">
        <v>19</v>
      </c>
      <c r="E9" s="9" t="s">
        <v>31</v>
      </c>
      <c r="F9" s="10"/>
      <c r="G9" s="23" t="s">
        <v>29</v>
      </c>
      <c r="H9" s="21" t="str">
        <f t="shared" si="0"/>
        <v>회원 관리 &gt; 회원 조회 &gt; 회원 선택 : 수정 성공</v>
      </c>
      <c r="I9" s="11" t="s">
        <v>62</v>
      </c>
      <c r="J9" s="12" t="s">
        <v>20</v>
      </c>
      <c r="K9" s="4"/>
      <c r="L9" s="10"/>
      <c r="M9" s="3"/>
    </row>
    <row r="10" spans="2:13" ht="30" customHeight="1" x14ac:dyDescent="0.3">
      <c r="B10" s="9" t="s">
        <v>8</v>
      </c>
      <c r="C10" s="9" t="s">
        <v>18</v>
      </c>
      <c r="D10" s="9" t="s">
        <v>19</v>
      </c>
      <c r="E10" s="9" t="s">
        <v>31</v>
      </c>
      <c r="F10" s="10"/>
      <c r="G10" s="23" t="s">
        <v>108</v>
      </c>
      <c r="H10" s="21" t="str">
        <f t="shared" ref="H10" si="2">_xlfn.TEXTJOIN( " : ",TRUE, _xlfn.TEXTJOIN(" &gt; ", TRUE, C10, D10, E10, F10), G10 )</f>
        <v>회원 관리 &gt; 회원 조회 &gt; 회원 선택 : 삭제 성공</v>
      </c>
      <c r="I10" s="11" t="s">
        <v>62</v>
      </c>
      <c r="J10" s="12" t="s">
        <v>96</v>
      </c>
      <c r="K10" s="4"/>
      <c r="L10" s="10"/>
      <c r="M10" s="3"/>
    </row>
    <row r="11" spans="2:13" ht="30" customHeight="1" x14ac:dyDescent="0.3">
      <c r="B11" s="9" t="s">
        <v>8</v>
      </c>
      <c r="C11" s="9" t="s">
        <v>32</v>
      </c>
      <c r="D11" s="9" t="s">
        <v>33</v>
      </c>
      <c r="E11" s="9"/>
      <c r="F11" s="10"/>
      <c r="G11" s="23" t="s">
        <v>26</v>
      </c>
      <c r="H11" s="21" t="str">
        <f t="shared" si="0"/>
        <v>클래스 관리 &gt; 클래스 등록 : 등록 성공</v>
      </c>
      <c r="I11" s="11" t="s">
        <v>63</v>
      </c>
      <c r="J11" s="12" t="s">
        <v>25</v>
      </c>
      <c r="K11" s="4"/>
      <c r="L11" s="10"/>
      <c r="M11" s="3"/>
    </row>
    <row r="12" spans="2:13" ht="30" customHeight="1" x14ac:dyDescent="0.3">
      <c r="B12" s="9" t="s">
        <v>8</v>
      </c>
      <c r="C12" s="9" t="s">
        <v>32</v>
      </c>
      <c r="D12" s="9" t="s">
        <v>34</v>
      </c>
      <c r="E12" s="9" t="s">
        <v>35</v>
      </c>
      <c r="F12" s="10"/>
      <c r="G12" s="23" t="s">
        <v>29</v>
      </c>
      <c r="H12" s="21" t="str">
        <f t="shared" si="0"/>
        <v>클래스 관리 &gt; 클래스 조회 &gt; 클래스 선택 : 수정 성공</v>
      </c>
      <c r="I12" s="11" t="s">
        <v>64</v>
      </c>
      <c r="J12" s="12" t="s">
        <v>20</v>
      </c>
      <c r="K12" s="4"/>
      <c r="L12" s="10"/>
      <c r="M12" s="3"/>
    </row>
    <row r="13" spans="2:13" ht="30" customHeight="1" x14ac:dyDescent="0.3">
      <c r="B13" s="9" t="s">
        <v>8</v>
      </c>
      <c r="C13" s="9" t="s">
        <v>32</v>
      </c>
      <c r="D13" s="9" t="s">
        <v>34</v>
      </c>
      <c r="E13" s="9" t="s">
        <v>35</v>
      </c>
      <c r="F13" s="10"/>
      <c r="G13" s="23" t="s">
        <v>108</v>
      </c>
      <c r="H13" s="21" t="str">
        <f t="shared" ref="H13" si="3">_xlfn.TEXTJOIN( " : ",TRUE, _xlfn.TEXTJOIN(" &gt; ", TRUE, C13, D13, E13, F13), G13 )</f>
        <v>클래스 관리 &gt; 클래스 조회 &gt; 클래스 선택 : 삭제 성공</v>
      </c>
      <c r="I13" s="11" t="s">
        <v>64</v>
      </c>
      <c r="J13" s="12" t="s">
        <v>96</v>
      </c>
      <c r="K13" s="4"/>
      <c r="L13" s="10"/>
      <c r="M13" s="3"/>
    </row>
    <row r="14" spans="2:13" ht="30" customHeight="1" x14ac:dyDescent="0.3">
      <c r="B14" s="9" t="s">
        <v>8</v>
      </c>
      <c r="C14" s="9" t="s">
        <v>36</v>
      </c>
      <c r="D14" s="9" t="s">
        <v>37</v>
      </c>
      <c r="E14" s="9" t="s">
        <v>37</v>
      </c>
      <c r="F14" s="10"/>
      <c r="G14" s="23" t="s">
        <v>38</v>
      </c>
      <c r="H14" s="21" t="str">
        <f t="shared" si="0"/>
        <v>클래스 관리 &gt; 수업 관리 &gt; 수업 관리 : 등록 성공</v>
      </c>
      <c r="I14" s="11" t="s">
        <v>65</v>
      </c>
      <c r="J14" s="12" t="s">
        <v>25</v>
      </c>
      <c r="K14" s="4"/>
      <c r="L14" s="10"/>
      <c r="M14" s="3"/>
    </row>
    <row r="15" spans="2:13" ht="30" customHeight="1" x14ac:dyDescent="0.3">
      <c r="B15" s="9" t="s">
        <v>8</v>
      </c>
      <c r="C15" s="9" t="s">
        <v>36</v>
      </c>
      <c r="D15" s="9" t="s">
        <v>37</v>
      </c>
      <c r="E15" s="9" t="s">
        <v>37</v>
      </c>
      <c r="F15" s="10" t="s">
        <v>40</v>
      </c>
      <c r="G15" s="23" t="s">
        <v>39</v>
      </c>
      <c r="H15" s="21" t="str">
        <f t="shared" ref="H15:H22" si="4">_xlfn.TEXTJOIN( " : ",TRUE, _xlfn.TEXTJOIN(" &gt; ", TRUE, C15, D15, E15, F15), G15 )</f>
        <v>클래스 관리 &gt; 수업 관리 &gt; 수업 관리 &gt; 수업 선택 : 수정 성공</v>
      </c>
      <c r="I15" s="11" t="s">
        <v>66</v>
      </c>
      <c r="J15" s="12" t="s">
        <v>20</v>
      </c>
      <c r="K15" s="4"/>
      <c r="L15" s="10"/>
      <c r="M15" s="3"/>
    </row>
    <row r="16" spans="2:13" ht="30" customHeight="1" x14ac:dyDescent="0.3">
      <c r="B16" s="9" t="s">
        <v>8</v>
      </c>
      <c r="C16" s="9" t="s">
        <v>36</v>
      </c>
      <c r="D16" s="9" t="s">
        <v>37</v>
      </c>
      <c r="E16" s="9" t="s">
        <v>37</v>
      </c>
      <c r="F16" s="10" t="s">
        <v>40</v>
      </c>
      <c r="G16" s="23" t="s">
        <v>95</v>
      </c>
      <c r="H16" s="21" t="str">
        <f t="shared" ref="H16" si="5">_xlfn.TEXTJOIN( " : ",TRUE, _xlfn.TEXTJOIN(" &gt; ", TRUE, C16, D16, E16, F16), G16 )</f>
        <v>클래스 관리 &gt; 수업 관리 &gt; 수업 관리 &gt; 수업 선택 : 삭제 성공</v>
      </c>
      <c r="I16" s="11" t="s">
        <v>66</v>
      </c>
      <c r="J16" s="12" t="s">
        <v>109</v>
      </c>
      <c r="K16" s="4"/>
      <c r="L16" s="10"/>
      <c r="M16" s="3"/>
    </row>
    <row r="17" spans="2:13" ht="30" customHeight="1" x14ac:dyDescent="0.3">
      <c r="B17" s="9" t="s">
        <v>8</v>
      </c>
      <c r="C17" s="9" t="s">
        <v>36</v>
      </c>
      <c r="D17" s="9" t="s">
        <v>41</v>
      </c>
      <c r="E17" s="9" t="s">
        <v>42</v>
      </c>
      <c r="F17" s="10" t="s">
        <v>43</v>
      </c>
      <c r="G17" s="23" t="s">
        <v>49</v>
      </c>
      <c r="H17" s="21" t="str">
        <f t="shared" si="4"/>
        <v>클래스 관리 &gt; 후기 관리 &gt; 후기 조회 &gt; 후기 선택 : 답변 등록 성공</v>
      </c>
      <c r="I17" s="11" t="s">
        <v>67</v>
      </c>
      <c r="J17" s="12" t="s">
        <v>25</v>
      </c>
      <c r="K17" s="4"/>
      <c r="L17" s="10"/>
      <c r="M17" s="3"/>
    </row>
    <row r="18" spans="2:13" ht="30" customHeight="1" x14ac:dyDescent="0.3">
      <c r="B18" s="9" t="s">
        <v>8</v>
      </c>
      <c r="C18" s="9" t="s">
        <v>36</v>
      </c>
      <c r="D18" s="9" t="s">
        <v>44</v>
      </c>
      <c r="E18" s="9" t="s">
        <v>45</v>
      </c>
      <c r="F18" s="10" t="s">
        <v>46</v>
      </c>
      <c r="G18" s="23" t="s">
        <v>49</v>
      </c>
      <c r="H18" s="21" t="str">
        <f t="shared" si="4"/>
        <v>클래스 관리 &gt; 문의 관리 &gt; 문의 조회 &gt; 문의 선택 : 답변 등록 성공</v>
      </c>
      <c r="I18" s="11" t="s">
        <v>68</v>
      </c>
      <c r="J18" s="12" t="s">
        <v>25</v>
      </c>
      <c r="K18" s="4"/>
      <c r="L18" s="10"/>
      <c r="M18" s="3"/>
    </row>
    <row r="19" spans="2:13" ht="30" customHeight="1" x14ac:dyDescent="0.3">
      <c r="B19" s="9" t="s">
        <v>8</v>
      </c>
      <c r="C19" s="9" t="s">
        <v>47</v>
      </c>
      <c r="D19" s="9" t="s">
        <v>48</v>
      </c>
      <c r="E19" s="9"/>
      <c r="F19" s="10"/>
      <c r="G19" s="23" t="s">
        <v>38</v>
      </c>
      <c r="H19" s="21" t="str">
        <f t="shared" si="4"/>
        <v>게시판 관리 &gt; 게시판 등록 : 등록 성공</v>
      </c>
      <c r="I19" s="11" t="s">
        <v>69</v>
      </c>
      <c r="J19" s="12" t="s">
        <v>25</v>
      </c>
      <c r="K19" s="4"/>
      <c r="L19" s="10"/>
      <c r="M19" s="3"/>
    </row>
    <row r="20" spans="2:13" ht="30" customHeight="1" x14ac:dyDescent="0.3">
      <c r="B20" s="9" t="s">
        <v>8</v>
      </c>
      <c r="C20" s="9" t="s">
        <v>47</v>
      </c>
      <c r="D20" s="9" t="s">
        <v>50</v>
      </c>
      <c r="E20" s="9" t="s">
        <v>51</v>
      </c>
      <c r="F20" s="10"/>
      <c r="G20" s="23" t="s">
        <v>39</v>
      </c>
      <c r="H20" s="21" t="str">
        <f t="shared" si="4"/>
        <v>게시판 관리 &gt; 게시판 조회 &gt; 게시판 선택 : 수정 성공</v>
      </c>
      <c r="I20" s="11" t="s">
        <v>70</v>
      </c>
      <c r="J20" s="12" t="s">
        <v>52</v>
      </c>
      <c r="K20" s="4"/>
      <c r="L20" s="10"/>
      <c r="M20" s="3"/>
    </row>
    <row r="21" spans="2:13" ht="30" customHeight="1" x14ac:dyDescent="0.3">
      <c r="B21" s="9" t="s">
        <v>8</v>
      </c>
      <c r="C21" s="9" t="s">
        <v>47</v>
      </c>
      <c r="D21" s="9" t="s">
        <v>50</v>
      </c>
      <c r="E21" s="9" t="s">
        <v>51</v>
      </c>
      <c r="F21" s="10"/>
      <c r="G21" s="23" t="s">
        <v>95</v>
      </c>
      <c r="H21" s="21" t="str">
        <f t="shared" ref="H21" si="6">_xlfn.TEXTJOIN( " : ",TRUE, _xlfn.TEXTJOIN(" &gt; ", TRUE, C21, D21, E21, F21), G21 )</f>
        <v>게시판 관리 &gt; 게시판 조회 &gt; 게시판 선택 : 삭제 성공</v>
      </c>
      <c r="I21" s="11" t="s">
        <v>70</v>
      </c>
      <c r="J21" s="12" t="s">
        <v>96</v>
      </c>
      <c r="K21" s="4"/>
      <c r="L21" s="10"/>
      <c r="M21" s="3"/>
    </row>
    <row r="22" spans="2:13" ht="30" customHeight="1" x14ac:dyDescent="0.3">
      <c r="B22" s="9" t="s">
        <v>8</v>
      </c>
      <c r="C22" s="9" t="s">
        <v>53</v>
      </c>
      <c r="D22" s="9" t="s">
        <v>50</v>
      </c>
      <c r="E22" s="9" t="s">
        <v>53</v>
      </c>
      <c r="F22" s="10" t="s">
        <v>54</v>
      </c>
      <c r="G22" s="23" t="s">
        <v>38</v>
      </c>
      <c r="H22" s="21" t="str">
        <f t="shared" si="4"/>
        <v>게시물 관리 &gt; 게시판 조회 &gt; 게시물 관리 &gt; 게시물 등록 : 등록 성공</v>
      </c>
      <c r="I22" s="11" t="s">
        <v>71</v>
      </c>
      <c r="J22" s="12" t="s">
        <v>25</v>
      </c>
      <c r="K22" s="4"/>
      <c r="L22" s="10"/>
      <c r="M22" s="3"/>
    </row>
    <row r="23" spans="2:13" ht="30" customHeight="1" x14ac:dyDescent="0.3">
      <c r="B23" s="9" t="s">
        <v>8</v>
      </c>
      <c r="C23" s="9" t="s">
        <v>53</v>
      </c>
      <c r="D23" s="9" t="s">
        <v>50</v>
      </c>
      <c r="E23" s="9" t="s">
        <v>53</v>
      </c>
      <c r="F23" s="26" t="s">
        <v>55</v>
      </c>
      <c r="G23" s="27" t="s">
        <v>39</v>
      </c>
      <c r="H23" s="28" t="str">
        <f t="shared" ref="H23" si="7">_xlfn.TEXTJOIN( " : ",TRUE, _xlfn.TEXTJOIN(" &gt; ", TRUE, C23, D23, E23, F23), G23 )</f>
        <v>게시물 관리 &gt; 게시판 조회 &gt; 게시물 관리 &gt; 게시물 선택 : 수정 성공</v>
      </c>
      <c r="I23" s="11" t="s">
        <v>72</v>
      </c>
      <c r="J23" s="12" t="s">
        <v>52</v>
      </c>
      <c r="K23" s="31"/>
      <c r="L23" s="26"/>
      <c r="M23" s="29"/>
    </row>
    <row r="24" spans="2:13" ht="30" customHeight="1" x14ac:dyDescent="0.3">
      <c r="B24" s="9" t="s">
        <v>8</v>
      </c>
      <c r="C24" s="9" t="s">
        <v>53</v>
      </c>
      <c r="D24" s="9" t="s">
        <v>50</v>
      </c>
      <c r="E24" s="9" t="s">
        <v>53</v>
      </c>
      <c r="F24" s="26" t="s">
        <v>55</v>
      </c>
      <c r="G24" s="27" t="s">
        <v>95</v>
      </c>
      <c r="H24" s="28" t="str">
        <f t="shared" ref="H24" si="8">_xlfn.TEXTJOIN( " : ",TRUE, _xlfn.TEXTJOIN(" &gt; ", TRUE, C24, D24, E24, F24), G24 )</f>
        <v>게시물 관리 &gt; 게시판 조회 &gt; 게시물 관리 &gt; 게시물 선택 : 삭제 성공</v>
      </c>
      <c r="I24" s="11" t="s">
        <v>72</v>
      </c>
      <c r="J24" s="12" t="s">
        <v>96</v>
      </c>
      <c r="K24" s="31"/>
      <c r="L24" s="26"/>
      <c r="M24" s="29"/>
    </row>
    <row r="25" spans="2:13" ht="30" customHeight="1" x14ac:dyDescent="0.3">
      <c r="B25" s="9" t="s">
        <v>8</v>
      </c>
      <c r="C25" s="9" t="s">
        <v>56</v>
      </c>
      <c r="D25" s="9" t="s">
        <v>57</v>
      </c>
      <c r="E25" s="9"/>
      <c r="F25" s="10"/>
      <c r="G25" s="23" t="s">
        <v>38</v>
      </c>
      <c r="H25" s="21" t="str">
        <f t="shared" si="0"/>
        <v>팝업 관리 &gt; 팝업 등록 : 등록 성공</v>
      </c>
      <c r="I25" s="11" t="s">
        <v>73</v>
      </c>
      <c r="J25" s="12" t="s">
        <v>25</v>
      </c>
      <c r="K25" s="4"/>
      <c r="L25" s="10"/>
      <c r="M25" s="3"/>
    </row>
    <row r="26" spans="2:13" ht="30" customHeight="1" x14ac:dyDescent="0.3">
      <c r="B26" s="9" t="s">
        <v>8</v>
      </c>
      <c r="C26" s="9" t="s">
        <v>56</v>
      </c>
      <c r="D26" s="9" t="s">
        <v>74</v>
      </c>
      <c r="E26" s="9" t="s">
        <v>75</v>
      </c>
      <c r="F26" s="10"/>
      <c r="G26" s="23" t="s">
        <v>39</v>
      </c>
      <c r="H26" s="21" t="str">
        <f t="shared" si="0"/>
        <v>팝업 관리 &gt; 팝업 조회 &gt; 팝업 선택 : 수정 성공</v>
      </c>
      <c r="I26" s="11"/>
      <c r="J26" s="12" t="s">
        <v>52</v>
      </c>
      <c r="K26" s="4"/>
      <c r="L26" s="10"/>
      <c r="M26" s="3"/>
    </row>
    <row r="27" spans="2:13" ht="30" customHeight="1" x14ac:dyDescent="0.3">
      <c r="B27" s="9" t="s">
        <v>8</v>
      </c>
      <c r="C27" s="9" t="s">
        <v>56</v>
      </c>
      <c r="D27" s="9" t="s">
        <v>74</v>
      </c>
      <c r="E27" s="9" t="s">
        <v>75</v>
      </c>
      <c r="F27" s="10"/>
      <c r="G27" s="23" t="s">
        <v>95</v>
      </c>
      <c r="H27" s="21" t="str">
        <f t="shared" ref="H27" si="9">_xlfn.TEXTJOIN( " : ",TRUE, _xlfn.TEXTJOIN(" &gt; ", TRUE, C27, D27, E27, F27), G27 )</f>
        <v>팝업 관리 &gt; 팝업 조회 &gt; 팝업 선택 : 삭제 성공</v>
      </c>
      <c r="I27" s="11"/>
      <c r="J27" s="12" t="s">
        <v>96</v>
      </c>
      <c r="K27" s="4"/>
      <c r="L27" s="10"/>
      <c r="M27" s="3"/>
    </row>
    <row r="28" spans="2:13" ht="30" customHeight="1" x14ac:dyDescent="0.3">
      <c r="B28" s="9" t="s">
        <v>8</v>
      </c>
      <c r="C28" s="9" t="s">
        <v>76</v>
      </c>
      <c r="D28" s="9" t="s">
        <v>79</v>
      </c>
      <c r="E28" s="9"/>
      <c r="F28" s="10"/>
      <c r="G28" s="23" t="s">
        <v>97</v>
      </c>
      <c r="H28" s="21" t="str">
        <f t="shared" si="0"/>
        <v>시스템 관리 &gt; 관리자 메뉴 관리 : 권한 선택 하지 않고 메뉴 등록 시도</v>
      </c>
      <c r="I28" s="11" t="s">
        <v>77</v>
      </c>
      <c r="J28" s="12" t="s">
        <v>78</v>
      </c>
      <c r="K28" s="4"/>
      <c r="L28" s="10"/>
      <c r="M28" s="3"/>
    </row>
    <row r="29" spans="2:13" ht="30" customHeight="1" x14ac:dyDescent="0.3">
      <c r="B29" s="9" t="s">
        <v>8</v>
      </c>
      <c r="C29" s="9" t="s">
        <v>76</v>
      </c>
      <c r="D29" s="9" t="s">
        <v>79</v>
      </c>
      <c r="E29" s="9"/>
      <c r="F29" s="10"/>
      <c r="G29" s="23" t="s">
        <v>38</v>
      </c>
      <c r="H29" s="21" t="str">
        <f t="shared" si="0"/>
        <v>시스템 관리 &gt; 관리자 메뉴 관리 : 등록 성공</v>
      </c>
      <c r="I29" s="11" t="s">
        <v>77</v>
      </c>
      <c r="J29" s="12" t="s">
        <v>25</v>
      </c>
      <c r="K29" s="4"/>
      <c r="L29" s="10"/>
      <c r="M29" s="3"/>
    </row>
    <row r="30" spans="2:13" ht="30" customHeight="1" x14ac:dyDescent="0.3">
      <c r="B30" s="9" t="s">
        <v>8</v>
      </c>
      <c r="C30" s="9" t="s">
        <v>76</v>
      </c>
      <c r="D30" s="9" t="s">
        <v>79</v>
      </c>
      <c r="E30" s="9"/>
      <c r="F30" s="10"/>
      <c r="G30" s="23" t="s">
        <v>39</v>
      </c>
      <c r="H30" s="21" t="str">
        <f t="shared" ref="H30" si="10">_xlfn.TEXTJOIN( " : ",TRUE, _xlfn.TEXTJOIN(" &gt; ", TRUE, C30, D30, E30, F30), G30 )</f>
        <v>시스템 관리 &gt; 관리자 메뉴 관리 : 수정 성공</v>
      </c>
      <c r="I30" s="11" t="s">
        <v>77</v>
      </c>
      <c r="J30" s="12" t="s">
        <v>52</v>
      </c>
      <c r="K30" s="4"/>
      <c r="L30" s="10"/>
      <c r="M30" s="3"/>
    </row>
    <row r="31" spans="2:13" ht="30" customHeight="1" x14ac:dyDescent="0.3">
      <c r="B31" s="9" t="s">
        <v>8</v>
      </c>
      <c r="C31" s="9" t="s">
        <v>76</v>
      </c>
      <c r="D31" s="9" t="s">
        <v>79</v>
      </c>
      <c r="E31" s="9"/>
      <c r="F31" s="10"/>
      <c r="G31" s="23" t="s">
        <v>95</v>
      </c>
      <c r="H31" s="21" t="str">
        <f t="shared" ref="H31" si="11">_xlfn.TEXTJOIN( " : ",TRUE, _xlfn.TEXTJOIN(" &gt; ", TRUE, C31, D31, E31, F31), G31 )</f>
        <v>시스템 관리 &gt; 관리자 메뉴 관리 : 삭제 성공</v>
      </c>
      <c r="I31" s="11" t="s">
        <v>77</v>
      </c>
      <c r="J31" s="12" t="s">
        <v>96</v>
      </c>
      <c r="K31" s="4"/>
      <c r="L31" s="10"/>
      <c r="M31" s="3"/>
    </row>
    <row r="32" spans="2:13" ht="56.25" customHeight="1" x14ac:dyDescent="0.3">
      <c r="B32" s="9" t="s">
        <v>8</v>
      </c>
      <c r="C32" s="9" t="s">
        <v>76</v>
      </c>
      <c r="D32" s="9" t="s">
        <v>79</v>
      </c>
      <c r="E32" s="9"/>
      <c r="F32" s="10"/>
      <c r="G32" s="23" t="s">
        <v>80</v>
      </c>
      <c r="H32" s="21" t="str">
        <f t="shared" si="0"/>
        <v>시스템 관리 &gt; 관리자 메뉴 관리 : 부모메뉴 설정되어 있는 메뉴 삭제 시도</v>
      </c>
      <c r="I32" s="11" t="s">
        <v>77</v>
      </c>
      <c r="J32" s="32" t="s">
        <v>81</v>
      </c>
      <c r="K32" s="4"/>
      <c r="L32" s="10"/>
      <c r="M32" s="3"/>
    </row>
    <row r="33" spans="2:13" ht="30" customHeight="1" x14ac:dyDescent="0.3">
      <c r="B33" s="9" t="s">
        <v>8</v>
      </c>
      <c r="C33" s="9" t="s">
        <v>76</v>
      </c>
      <c r="D33" s="9" t="s">
        <v>79</v>
      </c>
      <c r="E33" s="25"/>
      <c r="F33" s="26"/>
      <c r="G33" s="27" t="s">
        <v>86</v>
      </c>
      <c r="H33" s="28" t="str">
        <f t="shared" ref="H33:H69" si="12">_xlfn.TEXTJOIN( " : ",TRUE, _xlfn.TEXTJOIN(" &gt; ", TRUE, C33, D33, E33, F33), G33 )</f>
        <v>시스템 관리 &gt; 관리자 메뉴 관리 : 부모메뉴로 설정되어 있지 않은 메뉴에 메뉴 등록 시도</v>
      </c>
      <c r="I33" s="11" t="s">
        <v>77</v>
      </c>
      <c r="J33" s="30" t="s">
        <v>83</v>
      </c>
      <c r="K33" s="31"/>
      <c r="L33" s="26"/>
      <c r="M33" s="29"/>
    </row>
    <row r="34" spans="2:13" ht="30" customHeight="1" x14ac:dyDescent="0.3">
      <c r="B34" s="9" t="s">
        <v>8</v>
      </c>
      <c r="C34" s="9" t="s">
        <v>76</v>
      </c>
      <c r="D34" s="9" t="s">
        <v>79</v>
      </c>
      <c r="E34" s="25"/>
      <c r="F34" s="26"/>
      <c r="G34" s="27" t="s">
        <v>85</v>
      </c>
      <c r="H34" s="28" t="str">
        <f t="shared" ref="H34:H54" si="13">_xlfn.TEXTJOIN( " : ",TRUE, _xlfn.TEXTJOIN(" &gt; ", TRUE, C34, D34, E34, F34), G34 )</f>
        <v>시스템 관리 &gt; 관리자 메뉴 관리 : 메뉴 선택을 하지 않고 메뉴 등록 시도</v>
      </c>
      <c r="I34" s="11" t="s">
        <v>77</v>
      </c>
      <c r="J34" s="30" t="s">
        <v>82</v>
      </c>
      <c r="K34" s="31"/>
      <c r="L34" s="26"/>
      <c r="M34" s="29"/>
    </row>
    <row r="35" spans="2:13" ht="30" customHeight="1" x14ac:dyDescent="0.3">
      <c r="B35" s="9" t="s">
        <v>8</v>
      </c>
      <c r="C35" s="9" t="s">
        <v>76</v>
      </c>
      <c r="D35" s="9" t="s">
        <v>79</v>
      </c>
      <c r="E35" s="25"/>
      <c r="F35" s="26"/>
      <c r="G35" s="27" t="s">
        <v>84</v>
      </c>
      <c r="H35" s="28" t="str">
        <f t="shared" si="13"/>
        <v>시스템 관리 &gt; 관리자 메뉴 관리 : 3레벨 이상의 경로에 메뉴 등록 시도</v>
      </c>
      <c r="I35" s="11" t="s">
        <v>77</v>
      </c>
      <c r="J35" s="30" t="s">
        <v>87</v>
      </c>
      <c r="K35" s="31"/>
      <c r="L35" s="26"/>
      <c r="M35" s="29"/>
    </row>
    <row r="36" spans="2:13" ht="57.75" customHeight="1" x14ac:dyDescent="0.3">
      <c r="B36" s="9" t="s">
        <v>8</v>
      </c>
      <c r="C36" s="9" t="s">
        <v>76</v>
      </c>
      <c r="D36" s="9" t="s">
        <v>79</v>
      </c>
      <c r="E36" s="25"/>
      <c r="F36" s="26"/>
      <c r="G36" s="27" t="s">
        <v>88</v>
      </c>
      <c r="H36" s="28" t="str">
        <f t="shared" si="13"/>
        <v>시스템 관리 &gt; 관리자 메뉴 관리 : 기존 등록중인 메뉴가 있을 때 메뉴 등록 시도</v>
      </c>
      <c r="I36" s="11" t="s">
        <v>77</v>
      </c>
      <c r="J36" s="33" t="s">
        <v>89</v>
      </c>
      <c r="K36" s="31"/>
      <c r="L36" s="26"/>
      <c r="M36" s="29"/>
    </row>
    <row r="37" spans="2:13" ht="68.25" customHeight="1" x14ac:dyDescent="0.3">
      <c r="B37" s="9" t="s">
        <v>8</v>
      </c>
      <c r="C37" s="9" t="s">
        <v>76</v>
      </c>
      <c r="D37" s="9" t="s">
        <v>79</v>
      </c>
      <c r="E37" s="25"/>
      <c r="F37" s="26"/>
      <c r="G37" s="27" t="s">
        <v>90</v>
      </c>
      <c r="H37" s="28" t="str">
        <f t="shared" si="13"/>
        <v>시스템 관리 &gt; 관리자 메뉴 관리 : 부모메뉴로 설정되어 있는 메뉴에 메뉴 삭제 시도</v>
      </c>
      <c r="I37" s="11" t="s">
        <v>77</v>
      </c>
      <c r="J37" s="33" t="s">
        <v>81</v>
      </c>
      <c r="K37" s="31"/>
      <c r="L37" s="26"/>
      <c r="M37" s="29"/>
    </row>
    <row r="38" spans="2:13" ht="30" customHeight="1" x14ac:dyDescent="0.3">
      <c r="B38" s="9" t="s">
        <v>8</v>
      </c>
      <c r="C38" s="9" t="s">
        <v>76</v>
      </c>
      <c r="D38" s="9" t="s">
        <v>92</v>
      </c>
      <c r="E38" s="25"/>
      <c r="F38" s="26"/>
      <c r="G38" s="23" t="s">
        <v>97</v>
      </c>
      <c r="H38" s="28" t="str">
        <f t="shared" si="13"/>
        <v>시스템 관리 &gt; 사용자 메뉴 관리 : 권한 선택 하지 않고 메뉴 등록 시도</v>
      </c>
      <c r="I38" s="11" t="s">
        <v>91</v>
      </c>
      <c r="J38" s="12" t="s">
        <v>78</v>
      </c>
      <c r="K38" s="31"/>
      <c r="L38" s="26"/>
      <c r="M38" s="29"/>
    </row>
    <row r="39" spans="2:13" ht="30" customHeight="1" x14ac:dyDescent="0.3">
      <c r="B39" s="9" t="s">
        <v>8</v>
      </c>
      <c r="C39" s="9" t="s">
        <v>76</v>
      </c>
      <c r="D39" s="9" t="s">
        <v>92</v>
      </c>
      <c r="E39" s="25"/>
      <c r="F39" s="26"/>
      <c r="G39" s="23" t="s">
        <v>38</v>
      </c>
      <c r="H39" s="28" t="str">
        <f t="shared" si="13"/>
        <v>시스템 관리 &gt; 사용자 메뉴 관리 : 등록 성공</v>
      </c>
      <c r="I39" s="11" t="s">
        <v>91</v>
      </c>
      <c r="J39" s="12" t="s">
        <v>25</v>
      </c>
      <c r="K39" s="31"/>
      <c r="L39" s="26"/>
      <c r="M39" s="29"/>
    </row>
    <row r="40" spans="2:13" ht="30" customHeight="1" x14ac:dyDescent="0.3">
      <c r="B40" s="9" t="s">
        <v>8</v>
      </c>
      <c r="C40" s="9" t="s">
        <v>76</v>
      </c>
      <c r="D40" s="9" t="s">
        <v>92</v>
      </c>
      <c r="E40" s="25"/>
      <c r="F40" s="26"/>
      <c r="G40" s="23" t="s">
        <v>39</v>
      </c>
      <c r="H40" s="28" t="str">
        <f t="shared" si="13"/>
        <v>시스템 관리 &gt; 사용자 메뉴 관리 : 수정 성공</v>
      </c>
      <c r="I40" s="11" t="s">
        <v>91</v>
      </c>
      <c r="J40" s="12" t="s">
        <v>52</v>
      </c>
      <c r="K40" s="31"/>
      <c r="L40" s="26"/>
      <c r="M40" s="29"/>
    </row>
    <row r="41" spans="2:13" ht="30" customHeight="1" x14ac:dyDescent="0.3">
      <c r="B41" s="9" t="s">
        <v>8</v>
      </c>
      <c r="C41" s="9" t="s">
        <v>76</v>
      </c>
      <c r="D41" s="9" t="s">
        <v>92</v>
      </c>
      <c r="E41" s="25"/>
      <c r="F41" s="26"/>
      <c r="G41" s="23" t="s">
        <v>95</v>
      </c>
      <c r="H41" s="28" t="str">
        <f t="shared" ref="H41" si="14">_xlfn.TEXTJOIN( " : ",TRUE, _xlfn.TEXTJOIN(" &gt; ", TRUE, C41, D41, E41, F41), G41 )</f>
        <v>시스템 관리 &gt; 사용자 메뉴 관리 : 삭제 성공</v>
      </c>
      <c r="I41" s="11" t="s">
        <v>91</v>
      </c>
      <c r="J41" s="12" t="s">
        <v>96</v>
      </c>
      <c r="K41" s="31"/>
      <c r="L41" s="26"/>
      <c r="M41" s="29"/>
    </row>
    <row r="42" spans="2:13" ht="51.75" customHeight="1" x14ac:dyDescent="0.3">
      <c r="B42" s="9" t="s">
        <v>8</v>
      </c>
      <c r="C42" s="9" t="s">
        <v>76</v>
      </c>
      <c r="D42" s="9" t="s">
        <v>92</v>
      </c>
      <c r="E42" s="25"/>
      <c r="F42" s="26"/>
      <c r="G42" s="23" t="s">
        <v>80</v>
      </c>
      <c r="H42" s="28" t="str">
        <f t="shared" si="13"/>
        <v>시스템 관리 &gt; 사용자 메뉴 관리 : 부모메뉴 설정되어 있는 메뉴 삭제 시도</v>
      </c>
      <c r="I42" s="11" t="s">
        <v>91</v>
      </c>
      <c r="J42" s="32" t="s">
        <v>81</v>
      </c>
      <c r="K42" s="31"/>
      <c r="L42" s="26"/>
      <c r="M42" s="29"/>
    </row>
    <row r="43" spans="2:13" ht="30" customHeight="1" x14ac:dyDescent="0.3">
      <c r="B43" s="9" t="s">
        <v>8</v>
      </c>
      <c r="C43" s="9" t="s">
        <v>76</v>
      </c>
      <c r="D43" s="9" t="s">
        <v>92</v>
      </c>
      <c r="E43" s="25"/>
      <c r="F43" s="26"/>
      <c r="G43" s="27" t="s">
        <v>86</v>
      </c>
      <c r="H43" s="28" t="str">
        <f t="shared" si="13"/>
        <v>시스템 관리 &gt; 사용자 메뉴 관리 : 부모메뉴로 설정되어 있지 않은 메뉴에 메뉴 등록 시도</v>
      </c>
      <c r="I43" s="11" t="s">
        <v>91</v>
      </c>
      <c r="J43" s="30" t="s">
        <v>83</v>
      </c>
      <c r="K43" s="31"/>
      <c r="L43" s="26"/>
      <c r="M43" s="29"/>
    </row>
    <row r="44" spans="2:13" ht="30" customHeight="1" x14ac:dyDescent="0.3">
      <c r="B44" s="9" t="s">
        <v>8</v>
      </c>
      <c r="C44" s="9" t="s">
        <v>76</v>
      </c>
      <c r="D44" s="9" t="s">
        <v>92</v>
      </c>
      <c r="E44" s="25"/>
      <c r="F44" s="26"/>
      <c r="G44" s="27" t="s">
        <v>85</v>
      </c>
      <c r="H44" s="28" t="str">
        <f t="shared" si="13"/>
        <v>시스템 관리 &gt; 사용자 메뉴 관리 : 메뉴 선택을 하지 않고 메뉴 등록 시도</v>
      </c>
      <c r="I44" s="11" t="s">
        <v>91</v>
      </c>
      <c r="J44" s="30" t="s">
        <v>82</v>
      </c>
      <c r="K44" s="31"/>
      <c r="L44" s="26"/>
      <c r="M44" s="29"/>
    </row>
    <row r="45" spans="2:13" ht="30" customHeight="1" x14ac:dyDescent="0.3">
      <c r="B45" s="9" t="s">
        <v>8</v>
      </c>
      <c r="C45" s="9" t="s">
        <v>76</v>
      </c>
      <c r="D45" s="9" t="s">
        <v>92</v>
      </c>
      <c r="E45" s="25"/>
      <c r="F45" s="26"/>
      <c r="G45" s="27" t="s">
        <v>84</v>
      </c>
      <c r="H45" s="28" t="str">
        <f t="shared" si="13"/>
        <v>시스템 관리 &gt; 사용자 메뉴 관리 : 3레벨 이상의 경로에 메뉴 등록 시도</v>
      </c>
      <c r="I45" s="11" t="s">
        <v>91</v>
      </c>
      <c r="J45" s="30" t="s">
        <v>87</v>
      </c>
      <c r="K45" s="31"/>
      <c r="L45" s="26"/>
      <c r="M45" s="29"/>
    </row>
    <row r="46" spans="2:13" ht="47.25" customHeight="1" x14ac:dyDescent="0.3">
      <c r="B46" s="9" t="s">
        <v>8</v>
      </c>
      <c r="C46" s="9" t="s">
        <v>76</v>
      </c>
      <c r="D46" s="9" t="s">
        <v>92</v>
      </c>
      <c r="E46" s="25"/>
      <c r="F46" s="26"/>
      <c r="G46" s="27" t="s">
        <v>88</v>
      </c>
      <c r="H46" s="28" t="str">
        <f t="shared" si="13"/>
        <v>시스템 관리 &gt; 사용자 메뉴 관리 : 기존 등록중인 메뉴가 있을 때 메뉴 등록 시도</v>
      </c>
      <c r="I46" s="11" t="s">
        <v>91</v>
      </c>
      <c r="J46" s="33" t="s">
        <v>89</v>
      </c>
      <c r="K46" s="31"/>
      <c r="L46" s="26"/>
      <c r="M46" s="29"/>
    </row>
    <row r="47" spans="2:13" ht="52.5" customHeight="1" x14ac:dyDescent="0.3">
      <c r="B47" s="9" t="s">
        <v>8</v>
      </c>
      <c r="C47" s="9" t="s">
        <v>76</v>
      </c>
      <c r="D47" s="9" t="s">
        <v>92</v>
      </c>
      <c r="E47" s="25"/>
      <c r="F47" s="26"/>
      <c r="G47" s="27" t="s">
        <v>90</v>
      </c>
      <c r="H47" s="28" t="str">
        <f t="shared" si="13"/>
        <v>시스템 관리 &gt; 사용자 메뉴 관리 : 부모메뉴로 설정되어 있는 메뉴에 메뉴 삭제 시도</v>
      </c>
      <c r="I47" s="11" t="s">
        <v>91</v>
      </c>
      <c r="J47" s="33" t="s">
        <v>81</v>
      </c>
      <c r="K47" s="31"/>
      <c r="L47" s="26"/>
      <c r="M47" s="29"/>
    </row>
    <row r="48" spans="2:13" ht="30" customHeight="1" x14ac:dyDescent="0.3">
      <c r="B48" s="9" t="s">
        <v>8</v>
      </c>
      <c r="C48" s="9" t="s">
        <v>76</v>
      </c>
      <c r="D48" s="25" t="s">
        <v>93</v>
      </c>
      <c r="E48" s="25"/>
      <c r="F48" s="26"/>
      <c r="G48" s="27" t="s">
        <v>38</v>
      </c>
      <c r="H48" s="28" t="str">
        <f t="shared" si="13"/>
        <v>시스템 관리 &gt; 클래스 카테고리 관리 : 등록 성공</v>
      </c>
      <c r="I48" s="11" t="s">
        <v>94</v>
      </c>
      <c r="J48" s="30" t="s">
        <v>25</v>
      </c>
      <c r="K48" s="31"/>
      <c r="L48" s="26"/>
      <c r="M48" s="29"/>
    </row>
    <row r="49" spans="2:13" ht="30" customHeight="1" x14ac:dyDescent="0.3">
      <c r="B49" s="9" t="s">
        <v>8</v>
      </c>
      <c r="C49" s="9" t="s">
        <v>76</v>
      </c>
      <c r="D49" s="25" t="s">
        <v>93</v>
      </c>
      <c r="E49" s="25"/>
      <c r="F49" s="26"/>
      <c r="G49" s="27" t="s">
        <v>39</v>
      </c>
      <c r="H49" s="28" t="str">
        <f t="shared" si="13"/>
        <v>시스템 관리 &gt; 클래스 카테고리 관리 : 수정 성공</v>
      </c>
      <c r="I49" s="11" t="s">
        <v>99</v>
      </c>
      <c r="J49" s="30" t="s">
        <v>20</v>
      </c>
      <c r="K49" s="31"/>
      <c r="L49" s="26"/>
      <c r="M49" s="29"/>
    </row>
    <row r="50" spans="2:13" ht="30" customHeight="1" x14ac:dyDescent="0.3">
      <c r="B50" s="9" t="s">
        <v>8</v>
      </c>
      <c r="C50" s="9" t="s">
        <v>76</v>
      </c>
      <c r="D50" s="25" t="s">
        <v>93</v>
      </c>
      <c r="E50" s="25"/>
      <c r="F50" s="26"/>
      <c r="G50" s="27" t="s">
        <v>95</v>
      </c>
      <c r="H50" s="28" t="str">
        <f t="shared" ref="H50" si="15">_xlfn.TEXTJOIN( " : ",TRUE, _xlfn.TEXTJOIN(" &gt; ", TRUE, C50, D50, E50, F50), G50 )</f>
        <v>시스템 관리 &gt; 클래스 카테고리 관리 : 삭제 성공</v>
      </c>
      <c r="I50" s="11" t="s">
        <v>99</v>
      </c>
      <c r="J50" s="30" t="s">
        <v>96</v>
      </c>
      <c r="K50" s="31"/>
      <c r="L50" s="26"/>
      <c r="M50" s="29"/>
    </row>
    <row r="51" spans="2:13" ht="30" customHeight="1" x14ac:dyDescent="0.3">
      <c r="B51" s="9" t="s">
        <v>8</v>
      </c>
      <c r="C51" s="9" t="s">
        <v>76</v>
      </c>
      <c r="D51" s="25" t="s">
        <v>93</v>
      </c>
      <c r="E51" s="25" t="s">
        <v>100</v>
      </c>
      <c r="F51" s="26"/>
      <c r="G51" s="27" t="s">
        <v>38</v>
      </c>
      <c r="H51" s="28" t="str">
        <f t="shared" si="13"/>
        <v>시스템 관리 &gt; 클래스 카테고리 관리 &gt; 항목 관리 : 등록 성공</v>
      </c>
      <c r="I51" s="11" t="s">
        <v>102</v>
      </c>
      <c r="J51" s="30" t="s">
        <v>25</v>
      </c>
      <c r="K51" s="31"/>
      <c r="L51" s="26"/>
      <c r="M51" s="29"/>
    </row>
    <row r="52" spans="2:13" ht="30" customHeight="1" x14ac:dyDescent="0.3">
      <c r="B52" s="9" t="s">
        <v>8</v>
      </c>
      <c r="C52" s="9" t="s">
        <v>76</v>
      </c>
      <c r="D52" s="25" t="s">
        <v>93</v>
      </c>
      <c r="E52" s="25" t="s">
        <v>100</v>
      </c>
      <c r="F52" s="26"/>
      <c r="G52" s="27" t="s">
        <v>39</v>
      </c>
      <c r="H52" s="28" t="str">
        <f t="shared" si="13"/>
        <v>시스템 관리 &gt; 클래스 카테고리 관리 &gt; 항목 관리 : 수정 성공</v>
      </c>
      <c r="I52" s="11" t="s">
        <v>101</v>
      </c>
      <c r="J52" s="30" t="s">
        <v>20</v>
      </c>
      <c r="K52" s="31"/>
      <c r="L52" s="26"/>
      <c r="M52" s="29"/>
    </row>
    <row r="53" spans="2:13" ht="30" customHeight="1" x14ac:dyDescent="0.3">
      <c r="B53" s="9" t="s">
        <v>8</v>
      </c>
      <c r="C53" s="9" t="s">
        <v>76</v>
      </c>
      <c r="D53" s="25" t="s">
        <v>93</v>
      </c>
      <c r="E53" s="25" t="s">
        <v>100</v>
      </c>
      <c r="F53" s="26"/>
      <c r="G53" s="27" t="s">
        <v>95</v>
      </c>
      <c r="H53" s="28" t="str">
        <f t="shared" si="13"/>
        <v>시스템 관리 &gt; 클래스 카테고리 관리 &gt; 항목 관리 : 삭제 성공</v>
      </c>
      <c r="I53" s="11" t="s">
        <v>101</v>
      </c>
      <c r="J53" s="30" t="s">
        <v>96</v>
      </c>
      <c r="K53" s="31"/>
      <c r="L53" s="26"/>
      <c r="M53" s="29"/>
    </row>
    <row r="54" spans="2:13" ht="30" customHeight="1" x14ac:dyDescent="0.3">
      <c r="B54" s="9" t="s">
        <v>8</v>
      </c>
      <c r="C54" s="9" t="s">
        <v>76</v>
      </c>
      <c r="D54" s="25" t="s">
        <v>105</v>
      </c>
      <c r="E54" s="25"/>
      <c r="F54" s="26"/>
      <c r="G54" s="27" t="s">
        <v>38</v>
      </c>
      <c r="H54" s="28" t="str">
        <f t="shared" si="13"/>
        <v>시스템 관리 &gt; 공통코드 관리 : 등록 성공</v>
      </c>
      <c r="I54" s="11" t="s">
        <v>103</v>
      </c>
      <c r="J54" s="30" t="s">
        <v>25</v>
      </c>
      <c r="K54" s="31"/>
      <c r="L54" s="26"/>
      <c r="M54" s="29"/>
    </row>
    <row r="55" spans="2:13" ht="30" customHeight="1" x14ac:dyDescent="0.3">
      <c r="B55" s="9" t="s">
        <v>8</v>
      </c>
      <c r="C55" s="9" t="s">
        <v>76</v>
      </c>
      <c r="D55" s="25" t="s">
        <v>105</v>
      </c>
      <c r="E55" s="25"/>
      <c r="F55" s="26"/>
      <c r="G55" s="27" t="s">
        <v>39</v>
      </c>
      <c r="H55" s="28" t="str">
        <f t="shared" ref="H55:H64" si="16">_xlfn.TEXTJOIN( " : ",TRUE, _xlfn.TEXTJOIN(" &gt; ", TRUE, C55, D55, E55, F55), G55 )</f>
        <v>시스템 관리 &gt; 공통코드 관리 : 수정 성공</v>
      </c>
      <c r="I55" s="11" t="s">
        <v>104</v>
      </c>
      <c r="J55" s="30" t="s">
        <v>20</v>
      </c>
      <c r="K55" s="31"/>
      <c r="L55" s="26"/>
      <c r="M55" s="29"/>
    </row>
    <row r="56" spans="2:13" ht="30" customHeight="1" x14ac:dyDescent="0.3">
      <c r="B56" s="9" t="s">
        <v>8</v>
      </c>
      <c r="C56" s="9" t="s">
        <v>76</v>
      </c>
      <c r="D56" s="25" t="s">
        <v>105</v>
      </c>
      <c r="E56" s="25"/>
      <c r="F56" s="26"/>
      <c r="G56" s="27" t="s">
        <v>95</v>
      </c>
      <c r="H56" s="28" t="str">
        <f t="shared" si="16"/>
        <v>시스템 관리 &gt; 공통코드 관리 : 삭제 성공</v>
      </c>
      <c r="I56" s="11" t="s">
        <v>104</v>
      </c>
      <c r="J56" s="30" t="s">
        <v>96</v>
      </c>
      <c r="K56" s="31"/>
      <c r="L56" s="26"/>
      <c r="M56" s="29"/>
    </row>
    <row r="57" spans="2:13" ht="30" customHeight="1" x14ac:dyDescent="0.3">
      <c r="B57" s="9" t="s">
        <v>8</v>
      </c>
      <c r="C57" s="9" t="s">
        <v>76</v>
      </c>
      <c r="D57" s="25" t="s">
        <v>105</v>
      </c>
      <c r="E57" s="25" t="s">
        <v>100</v>
      </c>
      <c r="F57" s="26"/>
      <c r="G57" s="27" t="s">
        <v>38</v>
      </c>
      <c r="H57" s="28" t="str">
        <f t="shared" si="16"/>
        <v>시스템 관리 &gt; 공통코드 관리 &gt; 항목 관리 : 등록 성공</v>
      </c>
      <c r="I57" s="11" t="s">
        <v>106</v>
      </c>
      <c r="J57" s="30" t="s">
        <v>25</v>
      </c>
      <c r="K57" s="31"/>
      <c r="L57" s="26"/>
      <c r="M57" s="29"/>
    </row>
    <row r="58" spans="2:13" ht="30" customHeight="1" x14ac:dyDescent="0.3">
      <c r="B58" s="9" t="s">
        <v>8</v>
      </c>
      <c r="C58" s="9" t="s">
        <v>76</v>
      </c>
      <c r="D58" s="25" t="s">
        <v>105</v>
      </c>
      <c r="E58" s="25" t="s">
        <v>100</v>
      </c>
      <c r="F58" s="26"/>
      <c r="G58" s="27" t="s">
        <v>39</v>
      </c>
      <c r="H58" s="28" t="str">
        <f t="shared" si="16"/>
        <v>시스템 관리 &gt; 공통코드 관리 &gt; 항목 관리 : 수정 성공</v>
      </c>
      <c r="I58" s="11" t="s">
        <v>107</v>
      </c>
      <c r="J58" s="30" t="s">
        <v>20</v>
      </c>
      <c r="K58" s="31"/>
      <c r="L58" s="26"/>
      <c r="M58" s="29"/>
    </row>
    <row r="59" spans="2:13" ht="30" customHeight="1" x14ac:dyDescent="0.3">
      <c r="B59" s="9" t="s">
        <v>8</v>
      </c>
      <c r="C59" s="9" t="s">
        <v>76</v>
      </c>
      <c r="D59" s="25" t="s">
        <v>105</v>
      </c>
      <c r="E59" s="25" t="s">
        <v>100</v>
      </c>
      <c r="F59" s="26"/>
      <c r="G59" s="27" t="s">
        <v>95</v>
      </c>
      <c r="H59" s="28" t="str">
        <f t="shared" si="16"/>
        <v>시스템 관리 &gt; 공통코드 관리 &gt; 항목 관리 : 삭제 성공</v>
      </c>
      <c r="I59" s="11" t="s">
        <v>107</v>
      </c>
      <c r="J59" s="30" t="s">
        <v>96</v>
      </c>
      <c r="K59" s="31"/>
      <c r="L59" s="26"/>
      <c r="M59" s="29"/>
    </row>
    <row r="60" spans="2:13" ht="30" customHeight="1" x14ac:dyDescent="0.3">
      <c r="B60" s="25"/>
      <c r="C60" s="25"/>
      <c r="D60" s="25"/>
      <c r="E60" s="25"/>
      <c r="F60" s="26"/>
      <c r="G60" s="27"/>
      <c r="H60" s="28" t="str">
        <f t="shared" si="16"/>
        <v/>
      </c>
      <c r="I60" s="29"/>
      <c r="J60" s="30"/>
      <c r="K60" s="31"/>
      <c r="L60" s="26"/>
      <c r="M60" s="29"/>
    </row>
    <row r="61" spans="2:13" ht="30" customHeight="1" x14ac:dyDescent="0.3">
      <c r="B61" s="25"/>
      <c r="C61" s="25"/>
      <c r="D61" s="25"/>
      <c r="E61" s="25"/>
      <c r="F61" s="26"/>
      <c r="G61" s="27"/>
      <c r="H61" s="28" t="str">
        <f t="shared" si="16"/>
        <v/>
      </c>
      <c r="I61" s="29"/>
      <c r="J61" s="30"/>
      <c r="K61" s="31"/>
      <c r="L61" s="26"/>
      <c r="M61" s="29"/>
    </row>
    <row r="62" spans="2:13" ht="30" customHeight="1" x14ac:dyDescent="0.3">
      <c r="B62" s="25"/>
      <c r="C62" s="25"/>
      <c r="D62" s="25"/>
      <c r="E62" s="25"/>
      <c r="F62" s="26"/>
      <c r="G62" s="27"/>
      <c r="H62" s="28" t="str">
        <f t="shared" si="16"/>
        <v/>
      </c>
      <c r="I62" s="29"/>
      <c r="J62" s="30"/>
      <c r="K62" s="31"/>
      <c r="L62" s="26"/>
      <c r="M62" s="29"/>
    </row>
    <row r="63" spans="2:13" ht="30" customHeight="1" x14ac:dyDescent="0.3">
      <c r="B63" s="25"/>
      <c r="C63" s="25"/>
      <c r="D63" s="25"/>
      <c r="E63" s="25"/>
      <c r="F63" s="26"/>
      <c r="G63" s="27"/>
      <c r="H63" s="28" t="str">
        <f t="shared" si="16"/>
        <v/>
      </c>
      <c r="I63" s="29"/>
      <c r="J63" s="30"/>
      <c r="K63" s="31"/>
      <c r="L63" s="26"/>
      <c r="M63" s="29"/>
    </row>
    <row r="64" spans="2:13" ht="30" customHeight="1" x14ac:dyDescent="0.3">
      <c r="B64" s="25"/>
      <c r="C64" s="25"/>
      <c r="D64" s="25"/>
      <c r="E64" s="25"/>
      <c r="F64" s="26"/>
      <c r="G64" s="27"/>
      <c r="H64" s="28" t="str">
        <f t="shared" si="16"/>
        <v/>
      </c>
      <c r="I64" s="29"/>
      <c r="J64" s="30"/>
      <c r="K64" s="31"/>
      <c r="L64" s="26"/>
      <c r="M64" s="29"/>
    </row>
    <row r="65" spans="2:13" ht="30" customHeight="1" x14ac:dyDescent="0.3">
      <c r="B65" s="25"/>
      <c r="C65" s="25"/>
      <c r="D65" s="25"/>
      <c r="E65" s="25"/>
      <c r="F65" s="26"/>
      <c r="G65" s="27"/>
      <c r="H65" s="28" t="str">
        <f t="shared" si="12"/>
        <v/>
      </c>
      <c r="I65" s="29"/>
      <c r="J65" s="30"/>
      <c r="K65" s="31"/>
      <c r="L65" s="26"/>
      <c r="M65" s="29"/>
    </row>
    <row r="66" spans="2:13" ht="30" customHeight="1" x14ac:dyDescent="0.3">
      <c r="B66" s="25"/>
      <c r="C66" s="25"/>
      <c r="D66" s="25"/>
      <c r="E66" s="25"/>
      <c r="F66" s="26"/>
      <c r="G66" s="27"/>
      <c r="H66" s="28" t="str">
        <f t="shared" si="12"/>
        <v/>
      </c>
      <c r="I66" s="29"/>
      <c r="J66" s="30"/>
      <c r="K66" s="31"/>
      <c r="L66" s="26"/>
      <c r="M66" s="29"/>
    </row>
    <row r="67" spans="2:13" ht="30" customHeight="1" x14ac:dyDescent="0.3">
      <c r="B67" s="25"/>
      <c r="C67" s="25"/>
      <c r="D67" s="25"/>
      <c r="E67" s="25"/>
      <c r="F67" s="26"/>
      <c r="G67" s="27"/>
      <c r="H67" s="28" t="str">
        <f t="shared" si="12"/>
        <v/>
      </c>
      <c r="I67" s="29"/>
      <c r="J67" s="30"/>
      <c r="K67" s="31"/>
      <c r="L67" s="26"/>
      <c r="M67" s="29"/>
    </row>
    <row r="68" spans="2:13" ht="30" customHeight="1" x14ac:dyDescent="0.3">
      <c r="B68" s="25"/>
      <c r="C68" s="25"/>
      <c r="D68" s="25"/>
      <c r="E68" s="25"/>
      <c r="F68" s="26"/>
      <c r="G68" s="27"/>
      <c r="H68" s="28" t="str">
        <f t="shared" si="12"/>
        <v/>
      </c>
      <c r="I68" s="29"/>
      <c r="J68" s="30"/>
      <c r="K68" s="31"/>
      <c r="L68" s="26"/>
      <c r="M68" s="29"/>
    </row>
    <row r="69" spans="2:13" ht="30" customHeight="1" x14ac:dyDescent="0.3">
      <c r="B69" s="25"/>
      <c r="C69" s="25"/>
      <c r="D69" s="25"/>
      <c r="E69" s="25"/>
      <c r="F69" s="26"/>
      <c r="G69" s="27"/>
      <c r="H69" s="28" t="str">
        <f t="shared" si="12"/>
        <v/>
      </c>
      <c r="I69" s="29"/>
      <c r="J69" s="30"/>
      <c r="K69" s="31"/>
      <c r="L69" s="26"/>
      <c r="M69" s="29"/>
    </row>
    <row r="70" spans="2:13" ht="30" customHeight="1" x14ac:dyDescent="0.3">
      <c r="B70" s="25"/>
      <c r="C70" s="25"/>
      <c r="D70" s="25"/>
      <c r="E70" s="25"/>
      <c r="F70" s="26"/>
      <c r="G70" s="27"/>
      <c r="H70" s="28" t="str">
        <f t="shared" ref="H70:H72" si="17">_xlfn.TEXTJOIN( " : ",TRUE, _xlfn.TEXTJOIN(" &gt; ", TRUE, C70, D70, E70, F70), G70 )</f>
        <v/>
      </c>
      <c r="I70" s="29"/>
      <c r="J70" s="30"/>
      <c r="K70" s="31"/>
      <c r="L70" s="26"/>
      <c r="M70" s="29"/>
    </row>
    <row r="71" spans="2:13" ht="30" customHeight="1" x14ac:dyDescent="0.3">
      <c r="B71" s="25"/>
      <c r="C71" s="25"/>
      <c r="D71" s="25"/>
      <c r="E71" s="25"/>
      <c r="F71" s="26"/>
      <c r="G71" s="27"/>
      <c r="H71" s="28" t="str">
        <f t="shared" si="17"/>
        <v/>
      </c>
      <c r="I71" s="29"/>
      <c r="J71" s="30"/>
      <c r="K71" s="31"/>
      <c r="L71" s="26"/>
      <c r="M71" s="29"/>
    </row>
    <row r="72" spans="2:13" ht="30" customHeight="1" x14ac:dyDescent="0.3">
      <c r="B72" s="25"/>
      <c r="C72" s="25"/>
      <c r="D72" s="25"/>
      <c r="E72" s="25"/>
      <c r="F72" s="26"/>
      <c r="G72" s="27"/>
      <c r="H72" s="28" t="str">
        <f t="shared" si="17"/>
        <v/>
      </c>
      <c r="I72" s="29"/>
      <c r="J72" s="30"/>
      <c r="K72" s="31"/>
      <c r="L72" s="26"/>
      <c r="M72" s="29"/>
    </row>
    <row r="73" spans="2:13" ht="30" customHeight="1" x14ac:dyDescent="0.3">
      <c r="B73" s="25"/>
      <c r="C73" s="25"/>
      <c r="D73" s="25"/>
      <c r="E73" s="25"/>
      <c r="F73" s="26"/>
      <c r="G73" s="27"/>
      <c r="H73" s="28" t="str">
        <f>_xlfn.TEXTJOIN( " : ",TRUE, _xlfn.TEXTJOIN(" &gt; ", TRUE, C73, D73, E73, F73), G73 )</f>
        <v/>
      </c>
      <c r="I73" s="29"/>
      <c r="J73" s="30"/>
      <c r="K73" s="31"/>
      <c r="L73" s="26"/>
      <c r="M73" s="29"/>
    </row>
    <row r="74" spans="2:13" ht="30" customHeight="1" x14ac:dyDescent="0.3">
      <c r="B74" s="25"/>
      <c r="C74" s="25"/>
      <c r="D74" s="25"/>
      <c r="E74" s="25"/>
      <c r="F74" s="26"/>
      <c r="G74" s="27"/>
      <c r="H74" s="28" t="str">
        <f>_xlfn.TEXTJOIN( " : ",TRUE, _xlfn.TEXTJOIN(" &gt; ", TRUE, C74, D74, E74, F74), G74 )</f>
        <v/>
      </c>
      <c r="I74" s="29"/>
      <c r="J74" s="30"/>
      <c r="K74" s="31"/>
      <c r="L74" s="26"/>
      <c r="M74" s="29"/>
    </row>
    <row r="75" spans="2:13" ht="30" customHeight="1" x14ac:dyDescent="0.3">
      <c r="B75" s="9"/>
      <c r="C75" s="9"/>
      <c r="D75" s="9"/>
      <c r="E75" s="9"/>
      <c r="F75" s="10"/>
      <c r="G75" s="23"/>
      <c r="H75" s="21" t="str">
        <f t="shared" si="0"/>
        <v/>
      </c>
      <c r="I75" s="3"/>
      <c r="J75" s="12"/>
      <c r="K75" s="4"/>
      <c r="L75" s="10"/>
      <c r="M75" s="3"/>
    </row>
  </sheetData>
  <phoneticPr fontId="11" type="noConversion"/>
  <conditionalFormatting sqref="M3:M6 M23 M42:M49 M32:M40 M51:M75 M8:M9 M11:M12 M14 M25:M26 M28:M30">
    <cfRule type="expression" dxfId="11" priority="17">
      <formula>(ABS((M3-I3))/I3)&gt;FlagPercent</formula>
    </cfRule>
  </conditionalFormatting>
  <conditionalFormatting sqref="M15 M17:M20 M22">
    <cfRule type="expression" dxfId="10" priority="11">
      <formula>(ABS((M15-I15))/I15)&gt;FlagPercent</formula>
    </cfRule>
  </conditionalFormatting>
  <conditionalFormatting sqref="M41">
    <cfRule type="expression" dxfId="9" priority="10">
      <formula>(ABS((M41-I41))/I41)&gt;FlagPercent</formula>
    </cfRule>
  </conditionalFormatting>
  <conditionalFormatting sqref="M31">
    <cfRule type="expression" dxfId="8" priority="9">
      <formula>(ABS((M31-I31))/I31)&gt;FlagPercent</formula>
    </cfRule>
  </conditionalFormatting>
  <conditionalFormatting sqref="M50">
    <cfRule type="expression" dxfId="7" priority="8">
      <formula>(ABS((M50-I50))/I50)&gt;FlagPercent</formula>
    </cfRule>
  </conditionalFormatting>
  <conditionalFormatting sqref="M7">
    <cfRule type="expression" dxfId="6" priority="7">
      <formula>(ABS((M7-I7))/I7)&gt;FlagPercent</formula>
    </cfRule>
  </conditionalFormatting>
  <conditionalFormatting sqref="M10">
    <cfRule type="expression" dxfId="5" priority="6">
      <formula>(ABS((M10-I10))/I10)&gt;FlagPercent</formula>
    </cfRule>
  </conditionalFormatting>
  <conditionalFormatting sqref="M13">
    <cfRule type="expression" dxfId="4" priority="5">
      <formula>(ABS((M13-I13))/I13)&gt;FlagPercent</formula>
    </cfRule>
  </conditionalFormatting>
  <conditionalFormatting sqref="M16">
    <cfRule type="expression" dxfId="3" priority="4">
      <formula>(ABS((M16-I16))/I16)&gt;FlagPercent</formula>
    </cfRule>
  </conditionalFormatting>
  <conditionalFormatting sqref="M21">
    <cfRule type="expression" dxfId="2" priority="3">
      <formula>(ABS((M21-I21))/I21)&gt;FlagPercent</formula>
    </cfRule>
  </conditionalFormatting>
  <conditionalFormatting sqref="M24">
    <cfRule type="expression" dxfId="1" priority="2">
      <formula>(ABS((M24-I24))/I24)&gt;FlagPercent</formula>
    </cfRule>
  </conditionalFormatting>
  <conditionalFormatting sqref="M27">
    <cfRule type="expression" dxfId="0" priority="1">
      <formula>(ABS((M27-I27))/I27)&gt;FlagPercent</formula>
    </cfRule>
  </conditionalFormatting>
  <dataValidations count="4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00000000-0002-0000-0000-000000000000}"/>
    <dataValidation type="list" allowBlank="1" showInputMessage="1" showErrorMessage="1" error="목록에서 범주를 선택하거나 설정 워크시트에서 이 목록에 표시할 새 범주를 만듭니다." sqref="D3:D75" xr:uid="{00000000-0002-0000-0000-000002000000}">
      <formula1>범주목록</formula1>
    </dataValidation>
    <dataValidation type="list" allowBlank="1" showInputMessage="1" showErrorMessage="1" error="목록에서 직원을 선택하거나 설정 워크시트에서 이 목록에 표시할 새 직원을 만듭니다." sqref="E3:E75" xr:uid="{00000000-0002-0000-0000-000003000000}">
      <formula1>직원목록</formula1>
    </dataValidation>
    <dataValidation type="list" allowBlank="1" showInputMessage="1" showErrorMessage="1" sqref="L3:L75" xr:uid="{C63E340C-1EBB-43F4-BDDE-62EDB87301F9}">
      <formula1>"수용,변경요청"</formula1>
    </dataValidation>
  </dataValidations>
  <hyperlinks>
    <hyperlink ref="I3" r:id="rId1" xr:uid="{5643B422-E053-4607-A62D-C6D86B00FB43}"/>
    <hyperlink ref="I4" r:id="rId2" xr:uid="{94DD5125-25F8-41A1-922B-2CB1CED22541}"/>
    <hyperlink ref="I6" r:id="rId3" xr:uid="{E9ADCD75-1035-7545-BF4B-012783CEEF30}"/>
    <hyperlink ref="I8" r:id="rId4" xr:uid="{F6172BC9-B0EC-544D-BDC2-C8189810B849}"/>
    <hyperlink ref="I9" r:id="rId5" xr:uid="{15F5DDE6-875F-564E-9560-F2732D54EAAD}"/>
    <hyperlink ref="I11" r:id="rId6" xr:uid="{7CFDC6E5-1CED-467E-998D-6ED589FFF41C}"/>
    <hyperlink ref="I12" r:id="rId7" xr:uid="{9C8B961F-74B6-4B44-A5CB-B80EFC19F180}"/>
    <hyperlink ref="I14" r:id="rId8" xr:uid="{F80BEA25-6FA9-416C-871D-5C29453E8818}"/>
    <hyperlink ref="I15" r:id="rId9" xr:uid="{4CD701C2-FEA5-47D1-AAB3-03E1D5771CA7}"/>
    <hyperlink ref="I17" r:id="rId10" xr:uid="{C7D59320-E563-4C75-9744-FD202383E510}"/>
    <hyperlink ref="I18" r:id="rId11" xr:uid="{D1955799-234A-4E1B-8749-7AC6BDDBEA75}"/>
    <hyperlink ref="I19" r:id="rId12" xr:uid="{01EB4CAD-D719-4271-B388-800EEC0B35CA}"/>
    <hyperlink ref="I20" r:id="rId13" xr:uid="{F68BE827-FCAF-4C44-828B-697F42C70398}"/>
    <hyperlink ref="I22" r:id="rId14" xr:uid="{AC6FAB76-9B35-4D0E-AA22-4A40DA1B178C}"/>
    <hyperlink ref="I23" r:id="rId15" xr:uid="{C963B838-F451-434F-82CF-33C2CD87791B}"/>
    <hyperlink ref="I25" r:id="rId16" xr:uid="{3E4B282D-7C44-476F-BDB2-9B3E16B90393}"/>
    <hyperlink ref="I5" r:id="rId17" xr:uid="{56E3FB09-2652-442F-84DA-8B876A5A6E60}"/>
    <hyperlink ref="I28" r:id="rId18" xr:uid="{94B51A71-D4DB-4E8E-992B-01F97205C19A}"/>
    <hyperlink ref="I29" r:id="rId19" xr:uid="{13BE596E-B4B2-40B3-8EBB-5403E9751006}"/>
    <hyperlink ref="I30" r:id="rId20" xr:uid="{360A6352-8676-4189-822F-345BC65AC8F7}"/>
    <hyperlink ref="I32" r:id="rId21" xr:uid="{4E0A2EC0-1447-4F63-AE81-8079247A5CB1}"/>
    <hyperlink ref="I33" r:id="rId22" xr:uid="{3B8D4294-BB63-45BC-BB18-536C4FFFF9CB}"/>
    <hyperlink ref="I34" r:id="rId23" xr:uid="{7C13D3CE-72CA-4D08-B707-2C9D11EF0DE8}"/>
    <hyperlink ref="I35" r:id="rId24" xr:uid="{39119AD4-2E14-4344-A42D-A32414B0280E}"/>
    <hyperlink ref="I36" r:id="rId25" xr:uid="{0C2A03DD-B344-4AE4-B311-9EC4850526E5}"/>
    <hyperlink ref="I37" r:id="rId26" xr:uid="{B77C8702-D895-4FBF-AA69-665CB85AAC3E}"/>
    <hyperlink ref="I48" r:id="rId27" xr:uid="{403945DD-58B7-4B18-ABED-0439F8934C5C}"/>
    <hyperlink ref="I31" r:id="rId28" xr:uid="{EA417D71-059F-4197-87A0-0F00C1A81D05}"/>
    <hyperlink ref="I49" r:id="rId29" xr:uid="{92F85DA9-BAD9-4484-9F74-5A703E58E6F6}"/>
    <hyperlink ref="I50" r:id="rId30" xr:uid="{6CD26562-45C1-4557-96BB-09930C1B442C}"/>
    <hyperlink ref="I52" r:id="rId31" xr:uid="{5C48C57D-E6B2-449F-9C9F-7DC66A644717}"/>
    <hyperlink ref="I53" r:id="rId32" xr:uid="{1C633648-EFC1-4D10-A248-FB23B5AF0A2F}"/>
    <hyperlink ref="I51" r:id="rId33" xr:uid="{860B604A-3F37-438A-8D84-CE9FC963EE03}"/>
    <hyperlink ref="I54" r:id="rId34" xr:uid="{F2E840CA-0542-46AE-839C-CD99BF692B51}"/>
    <hyperlink ref="I55" r:id="rId35" xr:uid="{02530554-AF86-4197-BE98-7C6A5EF44F30}"/>
    <hyperlink ref="I56" r:id="rId36" xr:uid="{4545305D-B9A0-4052-B1D2-853A297BDB8B}"/>
    <hyperlink ref="I57" r:id="rId37" xr:uid="{7E31C28E-F37C-49D8-AD55-7AD4659DECFA}"/>
    <hyperlink ref="I58" r:id="rId38" xr:uid="{FE3E94CD-D090-41B6-AFDE-C504BACF880F}"/>
    <hyperlink ref="I59" r:id="rId39" xr:uid="{8157CDDF-B0F3-4AA3-B739-DFEED2AE3D94}"/>
    <hyperlink ref="I7" r:id="rId40" xr:uid="{FA87482F-4BF8-4AD7-B530-A990773BCBAC}"/>
    <hyperlink ref="I10" r:id="rId41" xr:uid="{3F18956D-5307-44D1-9F84-EE200DFE90D6}"/>
    <hyperlink ref="I13" r:id="rId42" xr:uid="{FC086EB4-0624-42E2-95EB-CF6B94D94B6F}"/>
    <hyperlink ref="I16" r:id="rId43" xr:uid="{B4C0A1D4-BFA3-4BC0-84BF-77EB2E20E8C8}"/>
    <hyperlink ref="I21" r:id="rId44" xr:uid="{7A7C3E55-7B07-4F37-9809-33F12BF9EC7C}"/>
    <hyperlink ref="I24" r:id="rId45" xr:uid="{80FD9223-5D70-4EB7-9016-0B355A196204}"/>
  </hyperlinks>
  <printOptions horizontalCentered="1"/>
  <pageMargins left="0.25" right="0.25" top="0.5" bottom="0.5" header="0.3" footer="0.3"/>
  <pageSetup paperSize="9" fitToHeight="0" orientation="landscape" r:id="rId46"/>
  <headerFooter differentFirst="1">
    <oddFooter>&amp;CPage &amp;P of &amp;N</oddFooter>
  </headerFooter>
  <tableParts count="1"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안내창 문구 정리</vt:lpstr>
      <vt:lpstr>'안내창 문구 정리'!Print_Titles</vt:lpstr>
      <vt:lpstr>열제목1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2016-08-03T05:15:41Z</dcterms:created>
  <dcterms:modified xsi:type="dcterms:W3CDTF">2024-08-22T08:47:00Z</dcterms:modified>
</cp:coreProperties>
</file>