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jeovi\ponkids\eclipse\workspace\ponkids\src\main\resources\doc\"/>
    </mc:Choice>
  </mc:AlternateContent>
  <xr:revisionPtr revIDLastSave="0" documentId="13_ncr:1_{B1A63E22-E6B9-41A9-AD87-93737E1AC95C}" xr6:coauthVersionLast="36" xr6:coauthVersionMax="47" xr10:uidLastSave="{00000000-0000-0000-0000-000000000000}"/>
  <bookViews>
    <workbookView xWindow="0" yWindow="495" windowWidth="15360" windowHeight="715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테이블정의서!$B$4:$Y$481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I310" i="26" l="1"/>
  <c r="AH310" i="26"/>
  <c r="AG310" i="26"/>
  <c r="AF310" i="26"/>
  <c r="AE310" i="26"/>
  <c r="AD310" i="26"/>
  <c r="AC310" i="26"/>
  <c r="AB310" i="26"/>
  <c r="AA310" i="26"/>
  <c r="Z310" i="26"/>
  <c r="AI315" i="26" l="1"/>
  <c r="AH315" i="26"/>
  <c r="AG315" i="26"/>
  <c r="AF315" i="26"/>
  <c r="AE315" i="26"/>
  <c r="AD315" i="26"/>
  <c r="AC315" i="26"/>
  <c r="AB315" i="26"/>
  <c r="AA315" i="26"/>
  <c r="Z315" i="26"/>
  <c r="AI313" i="26"/>
  <c r="AH313" i="26"/>
  <c r="AG313" i="26"/>
  <c r="AF313" i="26"/>
  <c r="AE313" i="26"/>
  <c r="AD313" i="26"/>
  <c r="AC313" i="26"/>
  <c r="AB313" i="26"/>
  <c r="AA313" i="26"/>
  <c r="Z313" i="26"/>
  <c r="AI316" i="26"/>
  <c r="AH316" i="26"/>
  <c r="AG316" i="26"/>
  <c r="AF316" i="26"/>
  <c r="AE316" i="26"/>
  <c r="AD316" i="26"/>
  <c r="AC316" i="26"/>
  <c r="AB316" i="26"/>
  <c r="AA316" i="26"/>
  <c r="Z316" i="26"/>
  <c r="AI314" i="26"/>
  <c r="AH314" i="26"/>
  <c r="AG314" i="26"/>
  <c r="AF314" i="26"/>
  <c r="AE314" i="26"/>
  <c r="AD314" i="26"/>
  <c r="AC314" i="26"/>
  <c r="AB314" i="26"/>
  <c r="AA314" i="26"/>
  <c r="Z314" i="26"/>
  <c r="AI332" i="26" l="1"/>
  <c r="AH332" i="26"/>
  <c r="AG332" i="26"/>
  <c r="AF332" i="26"/>
  <c r="AE332" i="26"/>
  <c r="AD332" i="26"/>
  <c r="AC332" i="26"/>
  <c r="AB332" i="26"/>
  <c r="AA332" i="26"/>
  <c r="Z332" i="26"/>
  <c r="AI170" i="26" l="1"/>
  <c r="AH170" i="26"/>
  <c r="AG170" i="26"/>
  <c r="AF170" i="26"/>
  <c r="AE170" i="26"/>
  <c r="AD170" i="26"/>
  <c r="AC170" i="26"/>
  <c r="AB170" i="26"/>
  <c r="AA170" i="26"/>
  <c r="Z170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1" i="26"/>
  <c r="AH312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5" i="26"/>
  <c r="AI197" i="26"/>
  <c r="AG197" i="26"/>
  <c r="AF197" i="26"/>
  <c r="AE197" i="26"/>
  <c r="AD197" i="26"/>
  <c r="AC197" i="26"/>
  <c r="AB197" i="26"/>
  <c r="AA197" i="26"/>
  <c r="Z197" i="26"/>
  <c r="AI196" i="26"/>
  <c r="AG196" i="26"/>
  <c r="AF196" i="26"/>
  <c r="AE196" i="26"/>
  <c r="AD196" i="26"/>
  <c r="AC196" i="26"/>
  <c r="AB196" i="26"/>
  <c r="AA196" i="26"/>
  <c r="Z196" i="26"/>
  <c r="AI210" i="26" l="1"/>
  <c r="AG210" i="26"/>
  <c r="AF210" i="26"/>
  <c r="AE210" i="26"/>
  <c r="AD210" i="26"/>
  <c r="AC210" i="26"/>
  <c r="AB210" i="26"/>
  <c r="AA210" i="26"/>
  <c r="Z210" i="26"/>
  <c r="AI195" i="26" l="1"/>
  <c r="AG195" i="26"/>
  <c r="AF195" i="26"/>
  <c r="AE195" i="26"/>
  <c r="AD195" i="26"/>
  <c r="AC195" i="26"/>
  <c r="AB195" i="26"/>
  <c r="AA195" i="26"/>
  <c r="Z195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77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1" i="26"/>
  <c r="Z312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469" i="26"/>
  <c r="Z470" i="26"/>
  <c r="Z471" i="26"/>
  <c r="Z472" i="26"/>
  <c r="Z473" i="26"/>
  <c r="Z5" i="26"/>
  <c r="AA5" i="26"/>
  <c r="AE481" i="26"/>
  <c r="AE480" i="26"/>
  <c r="AE479" i="26"/>
  <c r="AE478" i="26"/>
  <c r="AE477" i="26"/>
  <c r="AE476" i="26"/>
  <c r="AE475" i="26"/>
  <c r="AE474" i="26"/>
  <c r="AF473" i="26"/>
  <c r="AE473" i="26"/>
  <c r="AF472" i="26"/>
  <c r="AE472" i="26"/>
  <c r="AF471" i="26"/>
  <c r="AE471" i="26"/>
  <c r="AF470" i="26"/>
  <c r="AE470" i="26"/>
  <c r="AF469" i="26"/>
  <c r="AE469" i="26"/>
  <c r="AF468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2" i="26"/>
  <c r="AE312" i="26"/>
  <c r="AF311" i="26"/>
  <c r="AE311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4" i="26"/>
  <c r="AE194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4" i="26" l="1"/>
  <c r="AG204" i="26"/>
  <c r="AD204" i="26"/>
  <c r="AC204" i="26"/>
  <c r="AB204" i="26"/>
  <c r="AA204" i="26"/>
  <c r="AI203" i="26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4" i="26"/>
  <c r="AG194" i="26"/>
  <c r="AD194" i="26"/>
  <c r="AC194" i="26"/>
  <c r="AB194" i="26"/>
  <c r="AA194" i="26"/>
  <c r="AI193" i="26"/>
  <c r="AG193" i="26"/>
  <c r="AB193" i="26"/>
  <c r="AA193" i="26"/>
  <c r="U193" i="26"/>
  <c r="AD193" i="26" s="1"/>
  <c r="AI211" i="26"/>
  <c r="AG211" i="26"/>
  <c r="AD211" i="26"/>
  <c r="AC211" i="26"/>
  <c r="AB211" i="26"/>
  <c r="AA211" i="26"/>
  <c r="AI246" i="26"/>
  <c r="AG246" i="26"/>
  <c r="AD246" i="26"/>
  <c r="AC246" i="26"/>
  <c r="AB246" i="26"/>
  <c r="AA246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B236" i="26"/>
  <c r="AA236" i="26"/>
  <c r="U236" i="26"/>
  <c r="AD236" i="26" s="1"/>
  <c r="AH1" i="28"/>
  <c r="AG1" i="28"/>
  <c r="AF1" i="28"/>
  <c r="AE1" i="28"/>
  <c r="AD1" i="28"/>
  <c r="AC1" i="28"/>
  <c r="AB1" i="28"/>
  <c r="AA1" i="28"/>
  <c r="Z1" i="28"/>
  <c r="Y1" i="28"/>
  <c r="AI227" i="26"/>
  <c r="AG227" i="26"/>
  <c r="AD227" i="26"/>
  <c r="AC227" i="26"/>
  <c r="AB227" i="26"/>
  <c r="AA227" i="26"/>
  <c r="AI228" i="26"/>
  <c r="AG228" i="26"/>
  <c r="AD228" i="26"/>
  <c r="AC228" i="26"/>
  <c r="AB228" i="26"/>
  <c r="AA228" i="26"/>
  <c r="AI226" i="26"/>
  <c r="AG226" i="26"/>
  <c r="AD226" i="26"/>
  <c r="AC226" i="26"/>
  <c r="AB226" i="26"/>
  <c r="AA226" i="26"/>
  <c r="AI225" i="26"/>
  <c r="AG225" i="26"/>
  <c r="AB225" i="26"/>
  <c r="AA225" i="26"/>
  <c r="U225" i="26"/>
  <c r="AC225" i="26" s="1"/>
  <c r="AI235" i="26"/>
  <c r="AG235" i="26"/>
  <c r="AD235" i="26"/>
  <c r="AC235" i="26"/>
  <c r="AB235" i="26"/>
  <c r="AA235" i="26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C193" i="26" l="1"/>
  <c r="AC236" i="26"/>
  <c r="AD225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395" i="26" l="1"/>
  <c r="AG395" i="26"/>
  <c r="AD395" i="26"/>
  <c r="AC395" i="26"/>
  <c r="AA395" i="26"/>
  <c r="AB395" i="26"/>
  <c r="AC273" i="26" l="1"/>
  <c r="AC274" i="26"/>
  <c r="AC275" i="26"/>
  <c r="AC276" i="26"/>
  <c r="AC277" i="26"/>
  <c r="AC278" i="26"/>
  <c r="AC279" i="26"/>
  <c r="AC281" i="26"/>
  <c r="AC282" i="26"/>
  <c r="AC285" i="26"/>
  <c r="AC286" i="26"/>
  <c r="AC287" i="26"/>
  <c r="AC288" i="26"/>
  <c r="AC289" i="26"/>
  <c r="AC290" i="26"/>
  <c r="AC291" i="26"/>
  <c r="AC292" i="26"/>
  <c r="AC293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1" i="26"/>
  <c r="AC312" i="26"/>
  <c r="AC317" i="26"/>
  <c r="AC318" i="26"/>
  <c r="AC319" i="26"/>
  <c r="AC320" i="26"/>
  <c r="AC321" i="26"/>
  <c r="AC322" i="26"/>
  <c r="AC323" i="26"/>
  <c r="AC324" i="26"/>
  <c r="AC325" i="26"/>
  <c r="AC327" i="26"/>
  <c r="AC329" i="26"/>
  <c r="AC330" i="26"/>
  <c r="AC331" i="26"/>
  <c r="AC333" i="26"/>
  <c r="AC334" i="26"/>
  <c r="AC335" i="26"/>
  <c r="AC336" i="26"/>
  <c r="AC337" i="26"/>
  <c r="AC338" i="26"/>
  <c r="AC339" i="26"/>
  <c r="AC341" i="26"/>
  <c r="AC343" i="26"/>
  <c r="AC344" i="26"/>
  <c r="AC345" i="26"/>
  <c r="AC346" i="26"/>
  <c r="AC347" i="26"/>
  <c r="AC348" i="26"/>
  <c r="AC349" i="26"/>
  <c r="AC350" i="26"/>
  <c r="AC352" i="26"/>
  <c r="AC353" i="26"/>
  <c r="AC354" i="26"/>
  <c r="AC355" i="26"/>
  <c r="AC356" i="26"/>
  <c r="AC357" i="26"/>
  <c r="AC358" i="26"/>
  <c r="AC359" i="26"/>
  <c r="AC360" i="26"/>
  <c r="AC362" i="26"/>
  <c r="AC363" i="26"/>
  <c r="AC364" i="26"/>
  <c r="AC365" i="26"/>
  <c r="AC366" i="26"/>
  <c r="AC367" i="26"/>
  <c r="AC368" i="26"/>
  <c r="AC369" i="26"/>
  <c r="AC370" i="26"/>
  <c r="AC371" i="26"/>
  <c r="AC372" i="26"/>
  <c r="AC373" i="26"/>
  <c r="AC375" i="26"/>
  <c r="AC376" i="26"/>
  <c r="AC377" i="26"/>
  <c r="AC379" i="26"/>
  <c r="AC380" i="26"/>
  <c r="AC381" i="26"/>
  <c r="AC382" i="26"/>
  <c r="AC383" i="26"/>
  <c r="AC384" i="26"/>
  <c r="AC387" i="26"/>
  <c r="AC388" i="26"/>
  <c r="AC389" i="26"/>
  <c r="AC390" i="26"/>
  <c r="AC392" i="26"/>
  <c r="AC393" i="26"/>
  <c r="AC394" i="26"/>
  <c r="AC396" i="26"/>
  <c r="AC397" i="26"/>
  <c r="AC398" i="26"/>
  <c r="AC399" i="26"/>
  <c r="AC400" i="26"/>
  <c r="AC401" i="26"/>
  <c r="AC402" i="26"/>
  <c r="AC403" i="26"/>
  <c r="AC404" i="26"/>
  <c r="AC406" i="26"/>
  <c r="AC407" i="26"/>
  <c r="AC408" i="26"/>
  <c r="AC409" i="26"/>
  <c r="AC410" i="26"/>
  <c r="AC411" i="26"/>
  <c r="AC412" i="26"/>
  <c r="AC413" i="26"/>
  <c r="AC414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8" i="26"/>
  <c r="AC429" i="26"/>
  <c r="AC430" i="26"/>
  <c r="AC431" i="26"/>
  <c r="AC432" i="26"/>
  <c r="AC433" i="26"/>
  <c r="AC435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8" i="26"/>
  <c r="AC449" i="26"/>
  <c r="AC450" i="26"/>
  <c r="AC451" i="26"/>
  <c r="AC452" i="26"/>
  <c r="AC454" i="26"/>
  <c r="AC455" i="26"/>
  <c r="AC457" i="26"/>
  <c r="AC458" i="26"/>
  <c r="AC459" i="26"/>
  <c r="AC460" i="26"/>
  <c r="AC461" i="26"/>
  <c r="AC462" i="26"/>
  <c r="AC463" i="26"/>
  <c r="AC464" i="26"/>
  <c r="AC465" i="26"/>
  <c r="AC466" i="26"/>
  <c r="AC467" i="26"/>
  <c r="AC468" i="26"/>
  <c r="AC469" i="26"/>
  <c r="AC470" i="26"/>
  <c r="AC471" i="26"/>
  <c r="AC472" i="26"/>
  <c r="AC473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7" i="26"/>
  <c r="AB388" i="26"/>
  <c r="AB389" i="26"/>
  <c r="AB390" i="26"/>
  <c r="AB391" i="26"/>
  <c r="AB392" i="26"/>
  <c r="AB393" i="26"/>
  <c r="AB394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B468" i="26"/>
  <c r="AB469" i="26"/>
  <c r="AB470" i="26"/>
  <c r="AB471" i="26"/>
  <c r="AB472" i="26"/>
  <c r="AB473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1" i="26"/>
  <c r="AA312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A468" i="26"/>
  <c r="AA469" i="26"/>
  <c r="AA470" i="26"/>
  <c r="AA471" i="26"/>
  <c r="AA472" i="26"/>
  <c r="AA473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205" i="26"/>
  <c r="AG206" i="26"/>
  <c r="AG207" i="26"/>
  <c r="AG208" i="26"/>
  <c r="AG209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1" i="26"/>
  <c r="AG312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471" i="26"/>
  <c r="AG472" i="26"/>
  <c r="AG473" i="26"/>
  <c r="AG5" i="26"/>
  <c r="AI481" i="26"/>
  <c r="AI480" i="26"/>
  <c r="AI479" i="26"/>
  <c r="AI478" i="26"/>
  <c r="AI477" i="26"/>
  <c r="AI476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4" i="26"/>
  <c r="AI393" i="26"/>
  <c r="AI392" i="26"/>
  <c r="AI391" i="26"/>
  <c r="AI390" i="26"/>
  <c r="AI389" i="26"/>
  <c r="AI388" i="26"/>
  <c r="AI387" i="26"/>
  <c r="AI386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2" i="26"/>
  <c r="AI311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9" i="26"/>
  <c r="AI208" i="26"/>
  <c r="AI207" i="26"/>
  <c r="AI206" i="26"/>
  <c r="AI205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6" i="26" l="1"/>
  <c r="AC266" i="26"/>
  <c r="AB266" i="26"/>
  <c r="AA266" i="26"/>
  <c r="AA267" i="26"/>
  <c r="AB267" i="26"/>
  <c r="AC267" i="26"/>
  <c r="AD267" i="26"/>
  <c r="AD253" i="26"/>
  <c r="AC253" i="26"/>
  <c r="AB253" i="26"/>
  <c r="AA253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1" i="26"/>
  <c r="AD172" i="26"/>
  <c r="AD173" i="26"/>
  <c r="AD174" i="26"/>
  <c r="AD175" i="26"/>
  <c r="AD176" i="26"/>
  <c r="AD177" i="26"/>
  <c r="AD179" i="26"/>
  <c r="AD180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206" i="26"/>
  <c r="AD207" i="26"/>
  <c r="AD209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48" i="26"/>
  <c r="AD249" i="26"/>
  <c r="AD250" i="26"/>
  <c r="AD251" i="26"/>
  <c r="AD252" i="26"/>
  <c r="AD254" i="26"/>
  <c r="AD255" i="26"/>
  <c r="AD256" i="26"/>
  <c r="AD257" i="26"/>
  <c r="AD258" i="26"/>
  <c r="AD259" i="26"/>
  <c r="AD260" i="26"/>
  <c r="AD261" i="26"/>
  <c r="AD263" i="26"/>
  <c r="AD265" i="26"/>
  <c r="AD268" i="26"/>
  <c r="AD269" i="26"/>
  <c r="AD270" i="26"/>
  <c r="AD271" i="26"/>
  <c r="AD273" i="26"/>
  <c r="AD274" i="26"/>
  <c r="AD275" i="26"/>
  <c r="AD276" i="26"/>
  <c r="AD277" i="26"/>
  <c r="AD278" i="26"/>
  <c r="AD279" i="26"/>
  <c r="AD281" i="26"/>
  <c r="AD282" i="26"/>
  <c r="AD285" i="26"/>
  <c r="AD286" i="26"/>
  <c r="AD287" i="26"/>
  <c r="AD288" i="26"/>
  <c r="AD289" i="26"/>
  <c r="AD290" i="26"/>
  <c r="AD291" i="26"/>
  <c r="AD292" i="26"/>
  <c r="AD293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11" i="26"/>
  <c r="AD312" i="26"/>
  <c r="AD317" i="26"/>
  <c r="AD318" i="26"/>
  <c r="AD319" i="26"/>
  <c r="AD320" i="26"/>
  <c r="AD321" i="26"/>
  <c r="AD322" i="26"/>
  <c r="AD323" i="26"/>
  <c r="AD324" i="26"/>
  <c r="AD325" i="26"/>
  <c r="AD327" i="26"/>
  <c r="AD329" i="26"/>
  <c r="AD330" i="26"/>
  <c r="AD331" i="26"/>
  <c r="AD333" i="26"/>
  <c r="AD334" i="26"/>
  <c r="AD335" i="26"/>
  <c r="AD336" i="26"/>
  <c r="AD337" i="26"/>
  <c r="AD338" i="26"/>
  <c r="AD339" i="26"/>
  <c r="AD341" i="26"/>
  <c r="AD343" i="26"/>
  <c r="AD344" i="26"/>
  <c r="AD345" i="26"/>
  <c r="AD346" i="26"/>
  <c r="AD347" i="26"/>
  <c r="AD348" i="26"/>
  <c r="AD349" i="26"/>
  <c r="AD350" i="26"/>
  <c r="AD352" i="26"/>
  <c r="AD353" i="26"/>
  <c r="AD354" i="26"/>
  <c r="AD355" i="26"/>
  <c r="AD356" i="26"/>
  <c r="AD357" i="26"/>
  <c r="AD358" i="26"/>
  <c r="AD359" i="26"/>
  <c r="AD360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5" i="26"/>
  <c r="AD376" i="26"/>
  <c r="AD377" i="26"/>
  <c r="AD379" i="26"/>
  <c r="AD380" i="26"/>
  <c r="AD381" i="26"/>
  <c r="AD382" i="26"/>
  <c r="AD383" i="26"/>
  <c r="AD384" i="26"/>
  <c r="AD387" i="26"/>
  <c r="AD388" i="26"/>
  <c r="AD389" i="26"/>
  <c r="AD390" i="26"/>
  <c r="AD392" i="26"/>
  <c r="AD393" i="26"/>
  <c r="AD394" i="26"/>
  <c r="AD396" i="26"/>
  <c r="AD397" i="26"/>
  <c r="AD398" i="26"/>
  <c r="AD399" i="26"/>
  <c r="AD400" i="26"/>
  <c r="AD401" i="26"/>
  <c r="AD402" i="26"/>
  <c r="AD403" i="26"/>
  <c r="AD404" i="26"/>
  <c r="AD406" i="26"/>
  <c r="AD407" i="26"/>
  <c r="AD408" i="26"/>
  <c r="AD409" i="26"/>
  <c r="AD410" i="26"/>
  <c r="AD411" i="26"/>
  <c r="AD412" i="26"/>
  <c r="AD413" i="26"/>
  <c r="AD414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5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8" i="26"/>
  <c r="AD449" i="26"/>
  <c r="AD450" i="26"/>
  <c r="AD451" i="26"/>
  <c r="AD452" i="26"/>
  <c r="AD454" i="26"/>
  <c r="AD455" i="26"/>
  <c r="AD457" i="26"/>
  <c r="AD458" i="26"/>
  <c r="AD459" i="26"/>
  <c r="AD460" i="26"/>
  <c r="AD461" i="26"/>
  <c r="AD462" i="26"/>
  <c r="AD463" i="26"/>
  <c r="AD464" i="26"/>
  <c r="AD465" i="26"/>
  <c r="AD466" i="26"/>
  <c r="AD467" i="26"/>
  <c r="AD468" i="26"/>
  <c r="AD469" i="26"/>
  <c r="AD470" i="26"/>
  <c r="AD471" i="26"/>
  <c r="AD472" i="26"/>
  <c r="AD473" i="26"/>
  <c r="AD181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3" i="26" l="1"/>
  <c r="AC283" i="26"/>
  <c r="AD386" i="26"/>
  <c r="AC386" i="26"/>
  <c r="U326" i="26"/>
  <c r="U351" i="26"/>
  <c r="U361" i="26"/>
  <c r="U309" i="26"/>
  <c r="AD309" i="26" l="1"/>
  <c r="AC309" i="26"/>
  <c r="AD361" i="26"/>
  <c r="AC361" i="26"/>
  <c r="AD351" i="26"/>
  <c r="AC351" i="26"/>
  <c r="AD326" i="26"/>
  <c r="AC326" i="26"/>
  <c r="U340" i="26"/>
  <c r="AC328" i="26"/>
  <c r="U374" i="26"/>
  <c r="AC374" i="26" s="1"/>
  <c r="U385" i="26"/>
  <c r="AC391" i="26"/>
  <c r="U405" i="26"/>
  <c r="U415" i="26"/>
  <c r="AC415" i="26" s="1"/>
  <c r="U434" i="26"/>
  <c r="AD340" i="26" l="1"/>
  <c r="AC340" i="26"/>
  <c r="AD342" i="26"/>
  <c r="AC342" i="26"/>
  <c r="AD385" i="26"/>
  <c r="AC385" i="26"/>
  <c r="AD434" i="26"/>
  <c r="AC434" i="26"/>
  <c r="AD405" i="26"/>
  <c r="AC405" i="26"/>
  <c r="AD378" i="26"/>
  <c r="AC378" i="26"/>
  <c r="AD415" i="26"/>
  <c r="AD391" i="26"/>
  <c r="AD374" i="26"/>
  <c r="AD328" i="26"/>
  <c r="AC181" i="26"/>
  <c r="AB181" i="26"/>
  <c r="AA181" i="26"/>
  <c r="AC180" i="26"/>
  <c r="AB180" i="26"/>
  <c r="AA180" i="26"/>
  <c r="AC185" i="26"/>
  <c r="AB185" i="26"/>
  <c r="AA185" i="26"/>
  <c r="AC213" i="26" l="1"/>
  <c r="AB213" i="26"/>
  <c r="AA213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2" i="26" l="1"/>
  <c r="AB252" i="26"/>
  <c r="AA252" i="26"/>
  <c r="AC15" i="26" l="1"/>
  <c r="AC14" i="26"/>
  <c r="AC13" i="26"/>
  <c r="AB15" i="26"/>
  <c r="AB14" i="26"/>
  <c r="AB13" i="26"/>
  <c r="AA15" i="26"/>
  <c r="AA14" i="26"/>
  <c r="AA13" i="26"/>
  <c r="AC261" i="26" l="1"/>
  <c r="AC263" i="26" l="1"/>
  <c r="AB262" i="26"/>
  <c r="AB250" i="26" l="1"/>
  <c r="AB251" i="26"/>
  <c r="AB254" i="26"/>
  <c r="AB255" i="26"/>
  <c r="AB256" i="26"/>
  <c r="AB257" i="26"/>
  <c r="AB258" i="26"/>
  <c r="AB259" i="26"/>
  <c r="AB260" i="26"/>
  <c r="AB261" i="26"/>
  <c r="AB263" i="26"/>
  <c r="AB264" i="26"/>
  <c r="AC256" i="26"/>
  <c r="AC257" i="26"/>
  <c r="AC258" i="26"/>
  <c r="AC259" i="26"/>
  <c r="AC260" i="26"/>
  <c r="AA262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1" i="26"/>
  <c r="AC172" i="26"/>
  <c r="AC173" i="26"/>
  <c r="AC174" i="26"/>
  <c r="AC175" i="26"/>
  <c r="AC176" i="26"/>
  <c r="AC177" i="26"/>
  <c r="AC179" i="26"/>
  <c r="AC182" i="26"/>
  <c r="AC183" i="26"/>
  <c r="AC184" i="26"/>
  <c r="AC186" i="26"/>
  <c r="AC187" i="26"/>
  <c r="AC188" i="26"/>
  <c r="AC189" i="26"/>
  <c r="AC190" i="26"/>
  <c r="AC191" i="26"/>
  <c r="AC192" i="26"/>
  <c r="AC206" i="26"/>
  <c r="AC207" i="26"/>
  <c r="AC209" i="26"/>
  <c r="AC212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48" i="26"/>
  <c r="AC249" i="26"/>
  <c r="AC250" i="26"/>
  <c r="AC251" i="26"/>
  <c r="AC254" i="26"/>
  <c r="AC255" i="26"/>
  <c r="AC265" i="26"/>
  <c r="AC269" i="26"/>
  <c r="AC270" i="26"/>
  <c r="AC271" i="26"/>
  <c r="AC456" i="26"/>
  <c r="AC284" i="26"/>
  <c r="AD208" i="26"/>
  <c r="AC132" i="26"/>
  <c r="AC41" i="26"/>
  <c r="U453" i="26"/>
  <c r="U294" i="26"/>
  <c r="AC294" i="26" s="1"/>
  <c r="U280" i="26"/>
  <c r="AC280" i="26" s="1"/>
  <c r="U262" i="26"/>
  <c r="AD262" i="26" s="1"/>
  <c r="U247" i="26"/>
  <c r="U205" i="26"/>
  <c r="U178" i="26"/>
  <c r="U162" i="26"/>
  <c r="U152" i="26"/>
  <c r="AD152" i="26" s="1"/>
  <c r="U142" i="26"/>
  <c r="AC65" i="26"/>
  <c r="AD453" i="26" l="1"/>
  <c r="AC453" i="26"/>
  <c r="AD436" i="26"/>
  <c r="AC436" i="26"/>
  <c r="AC67" i="26"/>
  <c r="AD247" i="26"/>
  <c r="AD284" i="26"/>
  <c r="AC162" i="26"/>
  <c r="AD162" i="26"/>
  <c r="AD178" i="26"/>
  <c r="AD272" i="26"/>
  <c r="AD294" i="26"/>
  <c r="AC205" i="26"/>
  <c r="AD205" i="26"/>
  <c r="AC87" i="26"/>
  <c r="AD142" i="26"/>
  <c r="AD280" i="26"/>
  <c r="AD456" i="26"/>
  <c r="AC264" i="26"/>
  <c r="AD264" i="26"/>
  <c r="AC262" i="26"/>
  <c r="AC55" i="26"/>
  <c r="AC5" i="26"/>
  <c r="AC247" i="26"/>
  <c r="AC39" i="26"/>
  <c r="AC131" i="26"/>
  <c r="AC178" i="26"/>
  <c r="AC75" i="26"/>
  <c r="AC142" i="26"/>
  <c r="AC120" i="26"/>
  <c r="AC152" i="26"/>
  <c r="AC133" i="26"/>
  <c r="AC208" i="26"/>
  <c r="AC268" i="26"/>
  <c r="AC16" i="26"/>
  <c r="AC272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205" i="26"/>
  <c r="AB206" i="26"/>
  <c r="AB207" i="26"/>
  <c r="AB208" i="26"/>
  <c r="AB209" i="26"/>
  <c r="AB212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47" i="26"/>
  <c r="AB248" i="26"/>
  <c r="AB249" i="26"/>
  <c r="AB265" i="26"/>
  <c r="AB268" i="26"/>
  <c r="AB269" i="26"/>
  <c r="AB270" i="26"/>
  <c r="AB271" i="26"/>
  <c r="AB272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205" i="26"/>
  <c r="AA206" i="26"/>
  <c r="AA207" i="26"/>
  <c r="AA208" i="26"/>
  <c r="AA209" i="26"/>
  <c r="AA212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7" i="26"/>
  <c r="AA248" i="26"/>
  <c r="AA249" i="26"/>
  <c r="AA250" i="26"/>
  <c r="AA251" i="26"/>
  <c r="AA254" i="26"/>
  <c r="AA255" i="26"/>
  <c r="AA256" i="26"/>
  <c r="AA257" i="26"/>
  <c r="AA258" i="26"/>
  <c r="AA259" i="26"/>
  <c r="AA260" i="26"/>
  <c r="AA261" i="26"/>
  <c r="AA263" i="26"/>
  <c r="AA264" i="26"/>
  <c r="AA265" i="26"/>
  <c r="AA268" i="26"/>
  <c r="AA269" i="26"/>
  <c r="AA270" i="26"/>
  <c r="AA271" i="26"/>
  <c r="AA272" i="26"/>
  <c r="AA6" i="26"/>
</calcChain>
</file>

<file path=xl/sharedStrings.xml><?xml version="1.0" encoding="utf-8"?>
<sst xmlns="http://schemas.openxmlformats.org/spreadsheetml/2006/main" count="4878" uniqueCount="870">
  <si>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</si>
  <si>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</si>
  <si>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</si>
  <si>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</si>
  <si>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</si>
  <si>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</si>
  <si>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</si>
  <si>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</si>
  <si>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</si>
  <si>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</si>
  <si>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</si>
  <si>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</si>
  <si>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</si>
  <si>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</si>
  <si>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</si>
  <si>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</si>
  <si>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</si>
  <si>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</si>
  <si>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</si>
  <si>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</si>
  <si>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</si>
  <si>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</si>
  <si>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</si>
  <si>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</si>
  <si>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</si>
  <si>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</si>
  <si>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</si>
  <si>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</si>
  <si>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</si>
  <si>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</si>
  <si>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</si>
  <si>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</si>
  <si>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</si>
  <si>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</si>
  <si>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</si>
  <si>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</si>
  <si>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</si>
  <si>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</si>
  <si>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</si>
  <si>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</si>
  <si>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</si>
  <si>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</si>
  <si>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</si>
  <si>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</si>
  <si>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</si>
  <si>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</si>
  <si>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</si>
  <si>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</si>
  <si>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</si>
  <si>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</si>
  <si>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</si>
  <si>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</si>
  <si>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</si>
  <si>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</si>
  <si>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</si>
  <si>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</si>
  <si>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</si>
  <si>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</si>
  <si>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</si>
  <si>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</si>
  <si>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</si>
  <si>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</si>
  <si>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</si>
  <si>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</si>
  <si>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</si>
  <si>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</si>
  <si>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</si>
  <si>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</si>
  <si>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</si>
  <si>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</si>
  <si>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</si>
  <si>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</si>
  <si>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</si>
  <si>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</si>
  <si>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</si>
  <si>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</si>
  <si>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</si>
  <si>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</si>
  <si>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</si>
  <si>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</si>
  <si>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</si>
  <si>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</si>
  <si>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</si>
  <si>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</si>
  <si>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</si>
  <si>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</si>
  <si>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</si>
  <si>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</si>
  <si>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</si>
  <si>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</si>
  <si>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</si>
  <si>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</si>
  <si>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</si>
  <si>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</si>
  <si>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</si>
  <si>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</si>
  <si>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</si>
  <si>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</si>
  <si>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</si>
  <si>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</si>
  <si>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</si>
  <si>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</si>
  <si>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</si>
  <si>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</si>
  <si>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</si>
  <si>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</si>
  <si>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</si>
  <si>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</si>
  <si>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</si>
  <si>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</si>
  <si>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</si>
  <si>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</si>
  <si>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</si>
  <si>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</si>
  <si>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</si>
  <si>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</si>
  <si>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</si>
  <si>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</si>
  <si>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</si>
  <si>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</si>
  <si>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</si>
  <si>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</si>
  <si>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</si>
  <si>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</si>
  <si>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</si>
  <si>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</si>
  <si>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</si>
  <si>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</si>
  <si>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</si>
  <si>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</si>
  <si>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</si>
  <si>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</si>
  <si>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</si>
  <si>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</si>
  <si>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</si>
  <si>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</si>
  <si>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</si>
  <si>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</si>
  <si>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</si>
  <si>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</si>
  <si>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</si>
  <si>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</si>
  <si>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</si>
  <si>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</si>
  <si>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</si>
  <si>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</si>
  <si>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</si>
  <si>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</si>
  <si>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</si>
  <si>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</si>
  <si>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</si>
  <si>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</si>
  <si>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</si>
  <si>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</si>
  <si>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</si>
  <si>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</si>
  <si>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</si>
  <si>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</si>
  <si>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</si>
  <si>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</si>
  <si>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</si>
  <si>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</si>
  <si>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</si>
  <si>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</si>
  <si>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</si>
  <si>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</si>
  <si>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</si>
  <si>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</si>
  <si>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</si>
  <si>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</si>
  <si>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</si>
  <si>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</si>
  <si>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</si>
  <si>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</si>
  <si>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</si>
  <si>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</si>
  <si>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</si>
  <si>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</si>
  <si>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</si>
  <si>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</si>
  <si>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</si>
  <si>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</si>
  <si>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</si>
  <si>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</si>
  <si>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</si>
  <si>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</si>
  <si>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</si>
  <si>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</si>
  <si>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</si>
  <si>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</si>
  <si>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</si>
  <si>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</si>
  <si>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</si>
  <si>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</si>
  <si>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</si>
  <si>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</si>
  <si>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</si>
  <si>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</si>
  <si>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</si>
  <si>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</si>
  <si>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</si>
  <si>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</si>
  <si>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</si>
  <si>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</si>
  <si>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</si>
  <si>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</si>
  <si>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</si>
  <si>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</si>
  <si>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</si>
  <si>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</si>
  <si>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</si>
  <si>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</si>
  <si>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</si>
  <si>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</si>
  <si>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</si>
  <si>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</si>
  <si>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</si>
  <si>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</si>
  <si>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</si>
  <si>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</si>
  <si>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</si>
  <si>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</si>
  <si>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</si>
  <si>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</si>
  <si>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</si>
  <si>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</si>
  <si>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</si>
  <si>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</si>
  <si>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</si>
  <si>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</si>
  <si>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</si>
  <si>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</si>
  <si>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</si>
  <si>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</si>
  <si>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</si>
  <si>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</si>
  <si>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</si>
  <si>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</si>
  <si>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</si>
  <si>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</si>
  <si>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</si>
  <si>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</si>
  <si>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</si>
  <si>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</si>
  <si>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</si>
  <si>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</si>
  <si>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</si>
  <si>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</si>
  <si>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</si>
  <si>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</si>
  <si>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</si>
  <si>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</si>
  <si>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</si>
  <si>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</si>
  <si>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</si>
  <si>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</si>
  <si>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</si>
  <si>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</si>
  <si>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</si>
  <si>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</si>
  <si>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</si>
  <si>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</si>
  <si>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</si>
  <si>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</si>
  <si>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</si>
  <si>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</si>
  <si>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</si>
  <si>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</si>
  <si>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</si>
  <si>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</si>
  <si>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</si>
  <si>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</si>
  <si>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</si>
  <si>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</si>
  <si>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</si>
  <si>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</si>
  <si>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</si>
  <si>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</si>
  <si>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</si>
  <si>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</si>
  <si>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</si>
  <si>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</si>
  <si>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</si>
  <si>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</si>
  <si>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</si>
  <si>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</si>
  <si>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</si>
  <si>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</si>
  <si>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</si>
  <si>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</si>
  <si>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</si>
  <si>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</si>
  <si>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</si>
  <si>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</si>
  <si>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</si>
  <si>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</si>
  <si>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</si>
  <si>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</si>
  <si>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</si>
  <si>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</si>
  <si>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</si>
  <si>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</si>
  <si>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</si>
  <si>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</si>
  <si>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</si>
  <si>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</si>
  <si>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</si>
  <si>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</si>
  <si>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</si>
  <si>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</si>
  <si>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</si>
  <si>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</si>
  <si>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</si>
  <si>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</si>
  <si>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</si>
  <si>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</si>
  <si>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</si>
  <si>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</si>
  <si>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</si>
  <si>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</si>
  <si>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</si>
  <si>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</si>
  <si>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</si>
  <si>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</si>
  <si>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</si>
  <si>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</si>
  <si>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</si>
  <si>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</si>
  <si>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</si>
  <si>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</si>
  <si>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</si>
  <si>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</si>
  <si>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</si>
  <si>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</si>
  <si>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</si>
  <si>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</si>
  <si>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</si>
  <si>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</si>
  <si>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</si>
  <si>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</si>
  <si>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</si>
  <si>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</si>
  <si>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</si>
  <si>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</si>
  <si>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</si>
  <si>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</si>
  <si>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</si>
  <si>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</si>
  <si>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</si>
  <si>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</si>
  <si>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</si>
  <si>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</si>
  <si>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</si>
  <si>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</si>
  <si>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</si>
  <si>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</si>
  <si>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</si>
  <si>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</si>
  <si>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</si>
  <si>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</si>
  <si>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</si>
  <si>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</si>
  <si>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</si>
  <si>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</si>
  <si>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</si>
  <si>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</si>
  <si>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</si>
  <si>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</si>
  <si>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</si>
  <si>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</si>
  <si>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</si>
  <si>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</si>
  <si>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</si>
  <si>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</si>
  <si>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</si>
  <si>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</si>
  <si>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</si>
  <si>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</si>
  <si>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</si>
  <si>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</si>
  <si>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</si>
  <si>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</si>
  <si>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</si>
  <si>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</si>
  <si>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</si>
  <si>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</si>
  <si>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</si>
  <si>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</si>
  <si>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</si>
  <si>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</si>
  <si>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</si>
  <si>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</si>
  <si>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</si>
  <si>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</si>
  <si>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</si>
  <si>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</si>
  <si>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</si>
  <si>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</si>
  <si>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</si>
  <si>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</si>
  <si>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</si>
  <si>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</si>
  <si>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</si>
  <si>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</si>
  <si>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</si>
  <si>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</si>
  <si>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</si>
  <si>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</si>
  <si>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</si>
  <si>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</si>
  <si>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</si>
  <si>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</si>
  <si>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</si>
  <si>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</si>
  <si>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</si>
  <si>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</si>
  <si>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</si>
  <si>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</si>
  <si>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</si>
  <si>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</si>
  <si>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</si>
  <si>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</si>
  <si>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</si>
  <si>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</si>
  <si>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</si>
  <si>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</si>
  <si>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</si>
  <si>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</si>
  <si>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</si>
  <si>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</si>
  <si>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</si>
  <si>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</si>
  <si>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</si>
  <si>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</si>
  <si>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</si>
  <si>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</si>
  <si>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</si>
  <si>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</si>
  <si>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</si>
  <si>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</si>
  <si>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</si>
  <si>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</si>
  <si>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</si>
  <si>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</si>
  <si>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</si>
  <si>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</si>
  <si>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</si>
  <si>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</si>
  <si>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</si>
  <si>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</si>
  <si>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</si>
  <si>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</si>
  <si>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</si>
  <si>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</si>
  <si>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</si>
  <si>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</si>
  <si>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</si>
  <si>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</si>
  <si>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</si>
  <si>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</si>
  <si>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</si>
  <si>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</si>
  <si>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</si>
  <si>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</si>
  <si>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</si>
  <si>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</si>
  <si>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</si>
  <si>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</si>
  <si>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</si>
  <si>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</si>
  <si>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</si>
  <si>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</si>
  <si>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</si>
  <si>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</si>
  <si>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</si>
  <si>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</si>
  <si>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</si>
  <si>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</si>
  <si>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</si>
  <si>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</si>
  <si>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</si>
  <si>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</si>
  <si>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</si>
  <si>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</si>
  <si>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</si>
  <si>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</si>
  <si>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</si>
  <si>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</si>
  <si>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</si>
  <si>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</si>
  <si>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</si>
  <si>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</si>
  <si>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</si>
  <si>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</si>
  <si>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</si>
  <si>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</si>
  <si>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</si>
  <si>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</si>
  <si>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</si>
  <si>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</si>
  <si>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</si>
  <si>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</si>
  <si>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</si>
  <si>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</si>
  <si>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</si>
  <si>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</si>
  <si>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</si>
  <si>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</si>
  <si>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</si>
  <si>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</si>
  <si>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</si>
  <si>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</si>
  <si>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</si>
  <si>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</si>
  <si>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</si>
  <si>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</si>
  <si>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</si>
  <si>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</si>
  <si>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</si>
  <si>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</si>
  <si>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</si>
  <si>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</si>
  <si>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</si>
  <si>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</si>
  <si>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</si>
  <si>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</si>
  <si>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</si>
  <si>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</si>
  <si>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</si>
  <si>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</si>
  <si>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</si>
  <si>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</si>
  <si>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</si>
  <si>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</si>
  <si>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</si>
  <si>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</si>
  <si>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</si>
  <si>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</si>
  <si>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</si>
  <si>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</si>
  <si>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</si>
  <si>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</si>
  <si>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</si>
  <si>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</si>
  <si>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</si>
  <si>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</si>
  <si>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</si>
  <si>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</si>
  <si>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</si>
  <si>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</si>
  <si>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</si>
  <si>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</si>
  <si>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</si>
  <si>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</si>
  <si>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</si>
  <si>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</si>
  <si>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</si>
  <si>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</si>
  <si>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</si>
  <si>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</si>
  <si>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</si>
  <si>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</si>
  <si>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</si>
  <si>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</si>
  <si>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</si>
  <si>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</si>
  <si>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</si>
  <si>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</si>
  <si>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</si>
  <si>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</si>
  <si>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</si>
  <si>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</si>
  <si>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</si>
  <si>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</si>
  <si>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</si>
  <si>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</si>
  <si>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</si>
  <si>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</si>
  <si>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</si>
  <si>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</si>
  <si>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</si>
  <si>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</si>
  <si>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</si>
  <si>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</si>
  <si>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</si>
  <si>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</si>
  <si>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</si>
  <si>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</si>
  <si>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</si>
  <si>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</si>
  <si>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</si>
  <si>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</si>
  <si>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</si>
  <si>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</si>
  <si>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</si>
  <si>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</si>
  <si>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</si>
  <si>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</si>
  <si>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</si>
  <si>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</si>
  <si>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</si>
  <si>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</si>
  <si>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</si>
  <si>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</si>
  <si>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</si>
  <si>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</si>
  <si>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</si>
  <si>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</si>
  <si>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</si>
  <si>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</si>
  <si>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</si>
  <si>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</si>
  <si>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</si>
  <si>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</si>
  <si>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</si>
  <si>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</si>
  <si>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</si>
  <si>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</si>
  <si>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</si>
  <si>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</si>
  <si>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</si>
  <si>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</si>
  <si>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</si>
  <si>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</si>
  <si>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</si>
  <si>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</si>
  <si>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</si>
  <si>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</si>
  <si>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</si>
  <si>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</si>
  <si>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</si>
  <si>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</si>
  <si>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</si>
  <si>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</si>
  <si>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</si>
  <si>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</si>
  <si>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</si>
  <si>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</si>
  <si>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</si>
  <si>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</si>
  <si>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</si>
  <si>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</si>
  <si>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</si>
  <si>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</si>
  <si>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</si>
  <si>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</si>
  <si>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</si>
  <si>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</si>
  <si>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</si>
  <si>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</si>
  <si>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</si>
  <si>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</si>
  <si>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</si>
  <si>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</si>
  <si>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</si>
  <si>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</si>
  <si>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</si>
  <si>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</si>
  <si>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</si>
  <si>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</si>
  <si>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</si>
  <si>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</si>
  <si>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</si>
  <si>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</si>
  <si>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</si>
  <si>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</si>
  <si>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</si>
  <si>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</si>
  <si>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</si>
  <si>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</si>
  <si>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</si>
  <si>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</si>
  <si>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</si>
  <si>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</si>
  <si>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</si>
  <si>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</si>
  <si>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</si>
  <si>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</si>
  <si>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</si>
  <si>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</si>
  <si>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</si>
  <si>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</si>
  <si>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</si>
  <si>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</si>
  <si>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</si>
  <si>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</si>
  <si>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</si>
  <si>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</si>
  <si>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</si>
  <si>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</si>
  <si>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</si>
  <si>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</si>
  <si>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</si>
  <si>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</si>
  <si>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</si>
  <si>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</si>
  <si>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</si>
  <si>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</si>
  <si>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</si>
  <si>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</si>
  <si>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</si>
  <si>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</si>
  <si>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</si>
  <si>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</si>
  <si>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</si>
  <si>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</si>
  <si>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</si>
  <si>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</si>
  <si>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</si>
  <si>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</si>
  <si>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</si>
  <si>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</si>
  <si>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</si>
  <si>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</si>
  <si>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</si>
  <si>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</si>
  <si>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</si>
  <si>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</si>
  <si>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</si>
  <si>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</si>
  <si>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</si>
  <si>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</si>
  <si>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</si>
  <si>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</si>
  <si>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</si>
  <si>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</si>
  <si>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</si>
  <si>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</si>
  <si>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</si>
  <si>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</si>
  <si>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</si>
  <si>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</si>
  <si>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</si>
  <si>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</si>
  <si>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</si>
  <si>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</si>
  <si>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</si>
  <si>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</si>
  <si>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</si>
  <si>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</si>
  <si>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</si>
  <si>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</si>
  <si>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</si>
  <si>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</si>
  <si>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</si>
  <si>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</si>
  <si>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</si>
  <si>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</si>
  <si>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</si>
  <si>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</si>
  <si>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</si>
  <si>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</si>
  <si>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</si>
  <si>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</si>
  <si>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</si>
  <si>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</si>
  <si>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</si>
  <si>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</si>
  <si>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</si>
  <si>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</si>
  <si>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</si>
  <si>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</si>
  <si>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</si>
  <si>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</si>
  <si>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</si>
  <si>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</si>
  <si>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</si>
  <si>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</si>
  <si>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</si>
  <si>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</si>
  <si>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</si>
  <si>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</si>
  <si>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</si>
  <si>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</si>
  <si>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</si>
  <si>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</si>
  <si>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</si>
  <si>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</si>
  <si>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</si>
  <si>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</si>
  <si>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</si>
  <si>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</si>
  <si>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</si>
  <si>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</si>
  <si>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</si>
  <si>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</si>
  <si>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</si>
  <si>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</si>
  <si>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</si>
  <si>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</si>
  <si>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</si>
  <si>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</si>
  <si>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</si>
  <si>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</si>
  <si>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</si>
  <si>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</si>
  <si>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</si>
  <si>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</si>
  <si>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</si>
  <si>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</si>
  <si>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</si>
  <si>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</si>
  <si>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</si>
  <si>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</si>
  <si>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</si>
  <si>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</si>
  <si>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</si>
  <si>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</si>
  <si>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</si>
  <si>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</si>
  <si>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</si>
  <si>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</si>
  <si>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</si>
  <si>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</si>
  <si>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</si>
  <si>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</si>
  <si>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</si>
  <si>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</si>
  <si>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</si>
  <si>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</si>
  <si>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</si>
  <si>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</si>
  <si>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</si>
  <si>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</si>
  <si>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</si>
  <si>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</si>
  <si>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</si>
  <si>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</si>
  <si>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</si>
  <si>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</si>
  <si>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</si>
  <si>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</si>
  <si>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</si>
  <si>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</si>
  <si>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</si>
  <si>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</si>
  <si>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</si>
  <si>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</si>
  <si>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</si>
  <si>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</si>
  <si>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</si>
  <si>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</si>
  <si>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</si>
  <si>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</si>
  <si>
    <t>프라이버시여부</t>
    <phoneticPr fontId="12" type="noConversion"/>
  </si>
  <si>
    <t xml:space="preserve">선택형 항목을 클래스 상세 옵션에 입력 (선택형 항목일 경우에만 해당 ) </t>
    <phoneticPr fontId="12" type="noConversion"/>
  </si>
  <si>
    <t>주관식, 선택형, 첨부파일</t>
    <phoneticPr fontId="12" type="noConversion"/>
  </si>
  <si>
    <t>첨부파일 일련 번호</t>
    <phoneticPr fontId="12" type="noConversion"/>
  </si>
  <si>
    <t>UPEND_GDCC</t>
    <phoneticPr fontId="12" type="noConversion"/>
  </si>
  <si>
    <t>LPT_GDCC</t>
    <phoneticPr fontId="12" type="noConversion"/>
  </si>
  <si>
    <t>상단안내문</t>
    <phoneticPr fontId="12" type="noConversion"/>
  </si>
  <si>
    <t>하단안내문</t>
    <phoneticPr fontId="12" type="noConversion"/>
  </si>
  <si>
    <t>상단 안내문</t>
    <phoneticPr fontId="12" type="noConversion"/>
  </si>
  <si>
    <t>하단 안내문</t>
    <phoneticPr fontId="12" type="noConversion"/>
  </si>
  <si>
    <t>상단 안내문 필요할 시 입력</t>
    <phoneticPr fontId="12" type="noConversion"/>
  </si>
  <si>
    <t>하단 안내문 필요할 시 입력</t>
    <phoneticPr fontId="12" type="noConversion"/>
  </si>
  <si>
    <t>UPEND_GDCC_SET_YN</t>
    <phoneticPr fontId="12" type="noConversion"/>
  </si>
  <si>
    <t>상단안내문설정여부</t>
    <phoneticPr fontId="12" type="noConversion"/>
  </si>
  <si>
    <t>LPT_GDCC_SET_YN</t>
    <phoneticPr fontId="12" type="noConversion"/>
  </si>
  <si>
    <t>하단안내문설정여부</t>
    <phoneticPr fontId="12" type="noConversion"/>
  </si>
  <si>
    <t>상단 안내문 설정 여부</t>
    <phoneticPr fontId="12" type="noConversion"/>
  </si>
  <si>
    <t>하단 안내문 설정 여부</t>
    <phoneticPr fontId="12" type="noConversion"/>
  </si>
  <si>
    <t>상단 안내문 필요할 시 Y</t>
    <phoneticPr fontId="12" type="noConversion"/>
  </si>
  <si>
    <t>하단 안내문 필요할 시 Y</t>
    <phoneticPr fontId="12" type="noConversion"/>
  </si>
  <si>
    <t>QESTNAR_GROUP_CD</t>
    <phoneticPr fontId="12" type="noConversion"/>
  </si>
  <si>
    <t>설문조사그룹코드</t>
    <phoneticPr fontId="12" type="noConversion"/>
  </si>
  <si>
    <t>설문조사 그룹 코드</t>
    <phoneticPr fontId="12" type="noConversion"/>
  </si>
  <si>
    <t>ex) QESTN001, INS_SUPPORT</t>
    <phoneticPr fontId="12" type="noConversion"/>
  </si>
  <si>
    <t>설문조사 사용자단에서 호출 할때 코드명을 기준으로 호출. 코드명은 중복 되어서는 안됨. 가능하면 10자 이내로</t>
    <phoneticPr fontId="12" type="noConversion"/>
  </si>
  <si>
    <t>null 도 가능 -&gt; 로그인 하지 않은 사람도 설문조사를 할 수 있도록 구성. Null 인 경우는 로그인 하지 않은 사용자들…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</si>
</sst>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32"/>
  <sheetViews>
    <sheetView tabSelected="1" zoomScaleNormal="100" zoomScaleSheetLayoutView="85" workbookViewId="0">
      <pane ySplit="4" topLeftCell="A347" activePane="bottomLeft" state="frozen"/>
      <selection activeCell="S1" sqref="S1"/>
      <selection pane="bottomLeft" activeCell="J355" sqref="J355"/>
    </sheetView>
  </sheetViews>
  <sheetFormatPr defaultColWidth="8.77734375" defaultRowHeight="16.5"/>
  <cols>
    <col min="1" max="1" width="2.777343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8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781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782</v>
      </c>
      <c r="AH3" s="129" t="s">
        <v>782</v>
      </c>
      <c r="AI3" s="129" t="s">
        <v>782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783</v>
      </c>
      <c r="AC4" s="150" t="s">
        <v>534</v>
      </c>
      <c r="AD4" s="150" t="s">
        <v>709</v>
      </c>
      <c r="AE4" s="150" t="s">
        <v>716</v>
      </c>
      <c r="AF4" s="150" t="s">
        <v>544</v>
      </c>
      <c r="AG4" s="151" t="s">
        <v>710</v>
      </c>
      <c r="AH4" s="151" t="s">
        <v>712</v>
      </c>
      <c r="AI4" s="151" t="s">
        <v>713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703</v>
      </c>
      <c r="I7" s="96" t="s">
        <v>704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704</v>
      </c>
      <c r="U7" s="110"/>
      <c r="V7" s="110"/>
      <c r="W7" s="116" t="s">
        <v>705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706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800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708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762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800</v>
      </c>
      <c r="R17" s="119" t="s">
        <v>522</v>
      </c>
      <c r="S17" s="82" t="s">
        <v>799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800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702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801</v>
      </c>
      <c r="I22" s="96" t="s">
        <v>802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821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812</v>
      </c>
      <c r="I23" s="96" t="s">
        <v>807</v>
      </c>
      <c r="J23" s="73"/>
      <c r="K23" s="52"/>
      <c r="L23" s="52"/>
      <c r="M23" s="52"/>
      <c r="N23" s="52"/>
      <c r="O23" s="52"/>
      <c r="P23" s="52"/>
      <c r="Q23" s="51" t="s">
        <v>702</v>
      </c>
      <c r="R23" s="119"/>
      <c r="S23" s="80"/>
      <c r="T23" s="96" t="s">
        <v>822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813</v>
      </c>
      <c r="I24" s="96" t="s">
        <v>803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823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814</v>
      </c>
      <c r="I25" s="96" t="s">
        <v>808</v>
      </c>
      <c r="J25" s="73"/>
      <c r="K25" s="52"/>
      <c r="L25" s="52"/>
      <c r="M25" s="52"/>
      <c r="N25" s="52"/>
      <c r="O25" s="52"/>
      <c r="P25" s="52"/>
      <c r="Q25" s="51" t="s">
        <v>702</v>
      </c>
      <c r="R25" s="119"/>
      <c r="S25" s="80"/>
      <c r="T25" s="96" t="s">
        <v>824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815</v>
      </c>
      <c r="I26" s="96" t="s">
        <v>804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825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816</v>
      </c>
      <c r="I27" s="96" t="s">
        <v>809</v>
      </c>
      <c r="J27" s="73"/>
      <c r="K27" s="52"/>
      <c r="L27" s="52"/>
      <c r="M27" s="52"/>
      <c r="N27" s="52"/>
      <c r="O27" s="52"/>
      <c r="P27" s="52"/>
      <c r="Q27" s="51" t="s">
        <v>702</v>
      </c>
      <c r="R27" s="119"/>
      <c r="S27" s="80"/>
      <c r="T27" s="96" t="s">
        <v>826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817</v>
      </c>
      <c r="I28" s="96" t="s">
        <v>805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827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818</v>
      </c>
      <c r="I29" s="96" t="s">
        <v>810</v>
      </c>
      <c r="J29" s="73"/>
      <c r="K29" s="52"/>
      <c r="L29" s="52"/>
      <c r="M29" s="52"/>
      <c r="N29" s="52"/>
      <c r="O29" s="52"/>
      <c r="P29" s="52"/>
      <c r="Q29" s="51" t="s">
        <v>702</v>
      </c>
      <c r="R29" s="119"/>
      <c r="S29" s="80"/>
      <c r="T29" s="96" t="s">
        <v>828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820</v>
      </c>
      <c r="I30" s="96" t="s">
        <v>806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829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819</v>
      </c>
      <c r="I31" s="96" t="s">
        <v>811</v>
      </c>
      <c r="J31" s="73"/>
      <c r="K31" s="52"/>
      <c r="L31" s="52"/>
      <c r="M31" s="52"/>
      <c r="N31" s="52"/>
      <c r="O31" s="52"/>
      <c r="P31" s="52"/>
      <c r="Q31" s="51" t="s">
        <v>702</v>
      </c>
      <c r="R31" s="119"/>
      <c r="S31" s="80"/>
      <c r="T31" s="96" t="s">
        <v>830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702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831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702</v>
      </c>
      <c r="R34" s="119"/>
      <c r="S34" s="153" t="s">
        <v>832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702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800</v>
      </c>
      <c r="R38" s="119" t="s">
        <v>522</v>
      </c>
      <c r="S38" s="82" t="s">
        <v>799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714</v>
      </c>
      <c r="I40" s="95" t="s">
        <v>715</v>
      </c>
      <c r="J40" s="73" t="s">
        <v>72</v>
      </c>
      <c r="K40" s="61"/>
      <c r="L40" s="61">
        <v>1</v>
      </c>
      <c r="M40" s="78" t="s">
        <v>9</v>
      </c>
      <c r="N40" s="95" t="s">
        <v>714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707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800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708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702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702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800</v>
      </c>
      <c r="R54" s="119" t="s">
        <v>522</v>
      </c>
      <c r="S54" s="82" t="s">
        <v>799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702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702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800</v>
      </c>
      <c r="R64" s="119" t="s">
        <v>522</v>
      </c>
      <c r="S64" s="82" t="s">
        <v>799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714</v>
      </c>
      <c r="I66" s="95" t="s">
        <v>715</v>
      </c>
      <c r="J66" s="73" t="s">
        <v>72</v>
      </c>
      <c r="K66" s="45"/>
      <c r="L66" s="45">
        <v>1</v>
      </c>
      <c r="M66" s="78" t="s">
        <v>9</v>
      </c>
      <c r="N66" s="95" t="s">
        <v>714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702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702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800</v>
      </c>
      <c r="R74" s="119" t="s">
        <v>522</v>
      </c>
      <c r="S74" s="82" t="s">
        <v>799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754</v>
      </c>
      <c r="I76" s="101" t="s">
        <v>756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758</v>
      </c>
      <c r="U76" s="123"/>
      <c r="V76" s="123"/>
      <c r="W76" s="104" t="s">
        <v>760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755</v>
      </c>
      <c r="I77" s="101" t="s">
        <v>757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759</v>
      </c>
      <c r="U77" s="123"/>
      <c r="V77" s="123"/>
      <c r="W77" s="104" t="s">
        <v>761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767</v>
      </c>
      <c r="I83" s="101" t="s">
        <v>765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766</v>
      </c>
      <c r="U83" s="123"/>
      <c r="V83" s="123"/>
      <c r="W83" s="104" t="s">
        <v>764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800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749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749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800</v>
      </c>
      <c r="R89" s="119" t="s">
        <v>522</v>
      </c>
      <c r="S89" s="82" t="s">
        <v>799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702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702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800</v>
      </c>
      <c r="R96" s="119" t="s">
        <v>522</v>
      </c>
      <c r="S96" s="82" t="s">
        <v>799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729</v>
      </c>
      <c r="F97" s="13" t="s">
        <v>730</v>
      </c>
      <c r="G97" s="92">
        <v>1</v>
      </c>
      <c r="H97" s="101" t="s">
        <v>745</v>
      </c>
      <c r="I97" s="101" t="s">
        <v>731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733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729</v>
      </c>
      <c r="F98" s="13" t="s">
        <v>730</v>
      </c>
      <c r="G98" s="92">
        <v>2</v>
      </c>
      <c r="H98" s="101" t="s">
        <v>746</v>
      </c>
      <c r="I98" s="101" t="s">
        <v>732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734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729</v>
      </c>
      <c r="F99" s="13" t="s">
        <v>730</v>
      </c>
      <c r="G99" s="92">
        <v>3</v>
      </c>
      <c r="H99" s="101" t="s">
        <v>747</v>
      </c>
      <c r="I99" s="101" t="s">
        <v>740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741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729</v>
      </c>
      <c r="F100" s="13" t="s">
        <v>730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729</v>
      </c>
      <c r="F101" s="13" t="s">
        <v>730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729</v>
      </c>
      <c r="F102" s="13" t="s">
        <v>730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702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729</v>
      </c>
      <c r="F103" s="13" t="s">
        <v>730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729</v>
      </c>
      <c r="F104" s="13" t="s">
        <v>730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729</v>
      </c>
      <c r="F105" s="13" t="s">
        <v>730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702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729</v>
      </c>
      <c r="F106" s="13" t="s">
        <v>730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800</v>
      </c>
      <c r="R106" s="119" t="s">
        <v>522</v>
      </c>
      <c r="S106" s="82" t="s">
        <v>799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735</v>
      </c>
      <c r="F107" s="13" t="s">
        <v>742</v>
      </c>
      <c r="G107" s="92">
        <v>1</v>
      </c>
      <c r="H107" s="101" t="s">
        <v>745</v>
      </c>
      <c r="I107" s="101" t="s">
        <v>737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738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735</v>
      </c>
      <c r="F108" s="13" t="s">
        <v>742</v>
      </c>
      <c r="G108" s="92">
        <v>2</v>
      </c>
      <c r="H108" s="128" t="s">
        <v>748</v>
      </c>
      <c r="I108" s="101" t="s">
        <v>731</v>
      </c>
      <c r="J108" s="45" t="s">
        <v>131</v>
      </c>
      <c r="K108" s="45"/>
      <c r="L108" s="45">
        <v>1</v>
      </c>
      <c r="M108" s="13" t="s">
        <v>729</v>
      </c>
      <c r="N108" s="101" t="s">
        <v>745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733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735</v>
      </c>
      <c r="F109" s="13" t="s">
        <v>742</v>
      </c>
      <c r="G109" s="92">
        <v>3</v>
      </c>
      <c r="H109" s="101" t="s">
        <v>746</v>
      </c>
      <c r="I109" s="101" t="s">
        <v>736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739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735</v>
      </c>
      <c r="F110" s="13" t="s">
        <v>742</v>
      </c>
      <c r="G110" s="92">
        <v>4</v>
      </c>
      <c r="H110" s="101" t="s">
        <v>747</v>
      </c>
      <c r="I110" s="101" t="s">
        <v>743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744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735</v>
      </c>
      <c r="F111" s="13" t="s">
        <v>742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735</v>
      </c>
      <c r="F112" s="13" t="s">
        <v>742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735</v>
      </c>
      <c r="F113" s="13" t="s">
        <v>742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702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735</v>
      </c>
      <c r="F114" s="13" t="s">
        <v>742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735</v>
      </c>
      <c r="F115" s="13" t="s">
        <v>742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735</v>
      </c>
      <c r="F116" s="13" t="s">
        <v>742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702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735</v>
      </c>
      <c r="F117" s="13" t="s">
        <v>742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800</v>
      </c>
      <c r="R117" s="119" t="s">
        <v>522</v>
      </c>
      <c r="S117" s="82" t="s">
        <v>799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800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702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702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800</v>
      </c>
      <c r="R130" s="119" t="s">
        <v>522</v>
      </c>
      <c r="S130" s="82" t="s">
        <v>799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8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702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6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6" si="47">IF(ISBLANK($S139),"","ALTER TABLE " &amp; $E139 &amp; " ALTER COLUMN " &amp; $H139 &amp; " SET DEFAULT " &amp; $S139 &amp; ";")</f>
        <v/>
      </c>
      <c r="AF139" s="125" t="str">
        <f t="shared" ref="AF139:AF206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702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800</v>
      </c>
      <c r="R141" s="119" t="s">
        <v>522</v>
      </c>
      <c r="S141" s="82" t="s">
        <v>799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702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702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800</v>
      </c>
      <c r="R151" s="119" t="s">
        <v>522</v>
      </c>
      <c r="S151" s="82" t="s">
        <v>799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7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7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8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715</v>
      </c>
      <c r="J154" s="73" t="s">
        <v>72</v>
      </c>
      <c r="K154" s="73"/>
      <c r="L154" s="73">
        <v>2</v>
      </c>
      <c r="M154" s="78" t="s">
        <v>9</v>
      </c>
      <c r="N154" s="95" t="s">
        <v>714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4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4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4" si="54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702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702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800</v>
      </c>
      <c r="R161" s="119" t="s">
        <v>522</v>
      </c>
      <c r="S161" s="82" t="s">
        <v>799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714</v>
      </c>
      <c r="I164" s="95" t="s">
        <v>715</v>
      </c>
      <c r="J164" s="45" t="s">
        <v>191</v>
      </c>
      <c r="K164" s="45"/>
      <c r="L164" s="45">
        <v>2</v>
      </c>
      <c r="M164" s="78" t="s">
        <v>9</v>
      </c>
      <c r="N164" s="95" t="s">
        <v>714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834</v>
      </c>
      <c r="U165" s="78"/>
      <c r="V165" s="78"/>
      <c r="W165" s="116" t="s">
        <v>612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.100000000000001" customHeight="1">
      <c r="B170" s="135">
        <v>165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8</v>
      </c>
      <c r="H170" s="101" t="s">
        <v>328</v>
      </c>
      <c r="I170" s="101" t="s">
        <v>329</v>
      </c>
      <c r="J170" s="73" t="s">
        <v>72</v>
      </c>
      <c r="K170" s="69"/>
      <c r="L170" s="69"/>
      <c r="M170" s="69"/>
      <c r="N170" s="69"/>
      <c r="O170" s="69"/>
      <c r="P170" s="69"/>
      <c r="Q170" s="51" t="s">
        <v>800</v>
      </c>
      <c r="R170" s="119" t="s">
        <v>522</v>
      </c>
      <c r="S170" s="81"/>
      <c r="T170" s="107" t="s">
        <v>341</v>
      </c>
      <c r="U170" s="78"/>
      <c r="V170" s="78"/>
      <c r="W170" s="101"/>
      <c r="X170" s="45"/>
      <c r="Y170" s="78"/>
      <c r="Z170" s="130" t="str">
        <f t="shared" si="46"/>
        <v>/* 테이블 : 클래스후기 */ CREATE TABLE TB_CLASS_REVIEW (</v>
      </c>
      <c r="AA170" s="125" t="str">
        <f t="shared" ref="AA170" si="55">H170&amp;" "&amp;Q170&amp;R170&amp;IF(ISBLANK(K170),""," PRIMARY KEY")&amp;IF(AND(ISBLANK(K170),J170="Y")," NOT NULL","")&amp;","</f>
        <v>OPEN_YN BPCHAR(1) NOT NULL,</v>
      </c>
      <c r="AB170" s="125" t="str">
        <f t="shared" ref="AB170" si="56">IF(ISBLANK(L170),"","ALTER TABLE " &amp; E170 &amp; " ADD CONSTRAINT " &amp; E170 &amp; "_FKEY" &amp; L170 &amp;  " FOREIGN KEY(" &amp;H170 &amp; ") REFERENCES " &amp; M170 &amp; "(" &amp; N170 &amp; ") "&amp;O170&amp;" "&amp;P170&amp;";")</f>
        <v/>
      </c>
      <c r="AC170" s="125" t="str">
        <f t="shared" ref="AC170" si="57">IF(ISBLANK(U170),"","CREATE SEQUENCE "&amp;U170&amp;" START 100000;")</f>
        <v/>
      </c>
      <c r="AD170" s="125" t="str">
        <f t="shared" ref="AD170" si="58">IF(ISBLANK(U170),"","ALTER TABLE "&amp;E170&amp;" ALTER COLUMN "&amp;H170&amp;" SET DEFAULT NEXTVAL('"&amp;U170&amp;"');")</f>
        <v/>
      </c>
      <c r="AE170" s="125" t="str">
        <f t="shared" si="47"/>
        <v/>
      </c>
      <c r="AF170" s="125" t="str">
        <f t="shared" si="48"/>
        <v>COMMENT ON COLUMN TB_CLASS_REVIEW.OPEN_YN IS '공개 여부' ;</v>
      </c>
      <c r="AG170" s="125" t="str">
        <f t="shared" ref="AG170" si="59">"ALTER TABLE "&amp;$E170&amp;" ALTER COLUMN "&amp;$H170&amp;" TYPE "&amp;$Q170&amp;IF(ISBLANK(R170),"",R170)&amp;";"</f>
        <v>ALTER TABLE TB_CLASS_REVIEW ALTER COLUMN OPEN_YN TYPE BPCHAR(1);</v>
      </c>
      <c r="AH170" s="131" t="str">
        <f t="shared" ref="AH170" si="60">"ALTER TABLE "&amp;$E170&amp;" ADD COLUMN "&amp;$H170&amp;" "&amp;$Q170&amp;IF(ISBLANK(R170),"",$R170)&amp;IF(ISBLANK($J170),""," NOT NULL")&amp;IF(ISBLANK($S170),""," DEFAULT " &amp; $S170 ) &amp; ";"</f>
        <v>ALTER TABLE TB_CLASS_REVIEW ADD COLUMN OPEN_YN BPCHAR(1) NOT NULL;</v>
      </c>
      <c r="AI170" s="125" t="str">
        <f t="shared" si="54"/>
        <v>ALTER TABLE TB_CLASS_REVIEW DROP COLUMN OPEN_YN;</v>
      </c>
    </row>
    <row r="171" spans="2:35" ht="20.100000000000001" customHeight="1">
      <c r="B171" s="55">
        <v>166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9</v>
      </c>
      <c r="H171" s="97" t="s">
        <v>107</v>
      </c>
      <c r="I171" s="51" t="s">
        <v>76</v>
      </c>
      <c r="J171" s="73" t="s">
        <v>72</v>
      </c>
      <c r="K171" s="67"/>
      <c r="L171" s="67"/>
      <c r="M171" s="77"/>
      <c r="N171" s="77"/>
      <c r="O171" s="77"/>
      <c r="P171" s="77"/>
      <c r="Q171" s="100" t="s">
        <v>521</v>
      </c>
      <c r="R171" s="119" t="s">
        <v>526</v>
      </c>
      <c r="S171" s="80"/>
      <c r="T171" s="107" t="s">
        <v>219</v>
      </c>
      <c r="U171" s="78"/>
      <c r="V171" s="78"/>
      <c r="W171" s="116" t="s">
        <v>496</v>
      </c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REGISTER_ID VARCHAR(50)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TB_CLASS_REVIEW.REGISTER_ID IS '등록자 ID' ;</v>
      </c>
      <c r="AG171" s="125" t="str">
        <f t="shared" si="53"/>
        <v>ALTER TABLE TB_CLASS_REVIEW ALTER COLUMN REGISTER_ID TYPE VARCHAR(50);</v>
      </c>
      <c r="AH171" s="131" t="str">
        <f t="shared" si="45"/>
        <v>ALTER TABLE TB_CLASS_REVIEW ADD COLUMN REGISTER_ID VARCHAR(50) NOT NULL;</v>
      </c>
      <c r="AI171" s="125" t="str">
        <f t="shared" si="54"/>
        <v>ALTER TABLE TB_CLASS_REVIEW DROP COLUMN REGISTER_ID;</v>
      </c>
    </row>
    <row r="172" spans="2:35" ht="20.100000000000001" customHeight="1">
      <c r="B172" s="55">
        <v>167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10</v>
      </c>
      <c r="H172" s="97" t="s">
        <v>91</v>
      </c>
      <c r="I172" s="51" t="s">
        <v>77</v>
      </c>
      <c r="J172" s="73" t="s">
        <v>72</v>
      </c>
      <c r="K172" s="52"/>
      <c r="L172" s="52"/>
      <c r="M172" s="52"/>
      <c r="N172" s="52"/>
      <c r="O172" s="52"/>
      <c r="P172" s="52"/>
      <c r="Q172" s="56" t="s">
        <v>106</v>
      </c>
      <c r="R172" s="119" t="s">
        <v>527</v>
      </c>
      <c r="S172" s="80"/>
      <c r="T172" s="107" t="s">
        <v>218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REGISTER_IP VARCHAR(100)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TB_CLASS_REVIEW.REGISTER_IP IS '등록자 IP' ;</v>
      </c>
      <c r="AG172" s="125" t="str">
        <f t="shared" si="53"/>
        <v>ALTER TABLE TB_CLASS_REVIEW ALTER COLUMN REGISTER_IP TYPE VARCHAR(100);</v>
      </c>
      <c r="AH172" s="131" t="str">
        <f t="shared" si="45"/>
        <v>ALTER TABLE TB_CLASS_REVIEW ADD COLUMN REGISTER_IP VARCHAR(100) NOT NULL;</v>
      </c>
      <c r="AI172" s="125" t="str">
        <f t="shared" si="54"/>
        <v>ALTER TABLE TB_CLASS_REVIEW DROP COLUMN REGISTER_IP;</v>
      </c>
    </row>
    <row r="173" spans="2:35" ht="20.100000000000001" customHeight="1">
      <c r="B173" s="55">
        <v>168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11</v>
      </c>
      <c r="H173" s="97" t="s">
        <v>92</v>
      </c>
      <c r="I173" s="96" t="s">
        <v>78</v>
      </c>
      <c r="J173" s="73" t="s">
        <v>72</v>
      </c>
      <c r="K173" s="52"/>
      <c r="L173" s="52"/>
      <c r="M173" s="52"/>
      <c r="N173" s="52"/>
      <c r="O173" s="52"/>
      <c r="P173" s="52"/>
      <c r="Q173" s="51" t="s">
        <v>702</v>
      </c>
      <c r="R173" s="119"/>
      <c r="S173" s="80"/>
      <c r="T173" s="107" t="s">
        <v>217</v>
      </c>
      <c r="U173" s="78"/>
      <c r="V173" s="78"/>
      <c r="W173" s="101"/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REG_DT TIMESTAMP NOT NULL,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TB_CLASS_REVIEW.REG_DT IS '등록 일시' ;</v>
      </c>
      <c r="AG173" s="125" t="str">
        <f t="shared" si="53"/>
        <v>ALTER TABLE TB_CLASS_REVIEW ALTER COLUMN REG_DT TYPE TIMESTAMP;</v>
      </c>
      <c r="AH173" s="131" t="str">
        <f t="shared" si="45"/>
        <v>ALTER TABLE TB_CLASS_REVIEW ADD COLUMN REG_DT TIMESTAMP NOT NULL;</v>
      </c>
      <c r="AI173" s="125" t="str">
        <f t="shared" si="54"/>
        <v>ALTER TABLE TB_CLASS_REVIEW DROP COLUMN REG_DT;</v>
      </c>
    </row>
    <row r="174" spans="2:35" ht="20.100000000000001" customHeight="1">
      <c r="B174" s="135">
        <v>169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12</v>
      </c>
      <c r="H174" s="97" t="s">
        <v>93</v>
      </c>
      <c r="I174" s="96" t="s">
        <v>80</v>
      </c>
      <c r="J174" s="52"/>
      <c r="K174" s="52"/>
      <c r="L174" s="52"/>
      <c r="M174" s="79"/>
      <c r="N174" s="79"/>
      <c r="O174" s="79"/>
      <c r="P174" s="79"/>
      <c r="Q174" s="100" t="s">
        <v>521</v>
      </c>
      <c r="R174" s="119" t="s">
        <v>526</v>
      </c>
      <c r="S174" s="80"/>
      <c r="T174" s="107" t="s">
        <v>216</v>
      </c>
      <c r="U174" s="78"/>
      <c r="V174" s="78"/>
      <c r="W174" s="116" t="s">
        <v>496</v>
      </c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UPDUSR_ID VARCHAR(50),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TB_CLASS_REVIEW.UPDUSR_ID IS '수정자 ID' ;</v>
      </c>
      <c r="AG174" s="125" t="str">
        <f t="shared" si="53"/>
        <v>ALTER TABLE TB_CLASS_REVIEW ALTER COLUMN UPDUSR_ID TYPE VARCHAR(50);</v>
      </c>
      <c r="AH174" s="131" t="str">
        <f t="shared" si="45"/>
        <v>ALTER TABLE TB_CLASS_REVIEW ADD COLUMN UPDUSR_ID VARCHAR(50);</v>
      </c>
      <c r="AI174" s="125" t="str">
        <f t="shared" si="54"/>
        <v>ALTER TABLE TB_CLASS_REVIEW DROP COLUMN UPDUSR_ID;</v>
      </c>
    </row>
    <row r="175" spans="2:35" ht="20.100000000000001" customHeight="1">
      <c r="B175" s="55">
        <v>170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13</v>
      </c>
      <c r="H175" s="97" t="s">
        <v>94</v>
      </c>
      <c r="I175" s="96" t="s">
        <v>79</v>
      </c>
      <c r="J175" s="52"/>
      <c r="K175" s="52"/>
      <c r="L175" s="52"/>
      <c r="M175" s="52"/>
      <c r="N175" s="52"/>
      <c r="O175" s="52"/>
      <c r="P175" s="52"/>
      <c r="Q175" s="56" t="s">
        <v>106</v>
      </c>
      <c r="R175" s="119" t="s">
        <v>527</v>
      </c>
      <c r="S175" s="80"/>
      <c r="T175" s="107" t="s">
        <v>215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UPDUSR_IP VARCHAR(100),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TB_CLASS_REVIEW.UPDUSR_IP IS '수정자 IP' ;</v>
      </c>
      <c r="AG175" s="125" t="str">
        <f t="shared" si="53"/>
        <v>ALTER TABLE TB_CLASS_REVIEW ALTER COLUMN UPDUSR_IP TYPE VARCHAR(100);</v>
      </c>
      <c r="AH175" s="131" t="str">
        <f t="shared" si="45"/>
        <v>ALTER TABLE TB_CLASS_REVIEW ADD COLUMN UPDUSR_IP VARCHAR(100);</v>
      </c>
      <c r="AI175" s="125" t="str">
        <f t="shared" si="54"/>
        <v>ALTER TABLE TB_CLASS_REVIEW DROP COLUMN UPDUSR_IP;</v>
      </c>
    </row>
    <row r="176" spans="2:35" ht="20.100000000000001" customHeight="1">
      <c r="B176" s="55">
        <v>171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14</v>
      </c>
      <c r="H176" s="98" t="s">
        <v>95</v>
      </c>
      <c r="I176" s="97" t="s">
        <v>81</v>
      </c>
      <c r="J176" s="61"/>
      <c r="K176" s="61"/>
      <c r="L176" s="61"/>
      <c r="M176" s="61"/>
      <c r="N176" s="61"/>
      <c r="O176" s="61"/>
      <c r="P176" s="61"/>
      <c r="Q176" s="51" t="s">
        <v>702</v>
      </c>
      <c r="R176" s="119"/>
      <c r="S176" s="77"/>
      <c r="T176" s="107" t="s">
        <v>214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UPDT_DT TIMESTAMP,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/>
      </c>
      <c r="AF176" s="125" t="str">
        <f t="shared" si="48"/>
        <v>COMMENT ON COLUMN TB_CLASS_REVIEW.UPDT_DT IS '수정 일시' ;</v>
      </c>
      <c r="AG176" s="125" t="str">
        <f t="shared" si="53"/>
        <v>ALTER TABLE TB_CLASS_REVIEW ALTER COLUMN UPDT_DT TYPE TIMESTAMP;</v>
      </c>
      <c r="AH176" s="131" t="str">
        <f t="shared" si="45"/>
        <v>ALTER TABLE TB_CLASS_REVIEW ADD COLUMN UPDT_DT TIMESTAMP;</v>
      </c>
      <c r="AI176" s="125" t="str">
        <f t="shared" si="54"/>
        <v>ALTER TABLE TB_CLASS_REVIEW DROP COLUMN UPDT_DT;</v>
      </c>
    </row>
    <row r="177" spans="2:35" ht="20.100000000000001" customHeight="1">
      <c r="B177" s="55">
        <v>172</v>
      </c>
      <c r="C177" s="26" t="s">
        <v>7</v>
      </c>
      <c r="D177" s="25" t="s">
        <v>11</v>
      </c>
      <c r="E177" s="10" t="s">
        <v>246</v>
      </c>
      <c r="F177" s="12" t="s">
        <v>12</v>
      </c>
      <c r="G177" s="92">
        <v>15</v>
      </c>
      <c r="H177" s="97" t="s">
        <v>96</v>
      </c>
      <c r="I177" s="97" t="s">
        <v>82</v>
      </c>
      <c r="J177" s="73" t="s">
        <v>72</v>
      </c>
      <c r="K177" s="61"/>
      <c r="L177" s="61"/>
      <c r="M177" s="61"/>
      <c r="N177" s="61"/>
      <c r="O177" s="61"/>
      <c r="P177" s="61"/>
      <c r="Q177" s="51" t="s">
        <v>800</v>
      </c>
      <c r="R177" s="119" t="s">
        <v>522</v>
      </c>
      <c r="S177" s="82" t="s">
        <v>799</v>
      </c>
      <c r="T177" s="107" t="s">
        <v>213</v>
      </c>
      <c r="U177" s="78"/>
      <c r="V177" s="78"/>
      <c r="W177" s="101"/>
      <c r="X177" s="45"/>
      <c r="Y177" s="78"/>
      <c r="Z177" s="130" t="str">
        <f t="shared" si="46"/>
        <v>/* 테이블 : 클래스후기 */ CREATE TABLE TB_CLASS_REVIEW (</v>
      </c>
      <c r="AA177" s="125" t="str">
        <f t="shared" si="51"/>
        <v>DEL_YN BPCHAR(1) NOT NULL,</v>
      </c>
      <c r="AB177" s="125" t="str">
        <f t="shared" si="49"/>
        <v/>
      </c>
      <c r="AC177" s="125" t="str">
        <f t="shared" si="50"/>
        <v/>
      </c>
      <c r="AD177" s="125" t="str">
        <f t="shared" si="52"/>
        <v/>
      </c>
      <c r="AE177" s="125" t="str">
        <f t="shared" si="47"/>
        <v>ALTER TABLE TB_CLASS_REVIEW ALTER COLUMN DEL_YN SET DEFAULT 'N'::bpchar;</v>
      </c>
      <c r="AF177" s="125" t="str">
        <f t="shared" si="48"/>
        <v>COMMENT ON COLUMN TB_CLASS_REVIEW.DEL_YN IS '삭제 여부' ;</v>
      </c>
      <c r="AG177" s="125" t="str">
        <f t="shared" si="53"/>
        <v>ALTER TABLE TB_CLASS_REVIEW ALTER COLUMN DEL_YN TYPE BPCHAR(1);</v>
      </c>
      <c r="AH177" s="131" t="str">
        <f t="shared" si="45"/>
        <v>ALTER TABLE TB_CLASS_REVIEW ADD COLUMN DEL_YN BPCHAR(1) NOT NULL DEFAULT 'N'::bpchar;</v>
      </c>
      <c r="AI177" s="125" t="str">
        <f t="shared" si="54"/>
        <v>ALTER TABLE TB_CLASS_REVIEW DROP COLUMN DEL_YN;</v>
      </c>
    </row>
    <row r="178" spans="2:35" ht="20.100000000000001" customHeight="1">
      <c r="B178" s="135">
        <v>173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1</v>
      </c>
      <c r="H178" s="97" t="s">
        <v>265</v>
      </c>
      <c r="I178" s="97" t="s">
        <v>259</v>
      </c>
      <c r="J178" s="73" t="s">
        <v>72</v>
      </c>
      <c r="K178" s="69">
        <v>1</v>
      </c>
      <c r="L178" s="69"/>
      <c r="M178" s="69"/>
      <c r="N178" s="69"/>
      <c r="O178" s="69"/>
      <c r="P178" s="69"/>
      <c r="Q178" s="101" t="s">
        <v>172</v>
      </c>
      <c r="R178" s="83"/>
      <c r="S178" s="81"/>
      <c r="T178" s="107" t="s">
        <v>271</v>
      </c>
      <c r="U178" s="125" t="str">
        <f>"SEQ_"&amp;E178&amp;"_SN"</f>
        <v>SEQ_TB_CLASS_INQRY_SN</v>
      </c>
      <c r="V178" s="125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CLASS_INQRY_SN INTEGER PRIMARY KEY,</v>
      </c>
      <c r="AB178" s="125" t="str">
        <f t="shared" si="49"/>
        <v/>
      </c>
      <c r="AC178" s="125" t="str">
        <f t="shared" si="50"/>
        <v>CREATE SEQUENCE SEQ_TB_CLASS_INQRY_SN START 100000;</v>
      </c>
      <c r="AD178" s="125" t="str">
        <f t="shared" si="52"/>
        <v>ALTER TABLE TB_CLASS_INQRY ALTER COLUMN CLASS_INQRY_SN SET DEFAULT NEXTVAL('SEQ_TB_CLASS_INQRY_SN');</v>
      </c>
      <c r="AE178" s="125" t="str">
        <f t="shared" si="47"/>
        <v/>
      </c>
      <c r="AF178" s="125" t="str">
        <f t="shared" si="48"/>
        <v>COMMENT ON COLUMN TB_CLASS_INQRY.CLASS_INQRY_SN IS '클래스 문의 일련번호' ;</v>
      </c>
      <c r="AG178" s="125" t="str">
        <f t="shared" si="53"/>
        <v>ALTER TABLE TB_CLASS_INQRY ALTER COLUMN CLASS_INQRY_SN TYPE INTEGER;</v>
      </c>
      <c r="AH178" s="131" t="str">
        <f t="shared" si="45"/>
        <v>ALTER TABLE TB_CLASS_INQRY ADD COLUMN CLASS_INQRY_SN INTEGER NOT NULL;</v>
      </c>
      <c r="AI178" s="125" t="str">
        <f t="shared" si="54"/>
        <v>ALTER TABLE TB_CLASS_INQRY DROP COLUMN CLASS_INQRY_SN;</v>
      </c>
    </row>
    <row r="179" spans="2:35" ht="20.100000000000001" customHeight="1">
      <c r="B179" s="55">
        <v>174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2</v>
      </c>
      <c r="H179" s="97" t="s">
        <v>201</v>
      </c>
      <c r="I179" s="97" t="s">
        <v>187</v>
      </c>
      <c r="J179" s="73" t="s">
        <v>72</v>
      </c>
      <c r="K179" s="69"/>
      <c r="L179" s="69">
        <v>1</v>
      </c>
      <c r="M179" s="13" t="s">
        <v>22</v>
      </c>
      <c r="N179" s="101" t="s">
        <v>162</v>
      </c>
      <c r="O179" s="95" t="s">
        <v>539</v>
      </c>
      <c r="P179" s="95" t="s">
        <v>541</v>
      </c>
      <c r="Q179" s="101" t="s">
        <v>172</v>
      </c>
      <c r="R179" s="83"/>
      <c r="S179" s="81"/>
      <c r="T179" s="107" t="s">
        <v>175</v>
      </c>
      <c r="U179" s="78"/>
      <c r="V179" s="78"/>
      <c r="W179" s="101"/>
      <c r="X179" s="45"/>
      <c r="Y179" s="78"/>
      <c r="Z179" s="130" t="str">
        <f t="shared" si="46"/>
        <v>/* 테이블 : 클래스문의 */ CREATE TABLE TB_CLASS_INQRY (</v>
      </c>
      <c r="AA179" s="125" t="str">
        <f t="shared" si="51"/>
        <v>CLASS_SN INTEGER NOT NULL,</v>
      </c>
      <c r="AB179" s="125" t="str">
        <f t="shared" si="49"/>
        <v>ALTER TABLE TB_CLASS_INQRY ADD CONSTRAINT TB_CLASS_INQRY_FKEY1 FOREIGN KEY(CLASS_SN) REFERENCES TB_CLASS(CLASS_SN) ON UPDATE CASCADE ON DELETE CASCADE;</v>
      </c>
      <c r="AC179" s="125" t="str">
        <f t="shared" si="50"/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TB_CLASS_INQRY.CLASS_SN IS '클래스 일련번호' ;</v>
      </c>
      <c r="AG179" s="125" t="str">
        <f t="shared" si="53"/>
        <v>ALTER TABLE TB_CLASS_INQRY ALTER COLUMN CLASS_SN TYPE INTEGER;</v>
      </c>
      <c r="AH179" s="131" t="str">
        <f t="shared" si="45"/>
        <v>ALTER TABLE TB_CLASS_INQRY ADD COLUMN CLASS_SN INTEGER NOT NULL;</v>
      </c>
      <c r="AI179" s="125" t="str">
        <f t="shared" si="54"/>
        <v>ALTER TABLE TB_CLASS_INQRY DROP COLUMN CLASS_SN;</v>
      </c>
    </row>
    <row r="180" spans="2:35" ht="20.100000000000001" customHeight="1">
      <c r="B180" s="55">
        <v>175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3</v>
      </c>
      <c r="H180" s="101" t="s">
        <v>628</v>
      </c>
      <c r="I180" s="101" t="s">
        <v>629</v>
      </c>
      <c r="J180" s="45"/>
      <c r="K180" s="45"/>
      <c r="L180" s="45"/>
      <c r="M180" s="78"/>
      <c r="N180" s="95"/>
      <c r="O180" s="95"/>
      <c r="P180" s="95"/>
      <c r="Q180" s="100" t="s">
        <v>106</v>
      </c>
      <c r="R180" s="119" t="s">
        <v>615</v>
      </c>
      <c r="S180" s="45"/>
      <c r="T180" s="101" t="s">
        <v>834</v>
      </c>
      <c r="U180" s="78"/>
      <c r="V180" s="78"/>
      <c r="W180" s="116" t="s">
        <v>612</v>
      </c>
      <c r="X180" s="45"/>
      <c r="Y180" s="78"/>
      <c r="Z180" s="130" t="str">
        <f t="shared" si="46"/>
        <v>/* 테이블 : 클래스문의 */ CREATE TABLE TB_CLASS_INQRY (</v>
      </c>
      <c r="AA180" s="125" t="str">
        <f t="shared" ref="AA180:AA181" si="61">H180&amp;" "&amp;Q180&amp;R180&amp;IF(ISBLANK(K180),""," PRIMARY KEY")&amp;IF(AND(ISBLANK(K180),J180="Y")," NOT NULL","")&amp;","</f>
        <v>STEP VARCHAR(2),</v>
      </c>
      <c r="AB180" s="125" t="str">
        <f t="shared" ref="AB180:AB181" si="62">IF(ISBLANK(L180),"","ALTER TABLE " &amp; E180 &amp; " ADD CONSTRAINT " &amp; E180 &amp; "_FKEY" &amp; L180 &amp;  " FOREIGN KEY(" &amp;H180 &amp; ") REFERENCES " &amp; M180 &amp; "(" &amp; N180 &amp; ") "&amp;O180&amp;" "&amp;P180&amp;";")</f>
        <v/>
      </c>
      <c r="AC180" s="125" t="str">
        <f t="shared" ref="AC180:AC181" si="63">IF(ISBLANK(U180),"","CREATE SEQUENCE "&amp;U180&amp;" START 100000;")</f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TB_CLASS_INQRY.STEP IS '계층 (원글 : 1 , 답글 : 2~ )' ;</v>
      </c>
      <c r="AG180" s="125" t="str">
        <f t="shared" si="53"/>
        <v>ALTER TABLE TB_CLASS_INQRY ALTER COLUMN STEP TYPE VARCHAR(2);</v>
      </c>
      <c r="AH180" s="131" t="str">
        <f t="shared" si="45"/>
        <v>ALTER TABLE TB_CLASS_INQRY ADD COLUMN STEP VARCHAR(2);</v>
      </c>
      <c r="AI180" s="125" t="str">
        <f t="shared" si="54"/>
        <v>ALTER TABLE TB_CLASS_INQRY DROP COLUMN STEP;</v>
      </c>
    </row>
    <row r="181" spans="2:35" ht="20.100000000000001" customHeight="1">
      <c r="B181" s="55">
        <v>176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4</v>
      </c>
      <c r="H181" s="101" t="s">
        <v>630</v>
      </c>
      <c r="I181" s="101" t="s">
        <v>627</v>
      </c>
      <c r="J181" s="45"/>
      <c r="K181" s="45"/>
      <c r="L181" s="45"/>
      <c r="M181" s="78"/>
      <c r="N181" s="95"/>
      <c r="O181" s="95"/>
      <c r="P181" s="95"/>
      <c r="Q181" s="101" t="s">
        <v>229</v>
      </c>
      <c r="R181" s="119"/>
      <c r="S181" s="45"/>
      <c r="T181" s="101" t="s">
        <v>631</v>
      </c>
      <c r="U181" s="125"/>
      <c r="V181" s="78"/>
      <c r="W181" s="101"/>
      <c r="X181" s="45"/>
      <c r="Y181" s="78"/>
      <c r="Z181" s="130" t="str">
        <f t="shared" si="46"/>
        <v>/* 테이블 : 클래스문의 */ CREATE TABLE TB_CLASS_INQRY (</v>
      </c>
      <c r="AA181" s="125" t="str">
        <f t="shared" si="61"/>
        <v>PARNTS_INQRY_SN INTEGER,</v>
      </c>
      <c r="AB181" s="125" t="str">
        <f t="shared" si="62"/>
        <v/>
      </c>
      <c r="AC181" s="125" t="str">
        <f t="shared" si="63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TB_CLASS_INQRY.PARNTS_INQRY_SN IS '부모 문의 일련번호' ;</v>
      </c>
      <c r="AG181" s="125" t="str">
        <f t="shared" si="53"/>
        <v>ALTER TABLE TB_CLASS_INQRY ALTER COLUMN PARNTS_INQRY_SN TYPE INTEGER;</v>
      </c>
      <c r="AH181" s="131" t="str">
        <f t="shared" si="45"/>
        <v>ALTER TABLE TB_CLASS_INQRY ADD COLUMN PARNTS_INQRY_SN INTEGER;</v>
      </c>
      <c r="AI181" s="125" t="str">
        <f t="shared" si="54"/>
        <v>ALTER TABLE TB_CLASS_INQRY DROP COLUMN PARNTS_INQRY_SN;</v>
      </c>
    </row>
    <row r="182" spans="2:35" ht="20.100000000000001" customHeight="1">
      <c r="B182" s="135">
        <v>177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5</v>
      </c>
      <c r="H182" s="95" t="s">
        <v>714</v>
      </c>
      <c r="I182" s="95" t="s">
        <v>715</v>
      </c>
      <c r="J182" s="73" t="s">
        <v>72</v>
      </c>
      <c r="K182" s="69"/>
      <c r="L182" s="69">
        <v>2</v>
      </c>
      <c r="M182" s="78" t="s">
        <v>9</v>
      </c>
      <c r="N182" s="95" t="s">
        <v>714</v>
      </c>
      <c r="O182" s="95" t="s">
        <v>539</v>
      </c>
      <c r="P182" s="95" t="s">
        <v>541</v>
      </c>
      <c r="Q182" s="100" t="s">
        <v>172</v>
      </c>
      <c r="R182" s="119"/>
      <c r="S182" s="81"/>
      <c r="T182" s="107" t="s">
        <v>109</v>
      </c>
      <c r="U182" s="78"/>
      <c r="V182" s="78"/>
      <c r="W182" s="116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USER_SN INTEGER NOT NULL,</v>
      </c>
      <c r="AB182" s="125" t="str">
        <f t="shared" si="49"/>
        <v>ALTER TABLE TB_CLASS_INQRY ADD CONSTRAINT TB_CLASS_INQRY_FKEY2 FOREIGN KEY(USER_SN) REFERENCES TB_USER(USER_SN) ON UPDATE CASCADE ON DELETE CASCADE;</v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TB_CLASS_INQRY.USER_SN IS '사용자 일련번호' ;</v>
      </c>
      <c r="AG182" s="125" t="str">
        <f t="shared" si="53"/>
        <v>ALTER TABLE TB_CLASS_INQRY ALTER COLUMN USER_SN TYPE INTEGER;</v>
      </c>
      <c r="AH182" s="131" t="str">
        <f t="shared" si="45"/>
        <v>ALTER TABLE TB_CLASS_INQRY ADD COLUMN USER_SN INTEGER NOT NULL;</v>
      </c>
      <c r="AI182" s="125" t="str">
        <f t="shared" si="54"/>
        <v>ALTER TABLE TB_CLASS_INQRY DROP COLUMN USER_SN;</v>
      </c>
    </row>
    <row r="183" spans="2:35" ht="20.100000000000001" customHeight="1">
      <c r="B183" s="55">
        <v>178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6</v>
      </c>
      <c r="H183" s="97" t="s">
        <v>266</v>
      </c>
      <c r="I183" s="97" t="s">
        <v>263</v>
      </c>
      <c r="J183" s="73" t="s">
        <v>72</v>
      </c>
      <c r="K183" s="69"/>
      <c r="L183" s="69"/>
      <c r="M183" s="69"/>
      <c r="N183" s="69"/>
      <c r="O183" s="69"/>
      <c r="P183" s="69"/>
      <c r="Q183" s="64" t="s">
        <v>170</v>
      </c>
      <c r="R183" s="119" t="s">
        <v>528</v>
      </c>
      <c r="S183" s="81"/>
      <c r="T183" s="107" t="s">
        <v>270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INQRY_SJ VARCHAR(255) NOT NULL,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TB_CLASS_INQRY.INQRY_SJ IS '문의 제목' ;</v>
      </c>
      <c r="AG183" s="125" t="str">
        <f t="shared" si="53"/>
        <v>ALTER TABLE TB_CLASS_INQRY ALTER COLUMN INQRY_SJ TYPE VARCHAR(255);</v>
      </c>
      <c r="AH183" s="131" t="str">
        <f t="shared" si="45"/>
        <v>ALTER TABLE TB_CLASS_INQRY ADD COLUMN INQRY_SJ VARCHAR(255) NOT NULL;</v>
      </c>
      <c r="AI183" s="125" t="str">
        <f t="shared" si="54"/>
        <v>ALTER TABLE TB_CLASS_INQRY DROP COLUMN INQRY_SJ;</v>
      </c>
    </row>
    <row r="184" spans="2:35" ht="20.100000000000001" customHeight="1">
      <c r="B184" s="55">
        <v>179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7</v>
      </c>
      <c r="H184" s="97" t="s">
        <v>267</v>
      </c>
      <c r="I184" s="97" t="s">
        <v>264</v>
      </c>
      <c r="J184" s="73"/>
      <c r="K184" s="69"/>
      <c r="L184" s="69"/>
      <c r="M184" s="69"/>
      <c r="N184" s="69"/>
      <c r="O184" s="69"/>
      <c r="P184" s="69"/>
      <c r="Q184" s="64" t="s">
        <v>170</v>
      </c>
      <c r="R184" s="119" t="s">
        <v>530</v>
      </c>
      <c r="S184" s="81"/>
      <c r="T184" s="107" t="s">
        <v>269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si="51"/>
        <v>INQRY_CN VARCHAR(2000),</v>
      </c>
      <c r="AB184" s="125" t="str">
        <f t="shared" si="49"/>
        <v/>
      </c>
      <c r="AC184" s="125" t="str">
        <f t="shared" si="50"/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TB_CLASS_INQRY.INQRY_CN IS '문의 내용' ;</v>
      </c>
      <c r="AG184" s="125" t="str">
        <f t="shared" si="53"/>
        <v>ALTER TABLE TB_CLASS_INQRY ALTER COLUMN INQRY_CN TYPE VARCHAR(2000);</v>
      </c>
      <c r="AH184" s="131" t="str">
        <f t="shared" si="45"/>
        <v>ALTER TABLE TB_CLASS_INQRY ADD COLUMN INQRY_CN VARCHAR(2000);</v>
      </c>
      <c r="AI184" s="125" t="str">
        <f t="shared" si="54"/>
        <v>ALTER TABLE TB_CLASS_INQRY DROP COLUMN INQRY_CN;</v>
      </c>
    </row>
    <row r="185" spans="2:35" ht="20.100000000000001" customHeight="1">
      <c r="B185" s="55">
        <v>180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8</v>
      </c>
      <c r="H185" s="101" t="s">
        <v>328</v>
      </c>
      <c r="I185" s="101" t="s">
        <v>329</v>
      </c>
      <c r="J185" s="73" t="s">
        <v>72</v>
      </c>
      <c r="K185" s="69"/>
      <c r="L185" s="69"/>
      <c r="M185" s="69"/>
      <c r="N185" s="69"/>
      <c r="O185" s="69"/>
      <c r="P185" s="69"/>
      <c r="Q185" s="51" t="s">
        <v>800</v>
      </c>
      <c r="R185" s="119" t="s">
        <v>522</v>
      </c>
      <c r="S185" s="81"/>
      <c r="T185" s="107" t="s">
        <v>341</v>
      </c>
      <c r="U185" s="78"/>
      <c r="V185" s="78"/>
      <c r="W185" s="101"/>
      <c r="X185" s="45"/>
      <c r="Y185" s="78"/>
      <c r="Z185" s="130" t="str">
        <f t="shared" si="46"/>
        <v>/* 테이블 : 클래스문의 */ CREATE TABLE TB_CLASS_INQRY (</v>
      </c>
      <c r="AA185" s="125" t="str">
        <f t="shared" ref="AA185" si="64">H185&amp;" "&amp;Q185&amp;R185&amp;IF(ISBLANK(K185),""," PRIMARY KEY")&amp;IF(AND(ISBLANK(K185),J185="Y")," NOT NULL","")&amp;","</f>
        <v>OPEN_YN BPCHAR(1) NOT NULL,</v>
      </c>
      <c r="AB185" s="125" t="str">
        <f t="shared" ref="AB185" si="65">IF(ISBLANK(L185),"","ALTER TABLE " &amp; E185 &amp; " ADD CONSTRAINT " &amp; E185 &amp; "_FKEY" &amp; L185 &amp;  " FOREIGN KEY(" &amp;H185 &amp; ") REFERENCES " &amp; M185 &amp; "(" &amp; N185 &amp; ") "&amp;O185&amp;" "&amp;P185&amp;";")</f>
        <v/>
      </c>
      <c r="AC185" s="125" t="str">
        <f t="shared" ref="AC185" si="66">IF(ISBLANK(U185),"","CREATE SEQUENCE "&amp;U185&amp;" START 100000;")</f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TB_CLASS_INQRY.OPEN_YN IS '공개 여부' ;</v>
      </c>
      <c r="AG185" s="125" t="str">
        <f t="shared" si="53"/>
        <v>ALTER TABLE TB_CLASS_INQRY ALTER COLUMN OPEN_YN TYPE BPCHAR(1);</v>
      </c>
      <c r="AH185" s="131" t="str">
        <f t="shared" si="45"/>
        <v>ALTER TABLE TB_CLASS_INQRY ADD COLUMN OPEN_YN BPCHAR(1) NOT NULL;</v>
      </c>
      <c r="AI185" s="125" t="str">
        <f t="shared" si="54"/>
        <v>ALTER TABLE TB_CLASS_INQRY DROP COLUMN OPEN_YN;</v>
      </c>
    </row>
    <row r="186" spans="2:35" ht="20.100000000000001" customHeight="1">
      <c r="B186" s="135">
        <v>181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9</v>
      </c>
      <c r="H186" s="97" t="s">
        <v>107</v>
      </c>
      <c r="I186" s="51" t="s">
        <v>76</v>
      </c>
      <c r="J186" s="73" t="s">
        <v>72</v>
      </c>
      <c r="K186" s="67"/>
      <c r="L186" s="67"/>
      <c r="M186" s="77"/>
      <c r="N186" s="77"/>
      <c r="O186" s="77"/>
      <c r="P186" s="77"/>
      <c r="Q186" s="100" t="s">
        <v>521</v>
      </c>
      <c r="R186" s="119" t="s">
        <v>526</v>
      </c>
      <c r="S186" s="80"/>
      <c r="T186" s="107" t="s">
        <v>219</v>
      </c>
      <c r="U186" s="78"/>
      <c r="V186" s="78"/>
      <c r="W186" s="116" t="s">
        <v>496</v>
      </c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REGISTER_ID VARCHAR(50)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TB_CLASS_INQRY.REGISTER_ID IS '등록자 ID' ;</v>
      </c>
      <c r="AG186" s="125" t="str">
        <f t="shared" si="53"/>
        <v>ALTER TABLE TB_CLASS_INQRY ALTER COLUMN REGISTER_ID TYPE VARCHAR(50);</v>
      </c>
      <c r="AH186" s="131" t="str">
        <f t="shared" si="45"/>
        <v>ALTER TABLE TB_CLASS_INQRY ADD COLUMN REGISTER_ID VARCHAR(50) NOT NULL;</v>
      </c>
      <c r="AI186" s="125" t="str">
        <f t="shared" si="54"/>
        <v>ALTER TABLE TB_CLASS_INQRY DROP COLUMN REGISTER_ID;</v>
      </c>
    </row>
    <row r="187" spans="2:35" ht="20.100000000000001" customHeight="1">
      <c r="B187" s="55">
        <v>182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10</v>
      </c>
      <c r="H187" s="97" t="s">
        <v>91</v>
      </c>
      <c r="I187" s="51" t="s">
        <v>77</v>
      </c>
      <c r="J187" s="73" t="s">
        <v>72</v>
      </c>
      <c r="K187" s="52"/>
      <c r="L187" s="52"/>
      <c r="M187" s="52"/>
      <c r="N187" s="52"/>
      <c r="O187" s="52"/>
      <c r="P187" s="52"/>
      <c r="Q187" s="56" t="s">
        <v>106</v>
      </c>
      <c r="R187" s="119" t="s">
        <v>527</v>
      </c>
      <c r="S187" s="80"/>
      <c r="T187" s="107" t="s">
        <v>218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REGISTER_IP VARCHAR(100)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TB_CLASS_INQRY.REGISTER_IP IS '등록자 IP' ;</v>
      </c>
      <c r="AG187" s="125" t="str">
        <f t="shared" si="53"/>
        <v>ALTER TABLE TB_CLASS_INQRY ALTER COLUMN REGISTER_IP TYPE VARCHAR(100);</v>
      </c>
      <c r="AH187" s="131" t="str">
        <f t="shared" si="45"/>
        <v>ALTER TABLE TB_CLASS_INQRY ADD COLUMN REGISTER_IP VARCHAR(100) NOT NULL;</v>
      </c>
      <c r="AI187" s="125" t="str">
        <f t="shared" si="54"/>
        <v>ALTER TABLE TB_CLASS_INQRY DROP COLUMN REGISTER_IP;</v>
      </c>
    </row>
    <row r="188" spans="2:35" ht="20.100000000000001" customHeight="1">
      <c r="B188" s="55">
        <v>183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11</v>
      </c>
      <c r="H188" s="97" t="s">
        <v>92</v>
      </c>
      <c r="I188" s="96" t="s">
        <v>78</v>
      </c>
      <c r="J188" s="73" t="s">
        <v>72</v>
      </c>
      <c r="K188" s="52"/>
      <c r="L188" s="52"/>
      <c r="M188" s="52"/>
      <c r="N188" s="52"/>
      <c r="O188" s="52"/>
      <c r="P188" s="52"/>
      <c r="Q188" s="51" t="s">
        <v>702</v>
      </c>
      <c r="R188" s="119"/>
      <c r="S188" s="80"/>
      <c r="T188" s="107" t="s">
        <v>217</v>
      </c>
      <c r="U188" s="78"/>
      <c r="V188" s="78"/>
      <c r="W188" s="101"/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REG_DT TIMESTAMP NOT NULL,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TB_CLASS_INQRY.REG_DT IS '등록 일시' ;</v>
      </c>
      <c r="AG188" s="125" t="str">
        <f t="shared" si="53"/>
        <v>ALTER TABLE TB_CLASS_INQRY ALTER COLUMN REG_DT TYPE TIMESTAMP;</v>
      </c>
      <c r="AH188" s="131" t="str">
        <f t="shared" si="45"/>
        <v>ALTER TABLE TB_CLASS_INQRY ADD COLUMN REG_DT TIMESTAMP NOT NULL;</v>
      </c>
      <c r="AI188" s="125" t="str">
        <f t="shared" si="54"/>
        <v>ALTER TABLE TB_CLASS_INQRY DROP COLUMN REG_DT;</v>
      </c>
    </row>
    <row r="189" spans="2:35" ht="20.100000000000001" customHeight="1">
      <c r="B189" s="55">
        <v>184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12</v>
      </c>
      <c r="H189" s="97" t="s">
        <v>93</v>
      </c>
      <c r="I189" s="96" t="s">
        <v>80</v>
      </c>
      <c r="J189" s="52"/>
      <c r="K189" s="52"/>
      <c r="L189" s="52"/>
      <c r="M189" s="79"/>
      <c r="N189" s="79"/>
      <c r="O189" s="79"/>
      <c r="P189" s="79"/>
      <c r="Q189" s="100" t="s">
        <v>521</v>
      </c>
      <c r="R189" s="119" t="s">
        <v>526</v>
      </c>
      <c r="S189" s="80"/>
      <c r="T189" s="107" t="s">
        <v>216</v>
      </c>
      <c r="U189" s="78"/>
      <c r="V189" s="78"/>
      <c r="W189" s="116" t="s">
        <v>496</v>
      </c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UPDUSR_ID VARCHAR(50),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TB_CLASS_INQRY.UPDUSR_ID IS '수정자 ID' ;</v>
      </c>
      <c r="AG189" s="125" t="str">
        <f t="shared" si="53"/>
        <v>ALTER TABLE TB_CLASS_INQRY ALTER COLUMN UPDUSR_ID TYPE VARCHAR(50);</v>
      </c>
      <c r="AH189" s="131" t="str">
        <f t="shared" si="45"/>
        <v>ALTER TABLE TB_CLASS_INQRY ADD COLUMN UPDUSR_ID VARCHAR(50);</v>
      </c>
      <c r="AI189" s="125" t="str">
        <f t="shared" si="54"/>
        <v>ALTER TABLE TB_CLASS_INQRY DROP COLUMN UPDUSR_ID;</v>
      </c>
    </row>
    <row r="190" spans="2:35" ht="20.100000000000001" customHeight="1">
      <c r="B190" s="135">
        <v>185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13</v>
      </c>
      <c r="H190" s="97" t="s">
        <v>94</v>
      </c>
      <c r="I190" s="96" t="s">
        <v>79</v>
      </c>
      <c r="J190" s="52"/>
      <c r="K190" s="52"/>
      <c r="L190" s="52"/>
      <c r="M190" s="52"/>
      <c r="N190" s="52"/>
      <c r="O190" s="52"/>
      <c r="P190" s="52"/>
      <c r="Q190" s="56" t="s">
        <v>106</v>
      </c>
      <c r="R190" s="119" t="s">
        <v>527</v>
      </c>
      <c r="S190" s="80"/>
      <c r="T190" s="107" t="s">
        <v>215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UPDUSR_IP VARCHAR(100),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TB_CLASS_INQRY.UPDUSR_IP IS '수정자 IP' ;</v>
      </c>
      <c r="AG190" s="125" t="str">
        <f t="shared" si="53"/>
        <v>ALTER TABLE TB_CLASS_INQRY ALTER COLUMN UPDUSR_IP TYPE VARCHAR(100);</v>
      </c>
      <c r="AH190" s="131" t="str">
        <f t="shared" si="45"/>
        <v>ALTER TABLE TB_CLASS_INQRY ADD COLUMN UPDUSR_IP VARCHAR(100);</v>
      </c>
      <c r="AI190" s="125" t="str">
        <f t="shared" si="54"/>
        <v>ALTER TABLE TB_CLASS_INQRY DROP COLUMN UPDUSR_IP;</v>
      </c>
    </row>
    <row r="191" spans="2:35" ht="20.100000000000001" customHeight="1">
      <c r="B191" s="55">
        <v>186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14</v>
      </c>
      <c r="H191" s="98" t="s">
        <v>95</v>
      </c>
      <c r="I191" s="97" t="s">
        <v>81</v>
      </c>
      <c r="J191" s="61"/>
      <c r="K191" s="61"/>
      <c r="L191" s="61"/>
      <c r="M191" s="61"/>
      <c r="N191" s="61"/>
      <c r="O191" s="61"/>
      <c r="P191" s="61"/>
      <c r="Q191" s="51" t="s">
        <v>702</v>
      </c>
      <c r="R191" s="119"/>
      <c r="S191" s="77"/>
      <c r="T191" s="107" t="s">
        <v>214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UPDT_DT TIMESTAMP,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/>
      </c>
      <c r="AF191" s="125" t="str">
        <f t="shared" si="48"/>
        <v>COMMENT ON COLUMN TB_CLASS_INQRY.UPDT_DT IS '수정 일시' ;</v>
      </c>
      <c r="AG191" s="125" t="str">
        <f t="shared" si="53"/>
        <v>ALTER TABLE TB_CLASS_INQRY ALTER COLUMN UPDT_DT TYPE TIMESTAMP;</v>
      </c>
      <c r="AH191" s="131" t="str">
        <f t="shared" si="45"/>
        <v>ALTER TABLE TB_CLASS_INQRY ADD COLUMN UPDT_DT TIMESTAMP;</v>
      </c>
      <c r="AI191" s="125" t="str">
        <f t="shared" si="54"/>
        <v>ALTER TABLE TB_CLASS_INQRY DROP COLUMN UPDT_DT;</v>
      </c>
    </row>
    <row r="192" spans="2:35" ht="20.100000000000001" customHeight="1">
      <c r="B192" s="55">
        <v>187</v>
      </c>
      <c r="C192" s="26" t="s">
        <v>7</v>
      </c>
      <c r="D192" s="25" t="s">
        <v>11</v>
      </c>
      <c r="E192" s="10" t="s">
        <v>248</v>
      </c>
      <c r="F192" s="12" t="s">
        <v>249</v>
      </c>
      <c r="G192" s="92">
        <v>15</v>
      </c>
      <c r="H192" s="97" t="s">
        <v>96</v>
      </c>
      <c r="I192" s="97" t="s">
        <v>82</v>
      </c>
      <c r="J192" s="73" t="s">
        <v>72</v>
      </c>
      <c r="K192" s="61"/>
      <c r="L192" s="61"/>
      <c r="M192" s="61"/>
      <c r="N192" s="61"/>
      <c r="O192" s="61"/>
      <c r="P192" s="61"/>
      <c r="Q192" s="51" t="s">
        <v>800</v>
      </c>
      <c r="R192" s="119" t="s">
        <v>522</v>
      </c>
      <c r="S192" s="82" t="s">
        <v>799</v>
      </c>
      <c r="T192" s="107" t="s">
        <v>213</v>
      </c>
      <c r="U192" s="78"/>
      <c r="V192" s="78"/>
      <c r="W192" s="101"/>
      <c r="X192" s="45"/>
      <c r="Y192" s="78"/>
      <c r="Z192" s="130" t="str">
        <f t="shared" si="46"/>
        <v>/* 테이블 : 클래스문의 */ CREATE TABLE TB_CLASS_INQRY (</v>
      </c>
      <c r="AA192" s="125" t="str">
        <f t="shared" si="51"/>
        <v>DEL_YN BPCHAR(1) NOT NULL,</v>
      </c>
      <c r="AB192" s="125" t="str">
        <f t="shared" si="49"/>
        <v/>
      </c>
      <c r="AC192" s="125" t="str">
        <f t="shared" si="50"/>
        <v/>
      </c>
      <c r="AD192" s="125" t="str">
        <f t="shared" si="52"/>
        <v/>
      </c>
      <c r="AE192" s="125" t="str">
        <f t="shared" si="47"/>
        <v>ALTER TABLE TB_CLASS_INQRY ALTER COLUMN DEL_YN SET DEFAULT 'N'::bpchar;</v>
      </c>
      <c r="AF192" s="125" t="str">
        <f t="shared" si="48"/>
        <v>COMMENT ON COLUMN TB_CLASS_INQRY.DEL_YN IS '삭제 여부' ;</v>
      </c>
      <c r="AG192" s="125" t="str">
        <f t="shared" si="53"/>
        <v>ALTER TABLE TB_CLASS_INQRY ALTER COLUMN DEL_YN TYPE BPCHAR(1);</v>
      </c>
      <c r="AH192" s="131" t="str">
        <f t="shared" si="45"/>
        <v>ALTER TABLE TB_CLASS_INQRY ADD COLUMN DEL_YN BPCHAR(1) NOT NULL DEFAULT 'N'::bpchar;</v>
      </c>
      <c r="AI192" s="125" t="str">
        <f t="shared" si="54"/>
        <v>ALTER TABLE TB_CLASS_INQRY DROP COLUMN DEL_YN;</v>
      </c>
    </row>
    <row r="193" spans="2:35" ht="20.100000000000001" customHeight="1">
      <c r="B193" s="55">
        <v>188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1</v>
      </c>
      <c r="H193" s="101" t="s">
        <v>771</v>
      </c>
      <c r="I193" s="101" t="s">
        <v>772</v>
      </c>
      <c r="J193" s="73" t="s">
        <v>72</v>
      </c>
      <c r="K193" s="45">
        <v>1</v>
      </c>
      <c r="L193" s="45"/>
      <c r="M193" s="45"/>
      <c r="N193" s="45"/>
      <c r="O193" s="45"/>
      <c r="P193" s="45"/>
      <c r="Q193" s="101" t="s">
        <v>172</v>
      </c>
      <c r="R193" s="92"/>
      <c r="S193" s="45"/>
      <c r="T193" s="101" t="s">
        <v>773</v>
      </c>
      <c r="U193" s="125" t="str">
        <f>"SEQ_"&amp;E193&amp;"_SN"</f>
        <v>SEQ_TB_CLASS_REQST_SN</v>
      </c>
      <c r="V193" s="125"/>
      <c r="W193" s="101" t="s">
        <v>833</v>
      </c>
      <c r="X193" s="45"/>
      <c r="Y193" s="78"/>
      <c r="Z193" s="130" t="str">
        <f t="shared" si="46"/>
        <v>/* 테이블 : 클래스신청 */ CREATE TABLE TB_CLASS_REQST (</v>
      </c>
      <c r="AA193" s="125" t="str">
        <f t="shared" ref="AA193:AA204" si="67">H193&amp;" "&amp;Q193&amp;R193&amp;IF(ISBLANK(K193),""," PRIMARY KEY")&amp;IF(AND(ISBLANK(K193),J193="Y")," NOT NULL","")&amp;","</f>
        <v>CLASS_REQST_SN INTEGER PRIMARY KEY,</v>
      </c>
      <c r="AB193" s="125" t="str">
        <f t="shared" ref="AB193:AB204" si="68">IF(ISBLANK(L193),"","ALTER TABLE " &amp; E193 &amp; " ADD CONSTRAINT " &amp; E193 &amp; "_FKEY" &amp; L193 &amp;  " FOREIGN KEY(" &amp;H193 &amp; ") REFERENCES " &amp; M193 &amp; "(" &amp; N193 &amp; ") "&amp;O193&amp;" "&amp;P193&amp;";")</f>
        <v/>
      </c>
      <c r="AC193" s="125" t="str">
        <f t="shared" ref="AC193:AC204" si="69">IF(ISBLANK(U193),"","CREATE SEQUENCE "&amp;U193&amp;" START 100000;")</f>
        <v>CREATE SEQUENCE SEQ_TB_CLASS_REQST_SN START 100000;</v>
      </c>
      <c r="AD193" s="125" t="str">
        <f t="shared" ref="AD193:AD204" si="70">IF(ISBLANK(U193),"","ALTER TABLE "&amp;E193&amp;" ALTER COLUMN "&amp;H193&amp;" SET DEFAULT NEXTVAL('"&amp;U193&amp;"');")</f>
        <v>ALTER TABLE TB_CLASS_REQST ALTER COLUMN CLASS_REQST_SN SET DEFAULT NEXTVAL('SEQ_TB_CLASS_REQST_SN');</v>
      </c>
      <c r="AE193" s="125" t="str">
        <f t="shared" si="47"/>
        <v/>
      </c>
      <c r="AF193" s="125" t="str">
        <f t="shared" si="48"/>
        <v>COMMENT ON COLUMN TB_CLASS_REQST.CLASS_REQST_SN IS '클래스 신청 일련번호' ;</v>
      </c>
      <c r="AG193" s="125" t="str">
        <f t="shared" ref="AG193:AG204" si="71">"ALTER TABLE "&amp;$E193&amp;" ALTER COLUMN "&amp;$H193&amp;" TYPE "&amp;$Q193&amp;IF(ISBLANK(R193),"",R193)&amp;";"</f>
        <v>ALTER TABLE TB_CLASS_REQST ALTER COLUMN CLASS_REQST_SN TYPE INTEGER;</v>
      </c>
      <c r="AH193" s="131" t="str">
        <f t="shared" si="45"/>
        <v>ALTER TABLE TB_CLASS_REQST ADD COLUMN CLASS_REQST_SN INTEGER NOT NULL;</v>
      </c>
      <c r="AI193" s="125" t="str">
        <f t="shared" si="54"/>
        <v>ALTER TABLE TB_CLASS_REQST DROP COLUMN CLASS_REQST_SN;</v>
      </c>
    </row>
    <row r="194" spans="2:35" ht="20.100000000000001" customHeight="1">
      <c r="B194" s="135">
        <v>189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2</v>
      </c>
      <c r="H194" s="97" t="s">
        <v>162</v>
      </c>
      <c r="I194" s="97" t="s">
        <v>180</v>
      </c>
      <c r="J194" s="73" t="s">
        <v>131</v>
      </c>
      <c r="K194" s="69"/>
      <c r="L194" s="69">
        <v>1</v>
      </c>
      <c r="M194" s="13" t="s">
        <v>22</v>
      </c>
      <c r="N194" s="97" t="s">
        <v>162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175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si="67"/>
        <v>CLASS_SN INTEGER NOT NULL,</v>
      </c>
      <c r="AB194" s="125" t="str">
        <f t="shared" si="68"/>
        <v>ALTER TABLE TB_CLASS_REQST ADD CONSTRAINT TB_CLASS_REQST_FKEY1 FOREIGN KEY(CLASS_SN) REFERENCES TB_CLASS(CLASS_SN) ON UPDATE CASCADE ON DELETE CASCADE;</v>
      </c>
      <c r="AC194" s="125" t="str">
        <f t="shared" si="69"/>
        <v/>
      </c>
      <c r="AD194" s="125" t="str">
        <f t="shared" si="70"/>
        <v/>
      </c>
      <c r="AE194" s="125" t="str">
        <f t="shared" si="47"/>
        <v/>
      </c>
      <c r="AF194" s="125" t="str">
        <f t="shared" si="48"/>
        <v>COMMENT ON COLUMN TB_CLASS_REQST.CLASS_SN IS '클래스 일련번호' ;</v>
      </c>
      <c r="AG194" s="125" t="str">
        <f t="shared" si="71"/>
        <v>ALTER TABLE TB_CLASS_REQST ALTER COLUMN CLASS_SN TYPE INTEGER;</v>
      </c>
      <c r="AH194" s="131" t="str">
        <f t="shared" si="45"/>
        <v>ALTER TABLE TB_CLASS_REQST ADD COLUMN CLASS_SN INTEGER NOT NULL;</v>
      </c>
      <c r="AI194" s="125" t="str">
        <f t="shared" si="54"/>
        <v>ALTER TABLE TB_CLASS_REQST DROP COLUMN CLASS_SN;</v>
      </c>
    </row>
    <row r="195" spans="2:35" ht="20.100000000000001" customHeight="1">
      <c r="B195" s="55">
        <v>190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3</v>
      </c>
      <c r="H195" s="97" t="s">
        <v>108</v>
      </c>
      <c r="I195" s="97" t="s">
        <v>119</v>
      </c>
      <c r="J195" s="73" t="s">
        <v>131</v>
      </c>
      <c r="K195" s="69"/>
      <c r="L195" s="69">
        <v>2</v>
      </c>
      <c r="M195" s="13" t="s">
        <v>9</v>
      </c>
      <c r="N195" s="97" t="s">
        <v>108</v>
      </c>
      <c r="O195" s="95" t="s">
        <v>539</v>
      </c>
      <c r="P195" s="95" t="s">
        <v>541</v>
      </c>
      <c r="Q195" s="101" t="s">
        <v>172</v>
      </c>
      <c r="R195" s="83"/>
      <c r="S195" s="81"/>
      <c r="T195" s="107" t="s">
        <v>109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ref="AA195:AA196" si="72">H195&amp;" "&amp;Q195&amp;R195&amp;IF(ISBLANK(K195),""," PRIMARY KEY")&amp;IF(AND(ISBLANK(K195),J195="Y")," NOT NULL","")&amp;","</f>
        <v>USER_SN INTEGER NOT NULL,</v>
      </c>
      <c r="AB195" s="125" t="str">
        <f t="shared" ref="AB195:AB196" si="73">IF(ISBLANK(L195),"","ALTER TABLE " &amp; E195 &amp; " ADD CONSTRAINT " &amp; E195 &amp; "_FKEY" &amp; L195 &amp;  " FOREIGN KEY(" &amp;H195 &amp; ") REFERENCES " &amp; M195 &amp; "(" &amp; N195 &amp; ") "&amp;O195&amp;" "&amp;P195&amp;";")</f>
        <v>ALTER TABLE TB_CLASS_REQST ADD CONSTRAINT TB_CLASS_REQST_FKEY2 FOREIGN KEY(USER_SN) REFERENCES TB_USER(USER_SN) ON UPDATE CASCADE ON DELETE CASCADE;</v>
      </c>
      <c r="AC195" s="125" t="str">
        <f t="shared" ref="AC195:AC196" si="74">IF(ISBLANK(U195),"","CREATE SEQUENCE "&amp;U195&amp;" START 100000;")</f>
        <v/>
      </c>
      <c r="AD195" s="125" t="str">
        <f t="shared" ref="AD195:AD196" si="75">IF(ISBLANK(U195),"","ALTER TABLE "&amp;E195&amp;" ALTER COLUMN "&amp;H195&amp;" SET DEFAULT NEXTVAL('"&amp;U195&amp;"');")</f>
        <v/>
      </c>
      <c r="AE195" s="125" t="str">
        <f t="shared" si="47"/>
        <v/>
      </c>
      <c r="AF195" s="125" t="str">
        <f t="shared" si="48"/>
        <v>COMMENT ON COLUMN TB_CLASS_REQST.USER_SN IS '사용자 일련번호' ;</v>
      </c>
      <c r="AG195" s="125" t="str">
        <f t="shared" ref="AG195:AG196" si="76">"ALTER TABLE "&amp;$E195&amp;" ALTER COLUMN "&amp;$H195&amp;" TYPE "&amp;$Q195&amp;IF(ISBLANK(R195),"",R195)&amp;";"</f>
        <v>ALTER TABLE TB_CLASS_REQST ALTER COLUMN USER_SN TYPE INTEGER;</v>
      </c>
      <c r="AH195" s="131" t="str">
        <f t="shared" si="45"/>
        <v>ALTER TABLE TB_CLASS_REQST ADD COLUMN USER_SN INTEGER NOT NULL;</v>
      </c>
      <c r="AI195" s="125" t="str">
        <f t="shared" si="54"/>
        <v>ALTER TABLE TB_CLASS_REQST DROP COLUMN USER_SN;</v>
      </c>
    </row>
    <row r="196" spans="2:35" ht="20.100000000000001" customHeight="1">
      <c r="B196" s="135">
        <v>189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4</v>
      </c>
      <c r="H196" s="97" t="s">
        <v>840</v>
      </c>
      <c r="I196" s="97" t="s">
        <v>838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172</v>
      </c>
      <c r="R196" s="83"/>
      <c r="S196" s="81"/>
      <c r="T196" s="107" t="s">
        <v>842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si="72"/>
        <v>TOT_REQST_CNT INTEGER NOT NULL,</v>
      </c>
      <c r="AB196" s="125" t="str">
        <f t="shared" si="73"/>
        <v/>
      </c>
      <c r="AC196" s="125" t="str">
        <f t="shared" si="74"/>
        <v/>
      </c>
      <c r="AD196" s="125" t="str">
        <f t="shared" si="75"/>
        <v/>
      </c>
      <c r="AE196" s="125" t="str">
        <f t="shared" si="47"/>
        <v/>
      </c>
      <c r="AF196" s="125" t="str">
        <f t="shared" si="48"/>
        <v>COMMENT ON COLUMN TB_CLASS_REQST.TOT_REQST_CNT IS '총 신청 건수' ;</v>
      </c>
      <c r="AG196" s="125" t="str">
        <f t="shared" si="76"/>
        <v>ALTER TABLE TB_CLASS_REQST ALTER COLUMN TOT_REQST_CNT TYPE INTEGER;</v>
      </c>
      <c r="AH196" s="131" t="str">
        <f t="shared" si="45"/>
        <v>ALTER TABLE TB_CLASS_REQST ADD COLUMN TOT_REQST_CNT INTEGER NOT NULL;</v>
      </c>
      <c r="AI196" s="125" t="str">
        <f t="shared" si="54"/>
        <v>ALTER TABLE TB_CLASS_REQST DROP COLUMN TOT_REQST_CNT;</v>
      </c>
    </row>
    <row r="197" spans="2:35" ht="20.100000000000001" customHeight="1">
      <c r="B197" s="55">
        <v>190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5</v>
      </c>
      <c r="H197" s="97" t="s">
        <v>841</v>
      </c>
      <c r="I197" s="97" t="s">
        <v>839</v>
      </c>
      <c r="J197" s="73" t="s">
        <v>131</v>
      </c>
      <c r="K197" s="69"/>
      <c r="L197" s="69"/>
      <c r="M197" s="13"/>
      <c r="N197" s="97"/>
      <c r="O197" s="95"/>
      <c r="P197" s="95"/>
      <c r="Q197" s="101" t="s">
        <v>173</v>
      </c>
      <c r="R197" s="92" t="s">
        <v>174</v>
      </c>
      <c r="S197" s="81"/>
      <c r="T197" s="107" t="s">
        <v>843</v>
      </c>
      <c r="U197" s="78"/>
      <c r="V197" s="78"/>
      <c r="W197" s="101"/>
      <c r="X197" s="45"/>
      <c r="Y197" s="78"/>
      <c r="Z197" s="130" t="str">
        <f t="shared" si="46"/>
        <v>/* 테이블 : 클래스신청 */ CREATE TABLE TB_CLASS_REQST (</v>
      </c>
      <c r="AA197" s="125" t="str">
        <f t="shared" ref="AA197" si="77">H197&amp;" "&amp;Q197&amp;R197&amp;IF(ISBLANK(K197),""," PRIMARY KEY")&amp;IF(AND(ISBLANK(K197),J197="Y")," NOT NULL","")&amp;","</f>
        <v>TOT_REQST_AMT NUMERIC(21,3) NOT NULL,</v>
      </c>
      <c r="AB197" s="125" t="str">
        <f t="shared" ref="AB197" si="78">IF(ISBLANK(L197),"","ALTER TABLE " &amp; E197 &amp; " ADD CONSTRAINT " &amp; E197 &amp; "_FKEY" &amp; L197 &amp;  " FOREIGN KEY(" &amp;H197 &amp; ") REFERENCES " &amp; M197 &amp; "(" &amp; N197 &amp; ") "&amp;O197&amp;" "&amp;P197&amp;";")</f>
        <v/>
      </c>
      <c r="AC197" s="125" t="str">
        <f t="shared" ref="AC197" si="79">IF(ISBLANK(U197),"","CREATE SEQUENCE "&amp;U197&amp;" START 100000;")</f>
        <v/>
      </c>
      <c r="AD197" s="125" t="str">
        <f t="shared" ref="AD197" si="80">IF(ISBLANK(U197),"","ALTER TABLE "&amp;E197&amp;" ALTER COLUMN "&amp;H197&amp;" SET DEFAULT NEXTVAL('"&amp;U197&amp;"');")</f>
        <v/>
      </c>
      <c r="AE197" s="125" t="str">
        <f t="shared" si="47"/>
        <v/>
      </c>
      <c r="AF197" s="125" t="str">
        <f t="shared" si="48"/>
        <v>COMMENT ON COLUMN TB_CLASS_REQST.TOT_REQST_AMT IS '총 신청 금액' ;</v>
      </c>
      <c r="AG197" s="125" t="str">
        <f t="shared" ref="AG197" si="81">"ALTER TABLE "&amp;$E197&amp;" ALTER COLUMN "&amp;$H197&amp;" TYPE "&amp;$Q197&amp;IF(ISBLANK(R197),"",R197)&amp;";"</f>
        <v>ALTER TABLE TB_CLASS_REQST ALTER COLUMN TOT_REQST_AMT TYPE NUMERIC(21,3);</v>
      </c>
      <c r="AH197" s="131" t="str">
        <f t="shared" si="45"/>
        <v>ALTER TABLE TB_CLASS_REQST ADD COLUMN TOT_REQST_AMT NUMERIC(21,3) NOT NULL;</v>
      </c>
      <c r="AI197" s="125" t="str">
        <f t="shared" si="54"/>
        <v>ALTER TABLE TB_CLASS_REQST DROP COLUMN TOT_REQST_AMT;</v>
      </c>
    </row>
    <row r="198" spans="2:35" ht="20.100000000000001" customHeight="1">
      <c r="B198" s="55">
        <v>191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6</v>
      </c>
      <c r="H198" s="97" t="s">
        <v>107</v>
      </c>
      <c r="I198" s="51" t="s">
        <v>76</v>
      </c>
      <c r="J198" s="73" t="s">
        <v>72</v>
      </c>
      <c r="K198" s="67"/>
      <c r="L198" s="67"/>
      <c r="M198" s="77"/>
      <c r="N198" s="77"/>
      <c r="O198" s="77"/>
      <c r="P198" s="77"/>
      <c r="Q198" s="100" t="s">
        <v>521</v>
      </c>
      <c r="R198" s="119" t="s">
        <v>526</v>
      </c>
      <c r="S198" s="80"/>
      <c r="T198" s="107" t="s">
        <v>219</v>
      </c>
      <c r="U198" s="78"/>
      <c r="V198" s="78"/>
      <c r="W198" s="116" t="s">
        <v>496</v>
      </c>
      <c r="X198" s="45"/>
      <c r="Y198" s="78"/>
      <c r="Z198" s="130" t="str">
        <f t="shared" si="46"/>
        <v>/* 테이블 : 클래스신청 */ CREATE TABLE TB_CLASS_REQST (</v>
      </c>
      <c r="AA198" s="125" t="str">
        <f t="shared" si="67"/>
        <v>REGISTER_ID VARCHAR(50) NOT NULL,</v>
      </c>
      <c r="AB198" s="125" t="str">
        <f t="shared" si="68"/>
        <v/>
      </c>
      <c r="AC198" s="125" t="str">
        <f t="shared" si="69"/>
        <v/>
      </c>
      <c r="AD198" s="125" t="str">
        <f t="shared" si="70"/>
        <v/>
      </c>
      <c r="AE198" s="125" t="str">
        <f t="shared" si="47"/>
        <v/>
      </c>
      <c r="AF198" s="125" t="str">
        <f t="shared" si="48"/>
        <v>COMMENT ON COLUMN TB_CLASS_REQST.REGISTER_ID IS '등록자 ID' ;</v>
      </c>
      <c r="AG198" s="125" t="str">
        <f t="shared" si="71"/>
        <v>ALTER TABLE TB_CLASS_REQST ALTER COLUMN REGISTER_ID TYPE VARCHAR(50);</v>
      </c>
      <c r="AH198" s="131" t="str">
        <f t="shared" si="45"/>
        <v>ALTER TABLE TB_CLASS_REQST ADD COLUMN REGISTER_ID VARCHAR(50) NOT NULL;</v>
      </c>
      <c r="AI198" s="125" t="str">
        <f t="shared" si="54"/>
        <v>ALTER TABLE TB_CLASS_REQST DROP COLUMN REGISTER_ID;</v>
      </c>
    </row>
    <row r="199" spans="2:35" ht="20.100000000000001" customHeight="1">
      <c r="B199" s="55">
        <v>192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7</v>
      </c>
      <c r="H199" s="97" t="s">
        <v>91</v>
      </c>
      <c r="I199" s="51" t="s">
        <v>77</v>
      </c>
      <c r="J199" s="73" t="s">
        <v>72</v>
      </c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218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7"/>
        <v>REGISTER_IP VARCHAR(100) NOT NULL,</v>
      </c>
      <c r="AB199" s="125" t="str">
        <f t="shared" si="68"/>
        <v/>
      </c>
      <c r="AC199" s="125" t="str">
        <f t="shared" si="69"/>
        <v/>
      </c>
      <c r="AD199" s="125" t="str">
        <f t="shared" si="70"/>
        <v/>
      </c>
      <c r="AE199" s="125" t="str">
        <f t="shared" si="47"/>
        <v/>
      </c>
      <c r="AF199" s="125" t="str">
        <f t="shared" si="48"/>
        <v>COMMENT ON COLUMN TB_CLASS_REQST.REGISTER_IP IS '등록자 IP' ;</v>
      </c>
      <c r="AG199" s="125" t="str">
        <f t="shared" si="71"/>
        <v>ALTER TABLE TB_CLASS_REQST ALTER COLUMN REGISTER_IP TYPE VARCHAR(100);</v>
      </c>
      <c r="AH199" s="131" t="str">
        <f t="shared" ref="AH199:AH262" si="82">"ALTER TABLE "&amp;$E199&amp;" ADD COLUMN "&amp;$H199&amp;" "&amp;$Q199&amp;IF(ISBLANK(R199),"",$R199)&amp;IF(ISBLANK($J199),""," NOT NULL")&amp;IF(ISBLANK($S199),""," DEFAULT " &amp; $S199 ) &amp; ";"</f>
        <v>ALTER TABLE TB_CLASS_REQST ADD COLUMN REGISTER_IP VARCHAR(100) NOT NULL;</v>
      </c>
      <c r="AI199" s="125" t="str">
        <f t="shared" si="54"/>
        <v>ALTER TABLE TB_CLASS_REQST DROP COLUMN REGISTER_IP;</v>
      </c>
    </row>
    <row r="200" spans="2:35" ht="20.100000000000001" customHeight="1">
      <c r="B200" s="135">
        <v>193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8</v>
      </c>
      <c r="H200" s="97" t="s">
        <v>92</v>
      </c>
      <c r="I200" s="96" t="s">
        <v>78</v>
      </c>
      <c r="J200" s="73" t="s">
        <v>72</v>
      </c>
      <c r="K200" s="52"/>
      <c r="L200" s="52"/>
      <c r="M200" s="52"/>
      <c r="N200" s="52"/>
      <c r="O200" s="52"/>
      <c r="P200" s="52"/>
      <c r="Q200" s="51" t="s">
        <v>702</v>
      </c>
      <c r="R200" s="119"/>
      <c r="S200" s="80"/>
      <c r="T200" s="107" t="s">
        <v>217</v>
      </c>
      <c r="U200" s="78"/>
      <c r="V200" s="78"/>
      <c r="W200" s="101"/>
      <c r="X200" s="45"/>
      <c r="Y200" s="78"/>
      <c r="Z200" s="130" t="str">
        <f t="shared" si="46"/>
        <v>/* 테이블 : 클래스신청 */ CREATE TABLE TB_CLASS_REQST (</v>
      </c>
      <c r="AA200" s="125" t="str">
        <f t="shared" si="67"/>
        <v>REG_DT TIMESTAMP NOT NULL,</v>
      </c>
      <c r="AB200" s="125" t="str">
        <f t="shared" si="68"/>
        <v/>
      </c>
      <c r="AC200" s="125" t="str">
        <f t="shared" si="69"/>
        <v/>
      </c>
      <c r="AD200" s="125" t="str">
        <f t="shared" si="70"/>
        <v/>
      </c>
      <c r="AE200" s="125" t="str">
        <f t="shared" si="47"/>
        <v/>
      </c>
      <c r="AF200" s="125" t="str">
        <f t="shared" si="48"/>
        <v>COMMENT ON COLUMN TB_CLASS_REQST.REG_DT IS '등록 일시' ;</v>
      </c>
      <c r="AG200" s="125" t="str">
        <f t="shared" si="71"/>
        <v>ALTER TABLE TB_CLASS_REQST ALTER COLUMN REG_DT TYPE TIMESTAMP;</v>
      </c>
      <c r="AH200" s="131" t="str">
        <f t="shared" si="82"/>
        <v>ALTER TABLE TB_CLASS_REQST ADD COLUMN REG_DT TIMESTAMP NOT NULL;</v>
      </c>
      <c r="AI200" s="125" t="str">
        <f t="shared" si="54"/>
        <v>ALTER TABLE TB_CLASS_REQST DROP COLUMN REG_DT;</v>
      </c>
    </row>
    <row r="201" spans="2:35" ht="20.100000000000001" customHeight="1">
      <c r="B201" s="55">
        <v>194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9</v>
      </c>
      <c r="H201" s="97" t="s">
        <v>93</v>
      </c>
      <c r="I201" s="96" t="s">
        <v>80</v>
      </c>
      <c r="J201" s="52"/>
      <c r="K201" s="52"/>
      <c r="L201" s="52"/>
      <c r="M201" s="79"/>
      <c r="N201" s="79"/>
      <c r="O201" s="79"/>
      <c r="P201" s="79"/>
      <c r="Q201" s="100" t="s">
        <v>521</v>
      </c>
      <c r="R201" s="119" t="s">
        <v>526</v>
      </c>
      <c r="S201" s="80"/>
      <c r="T201" s="107" t="s">
        <v>216</v>
      </c>
      <c r="U201" s="78"/>
      <c r="V201" s="78"/>
      <c r="W201" s="116" t="s">
        <v>496</v>
      </c>
      <c r="X201" s="45"/>
      <c r="Y201" s="78"/>
      <c r="Z201" s="130" t="str">
        <f t="shared" si="46"/>
        <v>/* 테이블 : 클래스신청 */ CREATE TABLE TB_CLASS_REQST (</v>
      </c>
      <c r="AA201" s="125" t="str">
        <f t="shared" si="67"/>
        <v>UPDUSR_ID VARCHAR(50),</v>
      </c>
      <c r="AB201" s="125" t="str">
        <f t="shared" si="68"/>
        <v/>
      </c>
      <c r="AC201" s="125" t="str">
        <f t="shared" si="69"/>
        <v/>
      </c>
      <c r="AD201" s="125" t="str">
        <f t="shared" si="70"/>
        <v/>
      </c>
      <c r="AE201" s="125" t="str">
        <f t="shared" si="47"/>
        <v/>
      </c>
      <c r="AF201" s="125" t="str">
        <f t="shared" si="48"/>
        <v>COMMENT ON COLUMN TB_CLASS_REQST.UPDUSR_ID IS '수정자 ID' ;</v>
      </c>
      <c r="AG201" s="125" t="str">
        <f t="shared" si="71"/>
        <v>ALTER TABLE TB_CLASS_REQST ALTER COLUMN UPDUSR_ID TYPE VARCHAR(50);</v>
      </c>
      <c r="AH201" s="131" t="str">
        <f t="shared" si="82"/>
        <v>ALTER TABLE TB_CLASS_REQST ADD COLUMN UPDUSR_ID VARCHAR(50);</v>
      </c>
      <c r="AI201" s="125" t="str">
        <f t="shared" si="54"/>
        <v>ALTER TABLE TB_CLASS_REQST DROP COLUMN UPDUSR_ID;</v>
      </c>
    </row>
    <row r="202" spans="2:35" ht="20.100000000000001" customHeight="1">
      <c r="B202" s="55">
        <v>195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10</v>
      </c>
      <c r="H202" s="97" t="s">
        <v>94</v>
      </c>
      <c r="I202" s="96" t="s">
        <v>79</v>
      </c>
      <c r="J202" s="52"/>
      <c r="K202" s="52"/>
      <c r="L202" s="52"/>
      <c r="M202" s="52"/>
      <c r="N202" s="52"/>
      <c r="O202" s="52"/>
      <c r="P202" s="52"/>
      <c r="Q202" s="56" t="s">
        <v>106</v>
      </c>
      <c r="R202" s="119" t="s">
        <v>527</v>
      </c>
      <c r="S202" s="80"/>
      <c r="T202" s="107" t="s">
        <v>215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7"/>
        <v>UPDUSR_IP VARCHAR(100),</v>
      </c>
      <c r="AB202" s="125" t="str">
        <f t="shared" si="68"/>
        <v/>
      </c>
      <c r="AC202" s="125" t="str">
        <f t="shared" si="69"/>
        <v/>
      </c>
      <c r="AD202" s="125" t="str">
        <f t="shared" si="70"/>
        <v/>
      </c>
      <c r="AE202" s="125" t="str">
        <f t="shared" si="47"/>
        <v/>
      </c>
      <c r="AF202" s="125" t="str">
        <f t="shared" si="48"/>
        <v>COMMENT ON COLUMN TB_CLASS_REQST.UPDUSR_IP IS '수정자 IP' ;</v>
      </c>
      <c r="AG202" s="125" t="str">
        <f t="shared" si="71"/>
        <v>ALTER TABLE TB_CLASS_REQST ALTER COLUMN UPDUSR_IP TYPE VARCHAR(100);</v>
      </c>
      <c r="AH202" s="131" t="str">
        <f t="shared" si="82"/>
        <v>ALTER TABLE TB_CLASS_REQST ADD COLUMN UPDUSR_IP VARCHAR(100);</v>
      </c>
      <c r="AI202" s="125" t="str">
        <f t="shared" si="54"/>
        <v>ALTER TABLE TB_CLASS_REQST DROP COLUMN UPDUSR_IP;</v>
      </c>
    </row>
    <row r="203" spans="2:35" ht="20.100000000000001" customHeight="1">
      <c r="B203" s="55">
        <v>196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11</v>
      </c>
      <c r="H203" s="98" t="s">
        <v>95</v>
      </c>
      <c r="I203" s="97" t="s">
        <v>81</v>
      </c>
      <c r="J203" s="61"/>
      <c r="K203" s="61"/>
      <c r="L203" s="61"/>
      <c r="M203" s="61"/>
      <c r="N203" s="61"/>
      <c r="O203" s="61"/>
      <c r="P203" s="61"/>
      <c r="Q203" s="51" t="s">
        <v>702</v>
      </c>
      <c r="R203" s="119"/>
      <c r="S203" s="77"/>
      <c r="T203" s="107" t="s">
        <v>214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7"/>
        <v>UPDT_DT TIMESTAMP,</v>
      </c>
      <c r="AB203" s="125" t="str">
        <f t="shared" si="68"/>
        <v/>
      </c>
      <c r="AC203" s="125" t="str">
        <f t="shared" si="69"/>
        <v/>
      </c>
      <c r="AD203" s="125" t="str">
        <f t="shared" si="70"/>
        <v/>
      </c>
      <c r="AE203" s="125" t="str">
        <f t="shared" si="47"/>
        <v/>
      </c>
      <c r="AF203" s="125" t="str">
        <f t="shared" si="48"/>
        <v>COMMENT ON COLUMN TB_CLASS_REQST.UPDT_DT IS '수정 일시' ;</v>
      </c>
      <c r="AG203" s="125" t="str">
        <f t="shared" si="71"/>
        <v>ALTER TABLE TB_CLASS_REQST ALTER COLUMN UPDT_DT TYPE TIMESTAMP;</v>
      </c>
      <c r="AH203" s="131" t="str">
        <f t="shared" si="82"/>
        <v>ALTER TABLE TB_CLASS_REQST ADD COLUMN UPDT_DT TIMESTAMP;</v>
      </c>
      <c r="AI203" s="125" t="str">
        <f t="shared" si="54"/>
        <v>ALTER TABLE TB_CLASS_REQST DROP COLUMN UPDT_DT;</v>
      </c>
    </row>
    <row r="204" spans="2:35" ht="20.100000000000001" customHeight="1">
      <c r="B204" s="135">
        <v>197</v>
      </c>
      <c r="C204" s="26" t="s">
        <v>7</v>
      </c>
      <c r="D204" s="25" t="s">
        <v>11</v>
      </c>
      <c r="E204" s="10" t="s">
        <v>50</v>
      </c>
      <c r="F204" s="10" t="s">
        <v>49</v>
      </c>
      <c r="G204" s="92">
        <v>12</v>
      </c>
      <c r="H204" s="97" t="s">
        <v>96</v>
      </c>
      <c r="I204" s="97" t="s">
        <v>82</v>
      </c>
      <c r="J204" s="73" t="s">
        <v>72</v>
      </c>
      <c r="K204" s="61"/>
      <c r="L204" s="61"/>
      <c r="M204" s="61"/>
      <c r="N204" s="61"/>
      <c r="O204" s="61"/>
      <c r="P204" s="61"/>
      <c r="Q204" s="51" t="s">
        <v>800</v>
      </c>
      <c r="R204" s="119" t="s">
        <v>522</v>
      </c>
      <c r="S204" s="82" t="s">
        <v>799</v>
      </c>
      <c r="T204" s="107" t="s">
        <v>213</v>
      </c>
      <c r="U204" s="78"/>
      <c r="V204" s="78"/>
      <c r="W204" s="101"/>
      <c r="X204" s="45"/>
      <c r="Y204" s="78"/>
      <c r="Z204" s="130" t="str">
        <f t="shared" si="46"/>
        <v>/* 테이블 : 클래스신청 */ CREATE TABLE TB_CLASS_REQST (</v>
      </c>
      <c r="AA204" s="125" t="str">
        <f t="shared" si="67"/>
        <v>DEL_YN BPCHAR(1) NOT NULL,</v>
      </c>
      <c r="AB204" s="125" t="str">
        <f t="shared" si="68"/>
        <v/>
      </c>
      <c r="AC204" s="125" t="str">
        <f t="shared" si="69"/>
        <v/>
      </c>
      <c r="AD204" s="125" t="str">
        <f t="shared" si="70"/>
        <v/>
      </c>
      <c r="AE204" s="125" t="str">
        <f t="shared" si="47"/>
        <v>ALTER TABLE TB_CLASS_REQST ALTER COLUMN DEL_YN SET DEFAULT 'N'::bpchar;</v>
      </c>
      <c r="AF204" s="125" t="str">
        <f t="shared" si="48"/>
        <v>COMMENT ON COLUMN TB_CLASS_REQST.DEL_YN IS '삭제 여부' ;</v>
      </c>
      <c r="AG204" s="125" t="str">
        <f t="shared" si="71"/>
        <v>ALTER TABLE TB_CLASS_REQST ALTER COLUMN DEL_YN TYPE BPCHAR(1);</v>
      </c>
      <c r="AH204" s="131" t="str">
        <f t="shared" si="82"/>
        <v>ALTER TABLE TB_CLASS_REQST ADD COLUMN DEL_YN BPCHAR(1) NOT NULL DEFAULT 'N'::bpchar;</v>
      </c>
      <c r="AI204" s="125" t="str">
        <f t="shared" si="54"/>
        <v>ALTER TABLE TB_CLASS_REQST DROP COLUMN DEL_YN;</v>
      </c>
    </row>
    <row r="205" spans="2:35" ht="20.100000000000001" customHeight="1">
      <c r="B205" s="55">
        <v>198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1</v>
      </c>
      <c r="H205" s="97" t="s">
        <v>253</v>
      </c>
      <c r="I205" s="97" t="s">
        <v>257</v>
      </c>
      <c r="J205" s="73" t="s">
        <v>191</v>
      </c>
      <c r="K205" s="69">
        <v>1</v>
      </c>
      <c r="L205" s="69"/>
      <c r="M205" s="69"/>
      <c r="N205" s="69"/>
      <c r="O205" s="69"/>
      <c r="P205" s="69"/>
      <c r="Q205" s="101" t="s">
        <v>172</v>
      </c>
      <c r="R205" s="83"/>
      <c r="S205" s="81"/>
      <c r="T205" s="107" t="s">
        <v>256</v>
      </c>
      <c r="U205" s="125" t="str">
        <f>"SEQ_"&amp;E205&amp;"_SN"</f>
        <v>SEQ_TB_LCTRE_SN</v>
      </c>
      <c r="V205" s="125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LCTRE_SN INTEGER PRIMARY KEY,</v>
      </c>
      <c r="AB205" s="125" t="str">
        <f t="shared" si="49"/>
        <v/>
      </c>
      <c r="AC205" s="125" t="str">
        <f t="shared" si="50"/>
        <v>CREATE SEQUENCE SEQ_TB_LCTRE_SN START 100000;</v>
      </c>
      <c r="AD205" s="125" t="str">
        <f t="shared" si="52"/>
        <v>ALTER TABLE TB_LCTRE ALTER COLUMN LCTRE_SN SET DEFAULT NEXTVAL('SEQ_TB_LCTRE_SN');</v>
      </c>
      <c r="AE205" s="125" t="str">
        <f t="shared" si="47"/>
        <v/>
      </c>
      <c r="AF205" s="125" t="str">
        <f t="shared" si="48"/>
        <v>COMMENT ON COLUMN TB_LCTRE.LCTRE_SN IS '수업 일련번호' ;</v>
      </c>
      <c r="AG205" s="125" t="str">
        <f t="shared" si="53"/>
        <v>ALTER TABLE TB_LCTRE ALTER COLUMN LCTRE_SN TYPE INTEGER;</v>
      </c>
      <c r="AH205" s="131" t="str">
        <f t="shared" si="82"/>
        <v>ALTER TABLE TB_LCTRE ADD COLUMN LCTRE_SN INTEGER NOT NULL;</v>
      </c>
      <c r="AI205" s="125" t="str">
        <f t="shared" si="54"/>
        <v>ALTER TABLE TB_LCTRE DROP COLUMN LCTRE_SN;</v>
      </c>
    </row>
    <row r="206" spans="2:35" ht="20.100000000000001" customHeight="1">
      <c r="B206" s="55">
        <v>199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2</v>
      </c>
      <c r="H206" s="101" t="s">
        <v>162</v>
      </c>
      <c r="I206" s="97" t="s">
        <v>187</v>
      </c>
      <c r="J206" s="73" t="s">
        <v>191</v>
      </c>
      <c r="K206" s="69"/>
      <c r="L206" s="69">
        <v>1</v>
      </c>
      <c r="M206" s="13" t="s">
        <v>22</v>
      </c>
      <c r="N206" s="101" t="s">
        <v>162</v>
      </c>
      <c r="O206" s="95" t="s">
        <v>539</v>
      </c>
      <c r="P206" s="95" t="s">
        <v>541</v>
      </c>
      <c r="Q206" s="101" t="s">
        <v>172</v>
      </c>
      <c r="R206" s="83"/>
      <c r="S206" s="81"/>
      <c r="T206" s="107" t="s">
        <v>175</v>
      </c>
      <c r="U206" s="78"/>
      <c r="V206" s="78"/>
      <c r="W206" s="101"/>
      <c r="X206" s="45"/>
      <c r="Y206" s="78"/>
      <c r="Z206" s="130" t="str">
        <f t="shared" si="46"/>
        <v>/* 테이블 : 수업 */ CREATE TABLE TB_LCTRE (</v>
      </c>
      <c r="AA206" s="125" t="str">
        <f t="shared" si="51"/>
        <v>CLASS_SN INTEGER NOT NULL,</v>
      </c>
      <c r="AB206" s="125" t="str">
        <f t="shared" si="49"/>
        <v>ALTER TABLE TB_LCTRE ADD CONSTRAINT TB_LCTRE_FKEY1 FOREIGN KEY(CLASS_SN) REFERENCES TB_CLASS(CLASS_SN) ON UPDATE CASCADE ON DELETE CASCADE;</v>
      </c>
      <c r="AC206" s="125" t="str">
        <f t="shared" si="50"/>
        <v/>
      </c>
      <c r="AD206" s="125" t="str">
        <f t="shared" si="52"/>
        <v/>
      </c>
      <c r="AE206" s="125" t="str">
        <f t="shared" si="47"/>
        <v/>
      </c>
      <c r="AF206" s="125" t="str">
        <f t="shared" si="48"/>
        <v>COMMENT ON COLUMN TB_LCTRE.CLASS_SN IS '클래스 일련번호' ;</v>
      </c>
      <c r="AG206" s="125" t="str">
        <f t="shared" si="53"/>
        <v>ALTER TABLE TB_LCTRE ALTER COLUMN CLASS_SN TYPE INTEGER;</v>
      </c>
      <c r="AH206" s="131" t="str">
        <f t="shared" si="82"/>
        <v>ALTER TABLE TB_LCTRE ADD COLUMN CLASS_SN INTEGER NOT NULL;</v>
      </c>
      <c r="AI206" s="125" t="str">
        <f t="shared" si="54"/>
        <v>ALTER TABLE TB_LCTRE DROP COLUMN CLASS_SN;</v>
      </c>
    </row>
    <row r="207" spans="2:35" ht="20.100000000000001" customHeight="1">
      <c r="B207" s="55">
        <v>200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3</v>
      </c>
      <c r="H207" s="101" t="s">
        <v>204</v>
      </c>
      <c r="I207" s="97" t="s">
        <v>205</v>
      </c>
      <c r="J207" s="73" t="s">
        <v>191</v>
      </c>
      <c r="K207" s="69"/>
      <c r="L207" s="69"/>
      <c r="M207" s="13"/>
      <c r="N207" s="101"/>
      <c r="O207" s="95"/>
      <c r="P207" s="95"/>
      <c r="Q207" s="101" t="s">
        <v>106</v>
      </c>
      <c r="R207" s="119" t="s">
        <v>526</v>
      </c>
      <c r="S207" s="81"/>
      <c r="T207" s="107" t="s">
        <v>207</v>
      </c>
      <c r="U207" s="78"/>
      <c r="V207" s="78"/>
      <c r="W207" s="101"/>
      <c r="X207" s="45"/>
      <c r="Y207" s="78"/>
      <c r="Z207" s="130" t="str">
        <f t="shared" ref="Z207:Z270" si="83">"/* 테이블 : "&amp; $F207 &amp;" */ CREATE TABLE "&amp;$E207&amp;" ("</f>
        <v>/* 테이블 : 수업 */ CREATE TABLE TB_LCTRE (</v>
      </c>
      <c r="AA207" s="125" t="str">
        <f t="shared" si="51"/>
        <v>CLASS_DAY_CD VARCHAR(50)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ref="AE207:AE270" si="84">IF(ISBLANK($S207),"","ALTER TABLE " &amp; $E207 &amp; " ALTER COLUMN " &amp; $H207 &amp; " SET DEFAULT " &amp; $S207 &amp; ";")</f>
        <v/>
      </c>
      <c r="AF207" s="125" t="str">
        <f t="shared" ref="AF207:AF270" si="85">"COMMENT ON COLUMN "&amp;$E207&amp;"."&amp;$H207&amp;" IS '"&amp;$T207&amp;"' ;"</f>
        <v>COMMENT ON COLUMN TB_LCTRE.CLASS_DAY_CD IS '클래스 요일 코드' ;</v>
      </c>
      <c r="AG207" s="125" t="str">
        <f t="shared" si="53"/>
        <v>ALTER TABLE TB_LCTRE ALTER COLUMN CLASS_DAY_CD TYPE VARCHAR(50);</v>
      </c>
      <c r="AH207" s="131" t="str">
        <f t="shared" si="82"/>
        <v>ALTER TABLE TB_LCTRE ADD COLUMN CLASS_DAY_CD VARCHAR(50) NOT NULL;</v>
      </c>
      <c r="AI207" s="125" t="str">
        <f t="shared" si="54"/>
        <v>ALTER TABLE TB_LCTRE DROP COLUMN CLASS_DAY_CD;</v>
      </c>
    </row>
    <row r="208" spans="2:35" ht="20.100000000000001" customHeight="1">
      <c r="B208" s="135">
        <v>201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4</v>
      </c>
      <c r="H208" s="97" t="s">
        <v>211</v>
      </c>
      <c r="I208" s="97" t="s">
        <v>210</v>
      </c>
      <c r="J208" s="73" t="s">
        <v>191</v>
      </c>
      <c r="K208" s="69"/>
      <c r="L208" s="69"/>
      <c r="M208" s="69"/>
      <c r="N208" s="69"/>
      <c r="O208" s="69"/>
      <c r="P208" s="69"/>
      <c r="Q208" s="104" t="s">
        <v>229</v>
      </c>
      <c r="R208" s="47"/>
      <c r="S208" s="81"/>
      <c r="T208" s="107" t="s">
        <v>220</v>
      </c>
      <c r="U208" s="125"/>
      <c r="V208" s="125"/>
      <c r="W208" s="101"/>
      <c r="X208" s="45"/>
      <c r="Y208" s="78"/>
      <c r="Z208" s="130" t="str">
        <f t="shared" si="83"/>
        <v>/* 테이블 : 수업 */ CREATE TABLE TB_LCTRE (</v>
      </c>
      <c r="AA208" s="125" t="str">
        <f t="shared" si="51"/>
        <v>LCTRE_SEQ INTEGER NOT NULL,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84"/>
        <v/>
      </c>
      <c r="AF208" s="125" t="str">
        <f t="shared" si="85"/>
        <v>COMMENT ON COLUMN TB_LCTRE.LCTRE_SEQ IS '수업 순번' ;</v>
      </c>
      <c r="AG208" s="125" t="str">
        <f t="shared" si="53"/>
        <v>ALTER TABLE TB_LCTRE ALTER COLUMN LCTRE_SEQ TYPE INTEGER;</v>
      </c>
      <c r="AH208" s="131" t="str">
        <f t="shared" si="82"/>
        <v>ALTER TABLE TB_LCTRE ADD COLUMN LCTRE_SEQ INTEGER NOT NULL;</v>
      </c>
      <c r="AI208" s="125" t="str">
        <f t="shared" si="54"/>
        <v>ALTER TABLE TB_LCTRE DROP COLUMN LCTRE_SEQ;</v>
      </c>
    </row>
    <row r="209" spans="2:35" ht="20.100000000000001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5</v>
      </c>
      <c r="H209" s="97" t="s">
        <v>617</v>
      </c>
      <c r="I209" s="97" t="s">
        <v>618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528</v>
      </c>
      <c r="S209" s="81"/>
      <c r="T209" s="107" t="s">
        <v>619</v>
      </c>
      <c r="U209" s="78"/>
      <c r="V209" s="78"/>
      <c r="W209" s="101"/>
      <c r="X209" s="45"/>
      <c r="Y209" s="78"/>
      <c r="Z209" s="130" t="str">
        <f t="shared" si="83"/>
        <v>/* 테이블 : 수업 */ CREATE TABLE TB_LCTRE (</v>
      </c>
      <c r="AA209" s="125" t="str">
        <f t="shared" si="51"/>
        <v>LCTRE_SJ VARCHAR(255),</v>
      </c>
      <c r="AB209" s="125" t="str">
        <f t="shared" si="49"/>
        <v/>
      </c>
      <c r="AC209" s="125" t="str">
        <f t="shared" si="50"/>
        <v/>
      </c>
      <c r="AD209" s="125" t="str">
        <f t="shared" si="52"/>
        <v/>
      </c>
      <c r="AE209" s="125" t="str">
        <f t="shared" si="84"/>
        <v/>
      </c>
      <c r="AF209" s="125" t="str">
        <f t="shared" si="85"/>
        <v>COMMENT ON COLUMN TB_LCTRE.LCTRE_SJ IS '수업 제목' ;</v>
      </c>
      <c r="AG209" s="125" t="str">
        <f t="shared" si="53"/>
        <v>ALTER TABLE TB_LCTRE ALTER COLUMN LCTRE_SJ TYPE VARCHAR(255);</v>
      </c>
      <c r="AH209" s="131" t="str">
        <f t="shared" si="82"/>
        <v>ALTER TABLE TB_LCTRE ADD COLUMN LCTRE_SJ VARCHAR(255);</v>
      </c>
      <c r="AI209" s="125" t="str">
        <f t="shared" si="54"/>
        <v>ALTER TABLE TB_LCTRE DROP COLUMN LCTRE_SJ;</v>
      </c>
    </row>
    <row r="210" spans="2:35" ht="20.100000000000001" customHeight="1">
      <c r="B210" s="55">
        <v>202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6</v>
      </c>
      <c r="H210" s="97" t="s">
        <v>837</v>
      </c>
      <c r="I210" s="97" t="s">
        <v>835</v>
      </c>
      <c r="J210" s="73"/>
      <c r="K210" s="69"/>
      <c r="L210" s="69"/>
      <c r="M210" s="69"/>
      <c r="N210" s="69"/>
      <c r="O210" s="69"/>
      <c r="P210" s="69"/>
      <c r="Q210" s="51" t="s">
        <v>106</v>
      </c>
      <c r="R210" s="120" t="s">
        <v>749</v>
      </c>
      <c r="S210" s="81"/>
      <c r="T210" s="107" t="s">
        <v>836</v>
      </c>
      <c r="U210" s="78"/>
      <c r="V210" s="78"/>
      <c r="W210" s="101"/>
      <c r="X210" s="45"/>
      <c r="Y210" s="78"/>
      <c r="Z210" s="130" t="str">
        <f t="shared" si="83"/>
        <v>/* 테이블 : 수업 */ CREATE TABLE TB_LCTRE (</v>
      </c>
      <c r="AA210" s="125" t="str">
        <f t="shared" ref="AA210" si="86">H210&amp;" "&amp;Q210&amp;R210&amp;IF(ISBLANK(K210),""," PRIMARY KEY")&amp;IF(AND(ISBLANK(K210),J210="Y")," NOT NULL","")&amp;","</f>
        <v>LCTRE_DT VARCHAR(16),</v>
      </c>
      <c r="AB210" s="125" t="str">
        <f t="shared" ref="AB210" si="87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8">IF(ISBLANK(U210),"","CREATE SEQUENCE "&amp;U210&amp;" START 100000;")</f>
        <v/>
      </c>
      <c r="AD210" s="125" t="str">
        <f t="shared" ref="AD210" si="89">IF(ISBLANK(U210),"","ALTER TABLE "&amp;E210&amp;" ALTER COLUMN "&amp;H210&amp;" SET DEFAULT NEXTVAL('"&amp;U210&amp;"');")</f>
        <v/>
      </c>
      <c r="AE210" s="125" t="str">
        <f t="shared" si="84"/>
        <v/>
      </c>
      <c r="AF210" s="125" t="str">
        <f t="shared" si="85"/>
        <v>COMMENT ON COLUMN TB_LCTRE.LCTRE_DT IS '수업 일시' ;</v>
      </c>
      <c r="AG210" s="125" t="str">
        <f t="shared" ref="AG210" si="90">"ALTER TABLE "&amp;$E210&amp;" ALTER COLUMN "&amp;$H210&amp;" TYPE "&amp;$Q210&amp;IF(ISBLANK(R210),"",R210)&amp;";"</f>
        <v>ALTER TABLE TB_LCTRE ALTER COLUMN LCTRE_DT TYPE VARCHAR(16);</v>
      </c>
      <c r="AH210" s="131" t="str">
        <f t="shared" si="82"/>
        <v>ALTER TABLE TB_LCTRE ADD COLUMN LCTRE_DT VARCHAR(16);</v>
      </c>
      <c r="AI210" s="125" t="str">
        <f t="shared" si="54"/>
        <v>ALTER TABLE TB_LCTRE DROP COLUMN LCTRE_DT;</v>
      </c>
    </row>
    <row r="211" spans="2:35" ht="20.100000000000001" customHeight="1">
      <c r="B211" s="55">
        <v>203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7</v>
      </c>
      <c r="H211" s="97" t="s">
        <v>778</v>
      </c>
      <c r="I211" s="97" t="s">
        <v>780</v>
      </c>
      <c r="J211" s="73"/>
      <c r="K211" s="69"/>
      <c r="L211" s="69"/>
      <c r="M211" s="69"/>
      <c r="N211" s="69"/>
      <c r="O211" s="69"/>
      <c r="P211" s="69"/>
      <c r="Q211" s="101" t="s">
        <v>173</v>
      </c>
      <c r="R211" s="92" t="s">
        <v>174</v>
      </c>
      <c r="S211" s="45"/>
      <c r="T211" s="101" t="s">
        <v>779</v>
      </c>
      <c r="U211" s="78"/>
      <c r="V211" s="78"/>
      <c r="W211" s="101"/>
      <c r="X211" s="45"/>
      <c r="Y211" s="78"/>
      <c r="Z211" s="130" t="str">
        <f t="shared" si="83"/>
        <v>/* 테이블 : 수업 */ CREATE TABLE TB_LCTRE (</v>
      </c>
      <c r="AA211" s="125" t="str">
        <f t="shared" ref="AA211" si="91">H211&amp;" "&amp;Q211&amp;R211&amp;IF(ISBLANK(K211),""," PRIMARY KEY")&amp;IF(AND(ISBLANK(K211),J211="Y")," NOT NULL","")&amp;","</f>
        <v>LCTRE_AMT NUMERIC(21,3),</v>
      </c>
      <c r="AB211" s="125" t="str">
        <f t="shared" ref="AB211" si="92">IF(ISBLANK(L211),"","ALTER TABLE " &amp; E211 &amp; " ADD CONSTRAINT " &amp; E211 &amp; "_FKEY" &amp; L211 &amp;  " FOREIGN KEY(" &amp;H211 &amp; ") REFERENCES " &amp; M211 &amp; "(" &amp; N211 &amp; ") "&amp;O211&amp;" "&amp;P211&amp;";")</f>
        <v/>
      </c>
      <c r="AC211" s="125" t="str">
        <f t="shared" ref="AC211" si="93">IF(ISBLANK(U211),"","CREATE SEQUENCE "&amp;U211&amp;" START 100000;")</f>
        <v/>
      </c>
      <c r="AD211" s="125" t="str">
        <f t="shared" ref="AD211" si="94">IF(ISBLANK(U211),"","ALTER TABLE "&amp;E211&amp;" ALTER COLUMN "&amp;H211&amp;" SET DEFAULT NEXTVAL('"&amp;U211&amp;"');")</f>
        <v/>
      </c>
      <c r="AE211" s="125" t="str">
        <f t="shared" si="84"/>
        <v/>
      </c>
      <c r="AF211" s="125" t="str">
        <f t="shared" si="85"/>
        <v>COMMENT ON COLUMN TB_LCTRE.LCTRE_AMT IS '수업 금액' ;</v>
      </c>
      <c r="AG211" s="125" t="str">
        <f t="shared" ref="AG211" si="95">"ALTER TABLE "&amp;$E211&amp;" ALTER COLUMN "&amp;$H211&amp;" TYPE "&amp;$Q211&amp;IF(ISBLANK(R211),"",R211)&amp;";"</f>
        <v>ALTER TABLE TB_LCTRE ALTER COLUMN LCTRE_AMT TYPE NUMERIC(21,3);</v>
      </c>
      <c r="AH211" s="131" t="str">
        <f t="shared" si="82"/>
        <v>ALTER TABLE TB_LCTRE ADD COLUMN LCTRE_AMT NUMERIC(21,3);</v>
      </c>
      <c r="AI211" s="125" t="str">
        <f t="shared" si="54"/>
        <v>ALTER TABLE TB_LCTRE DROP COLUMN LCTRE_AMT;</v>
      </c>
    </row>
    <row r="212" spans="2:35" ht="20.100000000000001" customHeight="1">
      <c r="B212" s="55">
        <v>204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8</v>
      </c>
      <c r="H212" s="97" t="s">
        <v>212</v>
      </c>
      <c r="I212" s="97" t="s">
        <v>209</v>
      </c>
      <c r="J212" s="73"/>
      <c r="K212" s="69"/>
      <c r="L212" s="69"/>
      <c r="M212" s="69"/>
      <c r="N212" s="69"/>
      <c r="O212" s="69"/>
      <c r="P212" s="69"/>
      <c r="Q212" s="64" t="s">
        <v>170</v>
      </c>
      <c r="R212" s="119" t="s">
        <v>528</v>
      </c>
      <c r="S212" s="81"/>
      <c r="T212" s="107" t="s">
        <v>221</v>
      </c>
      <c r="U212" s="78"/>
      <c r="V212" s="78"/>
      <c r="W212" s="101"/>
      <c r="X212" s="45"/>
      <c r="Y212" s="78"/>
      <c r="Z212" s="130" t="str">
        <f t="shared" si="83"/>
        <v>/* 테이블 : 수업 */ CREATE TABLE TB_LCTRE (</v>
      </c>
      <c r="AA212" s="125" t="str">
        <f t="shared" si="51"/>
        <v>LCTRE_DC VARCHAR(255),</v>
      </c>
      <c r="AB212" s="125" t="str">
        <f t="shared" si="49"/>
        <v/>
      </c>
      <c r="AC212" s="125" t="str">
        <f t="shared" si="50"/>
        <v/>
      </c>
      <c r="AD212" s="125" t="str">
        <f t="shared" si="52"/>
        <v/>
      </c>
      <c r="AE212" s="125" t="str">
        <f t="shared" si="84"/>
        <v/>
      </c>
      <c r="AF212" s="125" t="str">
        <f t="shared" si="85"/>
        <v>COMMENT ON COLUMN TB_LCTRE.LCTRE_DC IS '수업 설명' ;</v>
      </c>
      <c r="AG212" s="125" t="str">
        <f t="shared" si="53"/>
        <v>ALTER TABLE TB_LCTRE ALTER COLUMN LCTRE_DC TYPE VARCHAR(255);</v>
      </c>
      <c r="AH212" s="131" t="str">
        <f t="shared" si="82"/>
        <v>ALTER TABLE TB_LCTRE ADD COLUMN LCTRE_DC VARCHAR(255);</v>
      </c>
      <c r="AI212" s="125" t="str">
        <f t="shared" si="54"/>
        <v>ALTER TABLE TB_LCTRE DROP COLUMN LCTRE_DC;</v>
      </c>
    </row>
    <row r="213" spans="2:35" ht="20.100000000000001" customHeight="1">
      <c r="B213" s="135">
        <v>205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9</v>
      </c>
      <c r="H213" s="97" t="s">
        <v>623</v>
      </c>
      <c r="I213" s="97" t="s">
        <v>624</v>
      </c>
      <c r="J213" s="73"/>
      <c r="K213" s="69"/>
      <c r="L213" s="69"/>
      <c r="M213" s="69"/>
      <c r="N213" s="69"/>
      <c r="O213" s="69"/>
      <c r="P213" s="69"/>
      <c r="Q213" s="101" t="s">
        <v>171</v>
      </c>
      <c r="R213" s="119"/>
      <c r="S213" s="81"/>
      <c r="T213" s="107" t="s">
        <v>625</v>
      </c>
      <c r="U213" s="78"/>
      <c r="V213" s="78"/>
      <c r="W213" s="101" t="s">
        <v>626</v>
      </c>
      <c r="X213" s="45"/>
      <c r="Y213" s="78"/>
      <c r="Z213" s="130" t="str">
        <f t="shared" si="83"/>
        <v>/* 테이블 : 수업 */ CREATE TABLE TB_LCTRE (</v>
      </c>
      <c r="AA213" s="125" t="str">
        <f t="shared" ref="AA213" si="96">H213&amp;" "&amp;Q213&amp;R213&amp;IF(ISBLANK(K213),""," PRIMARY KEY")&amp;IF(AND(ISBLANK(K213),J213="Y")," NOT NULL","")&amp;","</f>
        <v>LCTRE_APPLCNT_GUIDANCE TEXT,</v>
      </c>
      <c r="AB213" s="125" t="str">
        <f t="shared" ref="AB213" si="97">IF(ISBLANK(L213),"","ALTER TABLE " &amp; E213 &amp; " ADD CONSTRAINT " &amp; E213 &amp; "_FKEY" &amp; L213 &amp;  " FOREIGN KEY(" &amp;H213 &amp; ") REFERENCES " &amp; M213 &amp; "(" &amp; N213 &amp; ") "&amp;O213&amp;" "&amp;P213&amp;";")</f>
        <v/>
      </c>
      <c r="AC213" s="125" t="str">
        <f t="shared" ref="AC213" si="98">IF(ISBLANK(U213),"","CREATE SEQUENCE "&amp;U213&amp;" START 100000;")</f>
        <v/>
      </c>
      <c r="AD213" s="125" t="str">
        <f t="shared" si="52"/>
        <v/>
      </c>
      <c r="AE213" s="125" t="str">
        <f t="shared" si="84"/>
        <v/>
      </c>
      <c r="AF213" s="125" t="str">
        <f t="shared" si="85"/>
        <v>COMMENT ON COLUMN TB_LCTRE.LCTRE_APPLCNT_GUIDANCE IS '수업 신청자 안내' ;</v>
      </c>
      <c r="AG213" s="125" t="str">
        <f t="shared" si="53"/>
        <v>ALTER TABLE TB_LCTRE ALTER COLUMN LCTRE_APPLCNT_GUIDANCE TYPE TEXT;</v>
      </c>
      <c r="AH213" s="131" t="str">
        <f t="shared" si="82"/>
        <v>ALTER TABLE TB_LCTRE ADD COLUMN LCTRE_APPLCNT_GUIDANCE TEXT;</v>
      </c>
      <c r="AI213" s="125" t="str">
        <f t="shared" si="54"/>
        <v>ALTER TABLE TB_LCTRE DROP COLUMN LCTRE_APPLCNT_GUIDANCE;</v>
      </c>
    </row>
    <row r="214" spans="2:35" ht="20.100000000000001" customHeight="1">
      <c r="B214" s="55">
        <v>206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10</v>
      </c>
      <c r="H214" s="103" t="s">
        <v>202</v>
      </c>
      <c r="I214" s="97" t="s">
        <v>203</v>
      </c>
      <c r="J214" s="73" t="s">
        <v>191</v>
      </c>
      <c r="K214" s="69"/>
      <c r="L214" s="69"/>
      <c r="M214" s="69"/>
      <c r="N214" s="69"/>
      <c r="O214" s="69"/>
      <c r="P214" s="69"/>
      <c r="Q214" s="51" t="s">
        <v>800</v>
      </c>
      <c r="R214" s="119" t="s">
        <v>522</v>
      </c>
      <c r="S214" s="81"/>
      <c r="T214" s="107" t="s">
        <v>242</v>
      </c>
      <c r="U214" s="78"/>
      <c r="V214" s="78"/>
      <c r="W214" s="101"/>
      <c r="X214" s="45"/>
      <c r="Y214" s="78"/>
      <c r="Z214" s="130" t="str">
        <f t="shared" si="83"/>
        <v>/* 테이블 : 수업 */ CREATE TABLE TB_LCTRE (</v>
      </c>
      <c r="AA214" s="125" t="str">
        <f t="shared" si="51"/>
        <v>RCRIT_NMPR_SET_YN BPCHAR(1) NOT NULL,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84"/>
        <v/>
      </c>
      <c r="AF214" s="125" t="str">
        <f t="shared" si="85"/>
        <v>COMMENT ON COLUMN TB_LCTRE.RCRIT_NMPR_SET_YN IS '모집 인원 설정 여부' ;</v>
      </c>
      <c r="AG214" s="125" t="str">
        <f t="shared" si="53"/>
        <v>ALTER TABLE TB_LCTRE ALTER COLUMN RCRIT_NMPR_SET_YN TYPE BPCHAR(1);</v>
      </c>
      <c r="AH214" s="131" t="str">
        <f t="shared" si="82"/>
        <v>ALTER TABLE TB_LCTRE ADD COLUMN RCRIT_NMPR_SET_YN BPCHAR(1) NOT NULL;</v>
      </c>
      <c r="AI214" s="125" t="str">
        <f t="shared" si="54"/>
        <v>ALTER TABLE TB_LCTRE DROP COLUMN RCRIT_NMPR_SET_YN;</v>
      </c>
    </row>
    <row r="215" spans="2:35" ht="20.100000000000001" customHeight="1">
      <c r="B215" s="55">
        <v>207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11</v>
      </c>
      <c r="H215" s="103" t="s">
        <v>236</v>
      </c>
      <c r="I215" s="97" t="s">
        <v>237</v>
      </c>
      <c r="J215" s="73"/>
      <c r="K215" s="69"/>
      <c r="L215" s="69"/>
      <c r="M215" s="69"/>
      <c r="N215" s="69"/>
      <c r="O215" s="69"/>
      <c r="P215" s="69"/>
      <c r="Q215" s="104" t="s">
        <v>229</v>
      </c>
      <c r="R215" s="47"/>
      <c r="S215" s="81"/>
      <c r="T215" s="107" t="s">
        <v>243</v>
      </c>
      <c r="U215" s="78"/>
      <c r="V215" s="78"/>
      <c r="W215" s="101"/>
      <c r="X215" s="45"/>
      <c r="Y215" s="78"/>
      <c r="Z215" s="130" t="str">
        <f t="shared" si="83"/>
        <v>/* 테이블 : 수업 */ CREATE TABLE TB_LCTRE (</v>
      </c>
      <c r="AA215" s="125" t="str">
        <f t="shared" si="51"/>
        <v>RCRIT_NMPR_CO INTEGER,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84"/>
        <v/>
      </c>
      <c r="AF215" s="125" t="str">
        <f t="shared" si="85"/>
        <v>COMMENT ON COLUMN TB_LCTRE.RCRIT_NMPR_CO IS '모집 인원 수' ;</v>
      </c>
      <c r="AG215" s="125" t="str">
        <f t="shared" si="53"/>
        <v>ALTER TABLE TB_LCTRE ALTER COLUMN RCRIT_NMPR_CO TYPE INTEGER;</v>
      </c>
      <c r="AH215" s="131" t="str">
        <f t="shared" si="82"/>
        <v>ALTER TABLE TB_LCTRE ADD COLUMN RCRIT_NMPR_CO INTEGER;</v>
      </c>
      <c r="AI215" s="125" t="str">
        <f t="shared" si="54"/>
        <v>ALTER TABLE TB_LCTRE DROP COLUMN RCRIT_NMPR_CO;</v>
      </c>
    </row>
    <row r="216" spans="2:35" ht="20.100000000000001" customHeight="1">
      <c r="B216" s="55">
        <v>208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12</v>
      </c>
      <c r="H216" s="97" t="s">
        <v>239</v>
      </c>
      <c r="I216" s="97" t="s">
        <v>238</v>
      </c>
      <c r="J216" s="73" t="s">
        <v>191</v>
      </c>
      <c r="K216" s="69"/>
      <c r="L216" s="69"/>
      <c r="M216" s="69"/>
      <c r="N216" s="69"/>
      <c r="O216" s="69"/>
      <c r="P216" s="69"/>
      <c r="Q216" s="51" t="s">
        <v>800</v>
      </c>
      <c r="R216" s="119" t="s">
        <v>522</v>
      </c>
      <c r="S216" s="81"/>
      <c r="T216" s="107" t="s">
        <v>244</v>
      </c>
      <c r="U216" s="78"/>
      <c r="V216" s="78"/>
      <c r="W216" s="101"/>
      <c r="X216" s="45"/>
      <c r="Y216" s="78"/>
      <c r="Z216" s="130" t="str">
        <f t="shared" si="83"/>
        <v>/* 테이블 : 수업 */ CREATE TABLE TB_LCTRE (</v>
      </c>
      <c r="AA216" s="125" t="str">
        <f t="shared" si="51"/>
        <v>PREPAR_RCRIT_NMPR_SET_YN BPCHAR(1) NOT NULL,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84"/>
        <v/>
      </c>
      <c r="AF216" s="125" t="str">
        <f t="shared" si="85"/>
        <v>COMMENT ON COLUMN TB_LCTRE.PREPAR_RCRIT_NMPR_SET_YN IS '예비 모집 인원 설정 여부' ;</v>
      </c>
      <c r="AG216" s="125" t="str">
        <f t="shared" si="53"/>
        <v>ALTER TABLE TB_LCTRE ALTER COLUMN PREPAR_RCRIT_NMPR_SET_YN TYPE BPCHAR(1);</v>
      </c>
      <c r="AH216" s="131" t="str">
        <f t="shared" si="82"/>
        <v>ALTER TABLE TB_LCTRE ADD COLUMN PREPAR_RCRIT_NMPR_SET_YN BPCHAR(1) NOT NULL;</v>
      </c>
      <c r="AI216" s="125" t="str">
        <f t="shared" si="54"/>
        <v>ALTER TABLE TB_LCTRE DROP COLUMN PREPAR_RCRIT_NMPR_SET_YN;</v>
      </c>
    </row>
    <row r="217" spans="2:35" ht="20.100000000000001" customHeight="1">
      <c r="B217" s="135">
        <v>209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13</v>
      </c>
      <c r="H217" s="97" t="s">
        <v>240</v>
      </c>
      <c r="I217" s="97" t="s">
        <v>241</v>
      </c>
      <c r="J217" s="73"/>
      <c r="K217" s="69"/>
      <c r="L217" s="69"/>
      <c r="M217" s="69"/>
      <c r="N217" s="69"/>
      <c r="O217" s="69"/>
      <c r="P217" s="69"/>
      <c r="Q217" s="104" t="s">
        <v>229</v>
      </c>
      <c r="R217" s="47"/>
      <c r="S217" s="81"/>
      <c r="T217" s="107" t="s">
        <v>245</v>
      </c>
      <c r="U217" s="78"/>
      <c r="V217" s="78"/>
      <c r="W217" s="101"/>
      <c r="X217" s="45"/>
      <c r="Y217" s="78"/>
      <c r="Z217" s="130" t="str">
        <f t="shared" si="83"/>
        <v>/* 테이블 : 수업 */ CREATE TABLE TB_LCTRE (</v>
      </c>
      <c r="AA217" s="125" t="str">
        <f t="shared" si="51"/>
        <v>PREPAR_RCRIT_NMPR_CO INTEGER,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84"/>
        <v/>
      </c>
      <c r="AF217" s="125" t="str">
        <f t="shared" si="85"/>
        <v>COMMENT ON COLUMN TB_LCTRE.PREPAR_RCRIT_NMPR_CO IS '예비 모집 인원 수' ;</v>
      </c>
      <c r="AG217" s="125" t="str">
        <f t="shared" si="53"/>
        <v>ALTER TABLE TB_LCTRE ALTER COLUMN PREPAR_RCRIT_NMPR_CO TYPE INTEGER;</v>
      </c>
      <c r="AH217" s="131" t="str">
        <f t="shared" si="82"/>
        <v>ALTER TABLE TB_LCTRE ADD COLUMN PREPAR_RCRIT_NMPR_CO INTEGER;</v>
      </c>
      <c r="AI217" s="125" t="str">
        <f t="shared" si="54"/>
        <v>ALTER TABLE TB_LCTRE DROP COLUMN PREPAR_RCRIT_NMPR_CO;</v>
      </c>
    </row>
    <row r="218" spans="2:35" ht="20.100000000000001" customHeight="1">
      <c r="B218" s="55">
        <v>210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14</v>
      </c>
      <c r="H218" s="97" t="s">
        <v>107</v>
      </c>
      <c r="I218" s="51" t="s">
        <v>76</v>
      </c>
      <c r="J218" s="73" t="s">
        <v>72</v>
      </c>
      <c r="K218" s="67"/>
      <c r="L218" s="67"/>
      <c r="M218" s="77"/>
      <c r="N218" s="77"/>
      <c r="O218" s="77"/>
      <c r="P218" s="77"/>
      <c r="Q218" s="100" t="s">
        <v>521</v>
      </c>
      <c r="R218" s="119" t="s">
        <v>526</v>
      </c>
      <c r="S218" s="80"/>
      <c r="T218" s="107" t="s">
        <v>219</v>
      </c>
      <c r="U218" s="78"/>
      <c r="V218" s="78"/>
      <c r="W218" s="116" t="s">
        <v>496</v>
      </c>
      <c r="X218" s="45"/>
      <c r="Y218" s="78"/>
      <c r="Z218" s="130" t="str">
        <f t="shared" si="83"/>
        <v>/* 테이블 : 수업 */ CREATE TABLE TB_LCTRE (</v>
      </c>
      <c r="AA218" s="125" t="str">
        <f t="shared" si="51"/>
        <v>REGISTER_ID VARCHAR(50)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84"/>
        <v/>
      </c>
      <c r="AF218" s="125" t="str">
        <f t="shared" si="85"/>
        <v>COMMENT ON COLUMN TB_LCTRE.REGISTER_ID IS '등록자 ID' ;</v>
      </c>
      <c r="AG218" s="125" t="str">
        <f t="shared" si="53"/>
        <v>ALTER TABLE TB_LCTRE ALTER COLUMN REGISTER_ID TYPE VARCHAR(50);</v>
      </c>
      <c r="AH218" s="131" t="str">
        <f t="shared" si="82"/>
        <v>ALTER TABLE TB_LCTRE ADD COLUMN REGISTER_ID VARCHAR(50) NOT NULL;</v>
      </c>
      <c r="AI218" s="125" t="str">
        <f t="shared" si="54"/>
        <v>ALTER TABLE TB_LCTRE DROP COLUMN REGISTER_ID;</v>
      </c>
    </row>
    <row r="219" spans="2:35" ht="20.100000000000001" customHeight="1">
      <c r="B219" s="55">
        <v>211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15</v>
      </c>
      <c r="H219" s="97" t="s">
        <v>91</v>
      </c>
      <c r="I219" s="51" t="s">
        <v>77</v>
      </c>
      <c r="J219" s="73" t="s">
        <v>72</v>
      </c>
      <c r="K219" s="52"/>
      <c r="L219" s="52"/>
      <c r="M219" s="52"/>
      <c r="N219" s="52"/>
      <c r="O219" s="52"/>
      <c r="P219" s="52"/>
      <c r="Q219" s="56" t="s">
        <v>106</v>
      </c>
      <c r="R219" s="119" t="s">
        <v>527</v>
      </c>
      <c r="S219" s="80"/>
      <c r="T219" s="107" t="s">
        <v>218</v>
      </c>
      <c r="U219" s="78"/>
      <c r="V219" s="78"/>
      <c r="W219" s="101"/>
      <c r="X219" s="45"/>
      <c r="Y219" s="78"/>
      <c r="Z219" s="130" t="str">
        <f t="shared" si="83"/>
        <v>/* 테이블 : 수업 */ CREATE TABLE TB_LCTRE (</v>
      </c>
      <c r="AA219" s="125" t="str">
        <f t="shared" si="51"/>
        <v>REGISTER_IP VARCHAR(100)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84"/>
        <v/>
      </c>
      <c r="AF219" s="125" t="str">
        <f t="shared" si="85"/>
        <v>COMMENT ON COLUMN TB_LCTRE.REGISTER_IP IS '등록자 IP' ;</v>
      </c>
      <c r="AG219" s="125" t="str">
        <f t="shared" si="53"/>
        <v>ALTER TABLE TB_LCTRE ALTER COLUMN REGISTER_IP TYPE VARCHAR(100);</v>
      </c>
      <c r="AH219" s="131" t="str">
        <f t="shared" si="82"/>
        <v>ALTER TABLE TB_LCTRE ADD COLUMN REGISTER_IP VARCHAR(100) NOT NULL;</v>
      </c>
      <c r="AI219" s="125" t="str">
        <f t="shared" si="54"/>
        <v>ALTER TABLE TB_LCTRE DROP COLUMN REGISTER_IP;</v>
      </c>
    </row>
    <row r="220" spans="2:35" ht="20.100000000000001" customHeight="1">
      <c r="B220" s="55">
        <v>212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16</v>
      </c>
      <c r="H220" s="97" t="s">
        <v>92</v>
      </c>
      <c r="I220" s="96" t="s">
        <v>78</v>
      </c>
      <c r="J220" s="73" t="s">
        <v>72</v>
      </c>
      <c r="K220" s="52"/>
      <c r="L220" s="52"/>
      <c r="M220" s="52"/>
      <c r="N220" s="52"/>
      <c r="O220" s="52"/>
      <c r="P220" s="52"/>
      <c r="Q220" s="51" t="s">
        <v>702</v>
      </c>
      <c r="R220" s="120"/>
      <c r="S220" s="80"/>
      <c r="T220" s="107" t="s">
        <v>217</v>
      </c>
      <c r="U220" s="78"/>
      <c r="V220" s="78"/>
      <c r="W220" s="101"/>
      <c r="X220" s="45"/>
      <c r="Y220" s="78"/>
      <c r="Z220" s="130" t="str">
        <f t="shared" si="83"/>
        <v>/* 테이블 : 수업 */ CREATE TABLE TB_LCTRE (</v>
      </c>
      <c r="AA220" s="125" t="str">
        <f t="shared" si="51"/>
        <v>REG_DT TIMESTAMP NOT NULL,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84"/>
        <v/>
      </c>
      <c r="AF220" s="125" t="str">
        <f t="shared" si="85"/>
        <v>COMMENT ON COLUMN TB_LCTRE.REG_DT IS '등록 일시' ;</v>
      </c>
      <c r="AG220" s="125" t="str">
        <f t="shared" si="53"/>
        <v>ALTER TABLE TB_LCTRE ALTER COLUMN REG_DT TYPE TIMESTAMP;</v>
      </c>
      <c r="AH220" s="131" t="str">
        <f t="shared" si="82"/>
        <v>ALTER TABLE TB_LCTRE ADD COLUMN REG_DT TIMESTAMP NOT NULL;</v>
      </c>
      <c r="AI220" s="125" t="str">
        <f t="shared" si="54"/>
        <v>ALTER TABLE TB_LCTRE DROP COLUMN REG_DT;</v>
      </c>
    </row>
    <row r="221" spans="2:35" ht="20.100000000000001" customHeight="1">
      <c r="B221" s="135">
        <v>213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17</v>
      </c>
      <c r="H221" s="97" t="s">
        <v>93</v>
      </c>
      <c r="I221" s="96" t="s">
        <v>80</v>
      </c>
      <c r="J221" s="52"/>
      <c r="K221" s="52"/>
      <c r="L221" s="52"/>
      <c r="M221" s="79"/>
      <c r="N221" s="79"/>
      <c r="O221" s="79"/>
      <c r="P221" s="79"/>
      <c r="Q221" s="100" t="s">
        <v>521</v>
      </c>
      <c r="R221" s="119" t="s">
        <v>526</v>
      </c>
      <c r="S221" s="80"/>
      <c r="T221" s="107" t="s">
        <v>216</v>
      </c>
      <c r="U221" s="78"/>
      <c r="V221" s="78"/>
      <c r="W221" s="116" t="s">
        <v>496</v>
      </c>
      <c r="X221" s="45"/>
      <c r="Y221" s="78"/>
      <c r="Z221" s="130" t="str">
        <f t="shared" si="83"/>
        <v>/* 테이블 : 수업 */ CREATE TABLE TB_LCTRE (</v>
      </c>
      <c r="AA221" s="125" t="str">
        <f t="shared" si="51"/>
        <v>UPDUSR_ID VARCHAR(50),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84"/>
        <v/>
      </c>
      <c r="AF221" s="125" t="str">
        <f t="shared" si="85"/>
        <v>COMMENT ON COLUMN TB_LCTRE.UPDUSR_ID IS '수정자 ID' ;</v>
      </c>
      <c r="AG221" s="125" t="str">
        <f t="shared" si="53"/>
        <v>ALTER TABLE TB_LCTRE ALTER COLUMN UPDUSR_ID TYPE VARCHAR(50);</v>
      </c>
      <c r="AH221" s="131" t="str">
        <f t="shared" si="82"/>
        <v>ALTER TABLE TB_LCTRE ADD COLUMN UPDUSR_ID VARCHAR(50);</v>
      </c>
      <c r="AI221" s="125" t="str">
        <f t="shared" si="54"/>
        <v>ALTER TABLE TB_LCTRE DROP COLUMN UPDUSR_ID;</v>
      </c>
    </row>
    <row r="222" spans="2:35" ht="20.100000000000001" customHeight="1">
      <c r="B222" s="55">
        <v>214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18</v>
      </c>
      <c r="H222" s="97" t="s">
        <v>94</v>
      </c>
      <c r="I222" s="96" t="s">
        <v>79</v>
      </c>
      <c r="J222" s="52"/>
      <c r="K222" s="52"/>
      <c r="L222" s="52"/>
      <c r="M222" s="52"/>
      <c r="N222" s="52"/>
      <c r="O222" s="52"/>
      <c r="P222" s="52"/>
      <c r="Q222" s="56" t="s">
        <v>106</v>
      </c>
      <c r="R222" s="119" t="s">
        <v>527</v>
      </c>
      <c r="S222" s="80"/>
      <c r="T222" s="107" t="s">
        <v>215</v>
      </c>
      <c r="U222" s="78"/>
      <c r="V222" s="78"/>
      <c r="W222" s="101"/>
      <c r="X222" s="45"/>
      <c r="Y222" s="78"/>
      <c r="Z222" s="130" t="str">
        <f t="shared" si="83"/>
        <v>/* 테이블 : 수업 */ CREATE TABLE TB_LCTRE (</v>
      </c>
      <c r="AA222" s="125" t="str">
        <f t="shared" si="51"/>
        <v>UPDUSR_IP VARCHAR(100),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84"/>
        <v/>
      </c>
      <c r="AF222" s="125" t="str">
        <f t="shared" si="85"/>
        <v>COMMENT ON COLUMN TB_LCTRE.UPDUSR_IP IS '수정자 IP' ;</v>
      </c>
      <c r="AG222" s="125" t="str">
        <f t="shared" si="53"/>
        <v>ALTER TABLE TB_LCTRE ALTER COLUMN UPDUSR_IP TYPE VARCHAR(100);</v>
      </c>
      <c r="AH222" s="131" t="str">
        <f t="shared" si="82"/>
        <v>ALTER TABLE TB_LCTRE ADD COLUMN UPDUSR_IP VARCHAR(100);</v>
      </c>
      <c r="AI222" s="125" t="str">
        <f t="shared" si="54"/>
        <v>ALTER TABLE TB_LCTRE DROP COLUMN UPDUSR_IP;</v>
      </c>
    </row>
    <row r="223" spans="2:35" ht="20.100000000000001" customHeight="1">
      <c r="B223" s="55">
        <v>215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19</v>
      </c>
      <c r="H223" s="98" t="s">
        <v>95</v>
      </c>
      <c r="I223" s="97" t="s">
        <v>81</v>
      </c>
      <c r="J223" s="61"/>
      <c r="K223" s="61"/>
      <c r="L223" s="61"/>
      <c r="M223" s="61"/>
      <c r="N223" s="61"/>
      <c r="O223" s="61"/>
      <c r="P223" s="61"/>
      <c r="Q223" s="51" t="s">
        <v>702</v>
      </c>
      <c r="R223" s="120"/>
      <c r="S223" s="77"/>
      <c r="T223" s="107" t="s">
        <v>214</v>
      </c>
      <c r="U223" s="78"/>
      <c r="V223" s="78"/>
      <c r="W223" s="101"/>
      <c r="X223" s="45"/>
      <c r="Y223" s="78"/>
      <c r="Z223" s="130" t="str">
        <f t="shared" si="83"/>
        <v>/* 테이블 : 수업 */ CREATE TABLE TB_LCTRE (</v>
      </c>
      <c r="AA223" s="125" t="str">
        <f t="shared" si="51"/>
        <v>UPDT_DT TIMESTAMP,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84"/>
        <v/>
      </c>
      <c r="AF223" s="125" t="str">
        <f t="shared" si="85"/>
        <v>COMMENT ON COLUMN TB_LCTRE.UPDT_DT IS '수정 일시' ;</v>
      </c>
      <c r="AG223" s="125" t="str">
        <f t="shared" si="53"/>
        <v>ALTER TABLE TB_LCTRE ALTER COLUMN UPDT_DT TYPE TIMESTAMP;</v>
      </c>
      <c r="AH223" s="131" t="str">
        <f t="shared" si="82"/>
        <v>ALTER TABLE TB_LCTRE ADD COLUMN UPDT_DT TIMESTAMP;</v>
      </c>
      <c r="AI223" s="125" t="str">
        <f t="shared" si="54"/>
        <v>ALTER TABLE TB_LCTRE DROP COLUMN UPDT_DT;</v>
      </c>
    </row>
    <row r="224" spans="2:35" ht="20.100000000000001" customHeight="1">
      <c r="B224" s="55">
        <v>216</v>
      </c>
      <c r="C224" s="26" t="s">
        <v>7</v>
      </c>
      <c r="D224" s="25" t="s">
        <v>11</v>
      </c>
      <c r="E224" s="13" t="s">
        <v>254</v>
      </c>
      <c r="F224" s="13" t="s">
        <v>255</v>
      </c>
      <c r="G224" s="92">
        <v>20</v>
      </c>
      <c r="H224" s="97" t="s">
        <v>96</v>
      </c>
      <c r="I224" s="97" t="s">
        <v>82</v>
      </c>
      <c r="J224" s="73" t="s">
        <v>72</v>
      </c>
      <c r="K224" s="61"/>
      <c r="L224" s="61"/>
      <c r="M224" s="61"/>
      <c r="N224" s="61"/>
      <c r="O224" s="61"/>
      <c r="P224" s="61"/>
      <c r="Q224" s="51" t="s">
        <v>800</v>
      </c>
      <c r="R224" s="119" t="s">
        <v>522</v>
      </c>
      <c r="S224" s="82" t="s">
        <v>799</v>
      </c>
      <c r="T224" s="107" t="s">
        <v>213</v>
      </c>
      <c r="U224" s="78"/>
      <c r="V224" s="78"/>
      <c r="W224" s="101"/>
      <c r="X224" s="45"/>
      <c r="Y224" s="78"/>
      <c r="Z224" s="130" t="str">
        <f t="shared" si="83"/>
        <v>/* 테이블 : 수업 */ CREATE TABLE TB_LCTRE (</v>
      </c>
      <c r="AA224" s="125" t="str">
        <f t="shared" si="51"/>
        <v>DEL_YN BPCHAR(1) NOT NULL,</v>
      </c>
      <c r="AB224" s="125" t="str">
        <f t="shared" si="49"/>
        <v/>
      </c>
      <c r="AC224" s="125" t="str">
        <f t="shared" si="50"/>
        <v/>
      </c>
      <c r="AD224" s="125" t="str">
        <f t="shared" si="52"/>
        <v/>
      </c>
      <c r="AE224" s="125" t="str">
        <f t="shared" si="84"/>
        <v>ALTER TABLE TB_LCTRE ALTER COLUMN DEL_YN SET DEFAULT 'N'::bpchar;</v>
      </c>
      <c r="AF224" s="125" t="str">
        <f t="shared" si="85"/>
        <v>COMMENT ON COLUMN TB_LCTRE.DEL_YN IS '삭제 여부' ;</v>
      </c>
      <c r="AG224" s="125" t="str">
        <f t="shared" si="53"/>
        <v>ALTER TABLE TB_LCTRE ALTER COLUMN DEL_YN TYPE BPCHAR(1);</v>
      </c>
      <c r="AH224" s="131" t="str">
        <f t="shared" si="82"/>
        <v>ALTER TABLE TB_LCTRE ADD COLUMN DEL_YN BPCHAR(1) NOT NULL DEFAULT 'N'::bpchar;</v>
      </c>
      <c r="AI224" s="125" t="str">
        <f t="shared" si="54"/>
        <v>ALTER TABLE TB_LCTRE DROP COLUMN DEL_YN;</v>
      </c>
    </row>
    <row r="225" spans="2:35" ht="20.100000000000001" customHeight="1">
      <c r="B225" s="135">
        <v>217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1</v>
      </c>
      <c r="H225" s="101" t="s">
        <v>273</v>
      </c>
      <c r="I225" s="101" t="s">
        <v>272</v>
      </c>
      <c r="J225" s="73" t="s">
        <v>72</v>
      </c>
      <c r="K225" s="45">
        <v>1</v>
      </c>
      <c r="L225" s="45"/>
      <c r="M225" s="45"/>
      <c r="N225" s="45"/>
      <c r="O225" s="45"/>
      <c r="P225" s="45"/>
      <c r="Q225" s="101" t="s">
        <v>172</v>
      </c>
      <c r="R225" s="92"/>
      <c r="S225" s="45"/>
      <c r="T225" s="101" t="s">
        <v>318</v>
      </c>
      <c r="U225" s="125" t="str">
        <f>"SEQ_"&amp;E225&amp;"_SN"</f>
        <v>SEQ_TB_LCTRE_REQST_SN</v>
      </c>
      <c r="V225" s="125"/>
      <c r="W225" s="101"/>
      <c r="X225" s="45"/>
      <c r="Y225" s="78"/>
      <c r="Z225" s="130" t="str">
        <f t="shared" si="83"/>
        <v>/* 테이블 : 수업신청 */ CREATE TABLE TB_LCTRE_REQST (</v>
      </c>
      <c r="AA225" s="125" t="str">
        <f t="shared" ref="AA225:AA228" si="99">H225&amp;" "&amp;Q225&amp;R225&amp;IF(ISBLANK(K225),""," PRIMARY KEY")&amp;IF(AND(ISBLANK(K225),J225="Y")," NOT NULL","")&amp;","</f>
        <v>LCTRE_REQST_SN INTEGER PRIMARY KEY,</v>
      </c>
      <c r="AB225" s="125" t="str">
        <f t="shared" ref="AB225:AB228" si="100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28" si="101">IF(ISBLANK(U225),"","CREATE SEQUENCE "&amp;U225&amp;" START 100000;")</f>
        <v>CREATE SEQUENCE SEQ_TB_LCTRE_REQST_SN START 100000;</v>
      </c>
      <c r="AD225" s="125" t="str">
        <f t="shared" ref="AD225:AD299" si="102">IF(ISBLANK(U225),"","ALTER TABLE "&amp;E225&amp;" ALTER COLUMN "&amp;H225&amp;" SET DEFAULT NEXTVAL('"&amp;U225&amp;"');")</f>
        <v>ALTER TABLE TB_LCTRE_REQST ALTER COLUMN LCTRE_REQST_SN SET DEFAULT NEXTVAL('SEQ_TB_LCTRE_REQST_SN');</v>
      </c>
      <c r="AE225" s="125" t="str">
        <f t="shared" si="84"/>
        <v/>
      </c>
      <c r="AF225" s="125" t="str">
        <f t="shared" si="85"/>
        <v>COMMENT ON COLUMN TB_LCTRE_REQST.LCTRE_REQST_SN IS '수업 신청 일련번호' ;</v>
      </c>
      <c r="AG225" s="125" t="str">
        <f t="shared" ref="AG225:AG307" si="103">"ALTER TABLE "&amp;$E225&amp;" ALTER COLUMN "&amp;$H225&amp;" TYPE "&amp;$Q225&amp;IF(ISBLANK(R225),"",R225)&amp;";"</f>
        <v>ALTER TABLE TB_LCTRE_REQST ALTER COLUMN LCTRE_REQST_SN TYPE INTEGER;</v>
      </c>
      <c r="AH225" s="131" t="str">
        <f t="shared" si="82"/>
        <v>ALTER TABLE TB_LCTRE_REQST ADD COLUMN LCTRE_REQST_SN INTEGER NOT NULL;</v>
      </c>
      <c r="AI225" s="125" t="str">
        <f t="shared" ref="AI225:AI307" si="104">"ALTER TABLE "&amp;$E225&amp;" DROP COLUMN "&amp;$H225&amp;";"</f>
        <v>ALTER TABLE TB_LCTRE_REQST DROP COLUMN LCTRE_REQST_SN;</v>
      </c>
    </row>
    <row r="226" spans="2:35" ht="20.100000000000001" customHeight="1">
      <c r="B226" s="55">
        <v>218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2</v>
      </c>
      <c r="H226" s="101" t="s">
        <v>771</v>
      </c>
      <c r="I226" s="101" t="s">
        <v>772</v>
      </c>
      <c r="J226" s="73" t="s">
        <v>131</v>
      </c>
      <c r="K226" s="69"/>
      <c r="L226" s="69">
        <v>1</v>
      </c>
      <c r="M226" s="10" t="s">
        <v>50</v>
      </c>
      <c r="N226" s="101" t="s">
        <v>771</v>
      </c>
      <c r="O226" s="95" t="s">
        <v>539</v>
      </c>
      <c r="P226" s="95" t="s">
        <v>541</v>
      </c>
      <c r="Q226" s="101" t="s">
        <v>172</v>
      </c>
      <c r="R226" s="83"/>
      <c r="S226" s="81"/>
      <c r="T226" s="107" t="s">
        <v>773</v>
      </c>
      <c r="U226" s="78"/>
      <c r="V226" s="78"/>
      <c r="W226" s="101"/>
      <c r="X226" s="45"/>
      <c r="Y226" s="78"/>
      <c r="Z226" s="130" t="str">
        <f t="shared" si="83"/>
        <v>/* 테이블 : 수업신청 */ CREATE TABLE TB_LCTRE_REQST (</v>
      </c>
      <c r="AA226" s="125" t="str">
        <f t="shared" si="99"/>
        <v>CLASS_REQST_SN INTEGER NOT NULL,</v>
      </c>
      <c r="AB226" s="125" t="str">
        <f t="shared" si="100"/>
        <v>ALTER TABLE TB_LCTRE_REQST ADD CONSTRAINT TB_LCTRE_REQST_FKEY1 FOREIGN KEY(CLASS_REQST_SN) REFERENCES TB_CLASS_REQST(CLASS_REQST_SN) ON UPDATE CASCADE ON DELETE CASCADE;</v>
      </c>
      <c r="AC226" s="125" t="str">
        <f t="shared" si="101"/>
        <v/>
      </c>
      <c r="AD226" s="125" t="str">
        <f t="shared" si="102"/>
        <v/>
      </c>
      <c r="AE226" s="125" t="str">
        <f t="shared" si="84"/>
        <v/>
      </c>
      <c r="AF226" s="125" t="str">
        <f t="shared" si="85"/>
        <v>COMMENT ON COLUMN TB_LCTRE_REQST.CLASS_REQST_SN IS '클래스 신청 일련번호' ;</v>
      </c>
      <c r="AG226" s="125" t="str">
        <f t="shared" si="103"/>
        <v>ALTER TABLE TB_LCTRE_REQST ALTER COLUMN CLASS_REQST_SN TYPE INTEGER;</v>
      </c>
      <c r="AH226" s="131" t="str">
        <f t="shared" si="82"/>
        <v>ALTER TABLE TB_LCTRE_REQST ADD COLUMN CLASS_REQST_SN INTEGER NOT NULL;</v>
      </c>
      <c r="AI226" s="125" t="str">
        <f t="shared" si="104"/>
        <v>ALTER TABLE TB_LCTRE_REQST DROP COLUMN CLASS_REQST_SN;</v>
      </c>
    </row>
    <row r="227" spans="2:35" ht="20.100000000000001" customHeight="1">
      <c r="B227" s="55">
        <v>219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3</v>
      </c>
      <c r="H227" s="97" t="s">
        <v>253</v>
      </c>
      <c r="I227" s="97" t="s">
        <v>257</v>
      </c>
      <c r="J227" s="73" t="s">
        <v>131</v>
      </c>
      <c r="K227" s="69"/>
      <c r="L227" s="69">
        <v>2</v>
      </c>
      <c r="M227" s="13" t="s">
        <v>254</v>
      </c>
      <c r="N227" s="97" t="s">
        <v>253</v>
      </c>
      <c r="O227" s="95" t="s">
        <v>539</v>
      </c>
      <c r="P227" s="95" t="s">
        <v>541</v>
      </c>
      <c r="Q227" s="101" t="s">
        <v>172</v>
      </c>
      <c r="R227" s="83"/>
      <c r="S227" s="81"/>
      <c r="T227" s="107" t="s">
        <v>774</v>
      </c>
      <c r="U227" s="78"/>
      <c r="V227" s="78"/>
      <c r="W227" s="101"/>
      <c r="X227" s="45"/>
      <c r="Y227" s="78"/>
      <c r="Z227" s="130" t="str">
        <f t="shared" si="83"/>
        <v>/* 테이블 : 수업신청 */ CREATE TABLE TB_LCTRE_REQST (</v>
      </c>
      <c r="AA227" s="125" t="str">
        <f t="shared" ref="AA227" si="105">H227&amp;" "&amp;Q227&amp;R227&amp;IF(ISBLANK(K227),""," PRIMARY KEY")&amp;IF(AND(ISBLANK(K227),J227="Y")," NOT NULL","")&amp;","</f>
        <v>LCTRE_SN INTEGER NOT NULL,</v>
      </c>
      <c r="AB227" s="125" t="str">
        <f t="shared" ref="AB227" si="106">IF(ISBLANK(L227),"","ALTER TABLE " &amp; E227 &amp; " ADD CONSTRAINT " &amp; E227 &amp; "_FKEY" &amp; L227 &amp;  " FOREIGN KEY(" &amp;H227 &amp; ") REFERENCES " &amp; M227 &amp; "(" &amp; N227 &amp; ") "&amp;O227&amp;" "&amp;P227&amp;";")</f>
        <v>ALTER TABLE TB_LCTRE_REQST ADD CONSTRAINT TB_LCTRE_REQST_FKEY2 FOREIGN KEY(LCTRE_SN) REFERENCES TB_LCTRE(LCTRE_SN) ON UPDATE CASCADE ON DELETE CASCADE;</v>
      </c>
      <c r="AC227" s="125" t="str">
        <f t="shared" si="101"/>
        <v/>
      </c>
      <c r="AD227" s="125" t="str">
        <f t="shared" si="102"/>
        <v/>
      </c>
      <c r="AE227" s="125" t="str">
        <f t="shared" si="84"/>
        <v/>
      </c>
      <c r="AF227" s="125" t="str">
        <f t="shared" si="85"/>
        <v>COMMENT ON COLUMN TB_LCTRE_REQST.LCTRE_SN IS '수업 일련번호' ;</v>
      </c>
      <c r="AG227" s="125" t="str">
        <f t="shared" si="103"/>
        <v>ALTER TABLE TB_LCTRE_REQST ALTER COLUMN LCTRE_SN TYPE INTEGER;</v>
      </c>
      <c r="AH227" s="131" t="str">
        <f t="shared" si="82"/>
        <v>ALTER TABLE TB_LCTRE_REQST ADD COLUMN LCTRE_SN INTEGER NOT NULL;</v>
      </c>
      <c r="AI227" s="125" t="str">
        <f t="shared" si="104"/>
        <v>ALTER TABLE TB_LCTRE_REQST DROP COLUMN LCTRE_SN;</v>
      </c>
    </row>
    <row r="228" spans="2:35" ht="20.100000000000001" customHeight="1">
      <c r="B228" s="55">
        <v>220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4</v>
      </c>
      <c r="H228" s="98" t="s">
        <v>121</v>
      </c>
      <c r="I228" s="97" t="s">
        <v>120</v>
      </c>
      <c r="J228" s="73"/>
      <c r="K228" s="61"/>
      <c r="L228" s="61">
        <v>4</v>
      </c>
      <c r="M228" s="12" t="s">
        <v>114</v>
      </c>
      <c r="N228" s="98" t="s">
        <v>121</v>
      </c>
      <c r="O228" s="95" t="s">
        <v>539</v>
      </c>
      <c r="P228" s="95" t="s">
        <v>541</v>
      </c>
      <c r="Q228" s="100" t="s">
        <v>172</v>
      </c>
      <c r="R228" s="47"/>
      <c r="S228" s="77"/>
      <c r="T228" s="107" t="s">
        <v>268</v>
      </c>
      <c r="U228" s="78"/>
      <c r="V228" s="78"/>
      <c r="W228" s="101"/>
      <c r="X228" s="45"/>
      <c r="Y228" s="78"/>
      <c r="Z228" s="130" t="str">
        <f t="shared" si="83"/>
        <v>/* 테이블 : 수업신청 */ CREATE TABLE TB_LCTRE_REQST (</v>
      </c>
      <c r="AA228" s="125" t="str">
        <f t="shared" si="99"/>
        <v>CHLDRN_SN INTEGER,</v>
      </c>
      <c r="AB228" s="125" t="str">
        <f t="shared" si="100"/>
        <v>ALTER TABLE TB_LCTRE_REQST ADD CONSTRAINT TB_LCTRE_REQST_FKEY4 FOREIGN KEY(CHLDRN_SN) REFERENCES TB_USER_CHLDRN(CHLDRN_SN) ON UPDATE CASCADE ON DELETE CASCADE;</v>
      </c>
      <c r="AC228" s="125" t="str">
        <f t="shared" si="101"/>
        <v/>
      </c>
      <c r="AD228" s="125" t="str">
        <f t="shared" si="102"/>
        <v/>
      </c>
      <c r="AE228" s="125" t="str">
        <f t="shared" si="84"/>
        <v/>
      </c>
      <c r="AF228" s="125" t="str">
        <f t="shared" si="85"/>
        <v>COMMENT ON COLUMN TB_LCTRE_REQST.CHLDRN_SN IS '자녀 일련번호' ;</v>
      </c>
      <c r="AG228" s="125" t="str">
        <f t="shared" si="103"/>
        <v>ALTER TABLE TB_LCTRE_REQST ALTER COLUMN CHLDRN_SN TYPE INTEGER;</v>
      </c>
      <c r="AH228" s="131" t="str">
        <f t="shared" si="82"/>
        <v>ALTER TABLE TB_LCTRE_REQST ADD COLUMN CHLDRN_SN INTEGER;</v>
      </c>
      <c r="AI228" s="125" t="str">
        <f t="shared" si="104"/>
        <v>ALTER TABLE TB_LCTRE_REQST DROP COLUMN CHLDRN_SN;</v>
      </c>
    </row>
    <row r="229" spans="2:35" ht="20.100000000000001" customHeight="1">
      <c r="B229" s="135">
        <v>221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5</v>
      </c>
      <c r="H229" s="97" t="s">
        <v>107</v>
      </c>
      <c r="I229" s="51" t="s">
        <v>76</v>
      </c>
      <c r="J229" s="73" t="s">
        <v>72</v>
      </c>
      <c r="K229" s="67"/>
      <c r="L229" s="67"/>
      <c r="M229" s="77"/>
      <c r="N229" s="77"/>
      <c r="O229" s="77"/>
      <c r="P229" s="77"/>
      <c r="Q229" s="100" t="s">
        <v>521</v>
      </c>
      <c r="R229" s="119" t="s">
        <v>526</v>
      </c>
      <c r="S229" s="80"/>
      <c r="T229" s="107" t="s">
        <v>219</v>
      </c>
      <c r="U229" s="78"/>
      <c r="V229" s="78"/>
      <c r="W229" s="116" t="s">
        <v>496</v>
      </c>
      <c r="X229" s="45"/>
      <c r="Y229" s="78"/>
      <c r="Z229" s="130" t="str">
        <f t="shared" si="83"/>
        <v>/* 테이블 : 수업신청 */ CREATE TABLE TB_LCTRE_REQST (</v>
      </c>
      <c r="AA229" s="125" t="str">
        <f t="shared" ref="AA229:AA240" si="107">H229&amp;" "&amp;Q229&amp;R229&amp;IF(ISBLANK(K229),""," PRIMARY KEY")&amp;IF(AND(ISBLANK(K229),J229="Y")," NOT NULL","")&amp;","</f>
        <v>REGISTER_ID VARCHAR(50) NOT NULL,</v>
      </c>
      <c r="AB229" s="125" t="str">
        <f t="shared" ref="AB229:AB240" si="108">IF(ISBLANK(L229),"","ALTER TABLE " &amp; E229 &amp; " ADD CONSTRAINT " &amp; E229 &amp; "_FKEY" &amp; L229 &amp;  " FOREIGN KEY(" &amp;H229 &amp; ") REFERENCES " &amp; M229 &amp; "(" &amp; N229 &amp; ") "&amp;O229&amp;" "&amp;P229&amp;";")</f>
        <v/>
      </c>
      <c r="AC229" s="125" t="str">
        <f t="shared" ref="AC229:AC240" si="109">IF(ISBLANK(U229),"","CREATE SEQUENCE "&amp;U229&amp;" START 100000;")</f>
        <v/>
      </c>
      <c r="AD229" s="125" t="str">
        <f t="shared" si="102"/>
        <v/>
      </c>
      <c r="AE229" s="125" t="str">
        <f t="shared" si="84"/>
        <v/>
      </c>
      <c r="AF229" s="125" t="str">
        <f t="shared" si="85"/>
        <v>COMMENT ON COLUMN TB_LCTRE_REQST.REGISTER_ID IS '등록자 ID' ;</v>
      </c>
      <c r="AG229" s="125" t="str">
        <f t="shared" si="103"/>
        <v>ALTER TABLE TB_LCTRE_REQST ALTER COLUMN REGISTER_ID TYPE VARCHAR(50);</v>
      </c>
      <c r="AH229" s="131" t="str">
        <f t="shared" si="82"/>
        <v>ALTER TABLE TB_LCTRE_REQST ADD COLUMN REGISTER_ID VARCHAR(50) NOT NULL;</v>
      </c>
      <c r="AI229" s="125" t="str">
        <f t="shared" si="104"/>
        <v>ALTER TABLE TB_LCTRE_REQST DROP COLUMN REGISTER_ID;</v>
      </c>
    </row>
    <row r="230" spans="2:35" ht="20.100000000000001" customHeight="1">
      <c r="B230" s="55">
        <v>222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6</v>
      </c>
      <c r="H230" s="97" t="s">
        <v>91</v>
      </c>
      <c r="I230" s="51" t="s">
        <v>77</v>
      </c>
      <c r="J230" s="73" t="s">
        <v>72</v>
      </c>
      <c r="K230" s="52"/>
      <c r="L230" s="52"/>
      <c r="M230" s="52"/>
      <c r="N230" s="52"/>
      <c r="O230" s="52"/>
      <c r="P230" s="52"/>
      <c r="Q230" s="56" t="s">
        <v>106</v>
      </c>
      <c r="R230" s="119" t="s">
        <v>527</v>
      </c>
      <c r="S230" s="80"/>
      <c r="T230" s="107" t="s">
        <v>218</v>
      </c>
      <c r="U230" s="78"/>
      <c r="V230" s="78"/>
      <c r="W230" s="101"/>
      <c r="X230" s="45"/>
      <c r="Y230" s="78"/>
      <c r="Z230" s="130" t="str">
        <f t="shared" si="83"/>
        <v>/* 테이블 : 수업신청 */ CREATE TABLE TB_LCTRE_REQST (</v>
      </c>
      <c r="AA230" s="125" t="str">
        <f t="shared" si="107"/>
        <v>REGISTER_IP VARCHAR(100) NOT NULL,</v>
      </c>
      <c r="AB230" s="125" t="str">
        <f t="shared" si="108"/>
        <v/>
      </c>
      <c r="AC230" s="125" t="str">
        <f t="shared" si="109"/>
        <v/>
      </c>
      <c r="AD230" s="125" t="str">
        <f t="shared" si="102"/>
        <v/>
      </c>
      <c r="AE230" s="125" t="str">
        <f t="shared" si="84"/>
        <v/>
      </c>
      <c r="AF230" s="125" t="str">
        <f t="shared" si="85"/>
        <v>COMMENT ON COLUMN TB_LCTRE_REQST.REGISTER_IP IS '등록자 IP' ;</v>
      </c>
      <c r="AG230" s="125" t="str">
        <f t="shared" si="103"/>
        <v>ALTER TABLE TB_LCTRE_REQST ALTER COLUMN REGISTER_IP TYPE VARCHAR(100);</v>
      </c>
      <c r="AH230" s="131" t="str">
        <f t="shared" si="82"/>
        <v>ALTER TABLE TB_LCTRE_REQST ADD COLUMN REGISTER_IP VARCHAR(100) NOT NULL;</v>
      </c>
      <c r="AI230" s="125" t="str">
        <f t="shared" si="104"/>
        <v>ALTER TABLE TB_LCTRE_REQST DROP COLUMN REGISTER_IP;</v>
      </c>
    </row>
    <row r="231" spans="2:35" ht="20.100000000000001" customHeight="1">
      <c r="B231" s="55">
        <v>223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7</v>
      </c>
      <c r="H231" s="97" t="s">
        <v>92</v>
      </c>
      <c r="I231" s="96" t="s">
        <v>78</v>
      </c>
      <c r="J231" s="73" t="s">
        <v>72</v>
      </c>
      <c r="K231" s="52"/>
      <c r="L231" s="52"/>
      <c r="M231" s="52"/>
      <c r="N231" s="52"/>
      <c r="O231" s="52"/>
      <c r="P231" s="52"/>
      <c r="Q231" s="51" t="s">
        <v>702</v>
      </c>
      <c r="R231" s="119"/>
      <c r="S231" s="80"/>
      <c r="T231" s="107" t="s">
        <v>217</v>
      </c>
      <c r="U231" s="78"/>
      <c r="V231" s="78"/>
      <c r="W231" s="101"/>
      <c r="X231" s="45"/>
      <c r="Y231" s="78"/>
      <c r="Z231" s="130" t="str">
        <f t="shared" si="83"/>
        <v>/* 테이블 : 수업신청 */ CREATE TABLE TB_LCTRE_REQST (</v>
      </c>
      <c r="AA231" s="125" t="str">
        <f t="shared" si="107"/>
        <v>REG_DT TIMESTAMP NOT NULL,</v>
      </c>
      <c r="AB231" s="125" t="str">
        <f t="shared" si="108"/>
        <v/>
      </c>
      <c r="AC231" s="125" t="str">
        <f t="shared" si="109"/>
        <v/>
      </c>
      <c r="AD231" s="125" t="str">
        <f t="shared" si="102"/>
        <v/>
      </c>
      <c r="AE231" s="125" t="str">
        <f t="shared" si="84"/>
        <v/>
      </c>
      <c r="AF231" s="125" t="str">
        <f t="shared" si="85"/>
        <v>COMMENT ON COLUMN TB_LCTRE_REQST.REG_DT IS '등록 일시' ;</v>
      </c>
      <c r="AG231" s="125" t="str">
        <f t="shared" si="103"/>
        <v>ALTER TABLE TB_LCTRE_REQST ALTER COLUMN REG_DT TYPE TIMESTAMP;</v>
      </c>
      <c r="AH231" s="131" t="str">
        <f t="shared" si="82"/>
        <v>ALTER TABLE TB_LCTRE_REQST ADD COLUMN REG_DT TIMESTAMP NOT NULL;</v>
      </c>
      <c r="AI231" s="125" t="str">
        <f t="shared" si="104"/>
        <v>ALTER TABLE TB_LCTRE_REQST DROP COLUMN REG_DT;</v>
      </c>
    </row>
    <row r="232" spans="2:35" ht="20.100000000000001" customHeight="1">
      <c r="B232" s="55">
        <v>224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8</v>
      </c>
      <c r="H232" s="97" t="s">
        <v>93</v>
      </c>
      <c r="I232" s="96" t="s">
        <v>80</v>
      </c>
      <c r="J232" s="52"/>
      <c r="K232" s="52"/>
      <c r="L232" s="52"/>
      <c r="M232" s="79"/>
      <c r="N232" s="79"/>
      <c r="O232" s="79"/>
      <c r="P232" s="79"/>
      <c r="Q232" s="100" t="s">
        <v>521</v>
      </c>
      <c r="R232" s="119" t="s">
        <v>526</v>
      </c>
      <c r="S232" s="80"/>
      <c r="T232" s="107" t="s">
        <v>216</v>
      </c>
      <c r="U232" s="78"/>
      <c r="V232" s="78"/>
      <c r="W232" s="116" t="s">
        <v>496</v>
      </c>
      <c r="X232" s="45"/>
      <c r="Y232" s="78"/>
      <c r="Z232" s="130" t="str">
        <f t="shared" si="83"/>
        <v>/* 테이블 : 수업신청 */ CREATE TABLE TB_LCTRE_REQST (</v>
      </c>
      <c r="AA232" s="125" t="str">
        <f t="shared" si="107"/>
        <v>UPDUSR_ID VARCHAR(50),</v>
      </c>
      <c r="AB232" s="125" t="str">
        <f t="shared" si="108"/>
        <v/>
      </c>
      <c r="AC232" s="125" t="str">
        <f t="shared" si="109"/>
        <v/>
      </c>
      <c r="AD232" s="125" t="str">
        <f t="shared" si="102"/>
        <v/>
      </c>
      <c r="AE232" s="125" t="str">
        <f t="shared" si="84"/>
        <v/>
      </c>
      <c r="AF232" s="125" t="str">
        <f t="shared" si="85"/>
        <v>COMMENT ON COLUMN TB_LCTRE_REQST.UPDUSR_ID IS '수정자 ID' ;</v>
      </c>
      <c r="AG232" s="125" t="str">
        <f t="shared" si="103"/>
        <v>ALTER TABLE TB_LCTRE_REQST ALTER COLUMN UPDUSR_ID TYPE VARCHAR(50);</v>
      </c>
      <c r="AH232" s="131" t="str">
        <f t="shared" si="82"/>
        <v>ALTER TABLE TB_LCTRE_REQST ADD COLUMN UPDUSR_ID VARCHAR(50);</v>
      </c>
      <c r="AI232" s="125" t="str">
        <f t="shared" si="104"/>
        <v>ALTER TABLE TB_LCTRE_REQST DROP COLUMN UPDUSR_ID;</v>
      </c>
    </row>
    <row r="233" spans="2:35" ht="20.100000000000001" customHeight="1">
      <c r="B233" s="135">
        <v>225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9</v>
      </c>
      <c r="H233" s="97" t="s">
        <v>94</v>
      </c>
      <c r="I233" s="96" t="s">
        <v>79</v>
      </c>
      <c r="J233" s="52"/>
      <c r="K233" s="52"/>
      <c r="L233" s="52"/>
      <c r="M233" s="52"/>
      <c r="N233" s="52"/>
      <c r="O233" s="52"/>
      <c r="P233" s="52"/>
      <c r="Q233" s="56" t="s">
        <v>106</v>
      </c>
      <c r="R233" s="119" t="s">
        <v>527</v>
      </c>
      <c r="S233" s="80"/>
      <c r="T233" s="107" t="s">
        <v>215</v>
      </c>
      <c r="U233" s="78"/>
      <c r="V233" s="78"/>
      <c r="W233" s="101"/>
      <c r="X233" s="45"/>
      <c r="Y233" s="78"/>
      <c r="Z233" s="130" t="str">
        <f t="shared" si="83"/>
        <v>/* 테이블 : 수업신청 */ CREATE TABLE TB_LCTRE_REQST (</v>
      </c>
      <c r="AA233" s="125" t="str">
        <f t="shared" si="107"/>
        <v>UPDUSR_IP VARCHAR(100),</v>
      </c>
      <c r="AB233" s="125" t="str">
        <f t="shared" si="108"/>
        <v/>
      </c>
      <c r="AC233" s="125" t="str">
        <f t="shared" si="109"/>
        <v/>
      </c>
      <c r="AD233" s="125" t="str">
        <f t="shared" ref="AD233:AD244" si="110">IF(ISBLANK(U233),"","ALTER TABLE "&amp;E233&amp;" ALTER COLUMN "&amp;H233&amp;" SET DEFAULT NEXTVAL('"&amp;U233&amp;"');")</f>
        <v/>
      </c>
      <c r="AE233" s="125" t="str">
        <f t="shared" si="84"/>
        <v/>
      </c>
      <c r="AF233" s="125" t="str">
        <f t="shared" si="85"/>
        <v>COMMENT ON COLUMN TB_LCTRE_REQST.UPDUSR_IP IS '수정자 IP' ;</v>
      </c>
      <c r="AG233" s="125" t="str">
        <f t="shared" ref="AG233:AG244" si="111">"ALTER TABLE "&amp;$E233&amp;" ALTER COLUMN "&amp;$H233&amp;" TYPE "&amp;$Q233&amp;IF(ISBLANK(R233),"",R233)&amp;";"</f>
        <v>ALTER TABLE TB_LCTRE_REQST ALTER COLUMN UPDUSR_IP TYPE VARCHAR(100);</v>
      </c>
      <c r="AH233" s="131" t="str">
        <f t="shared" si="82"/>
        <v>ALTER TABLE TB_LCTRE_REQST ADD COLUMN UPDUSR_IP VARCHAR(100);</v>
      </c>
      <c r="AI233" s="125" t="str">
        <f t="shared" si="104"/>
        <v>ALTER TABLE TB_LCTRE_REQST DROP COLUMN UPDUSR_IP;</v>
      </c>
    </row>
    <row r="234" spans="2:35" ht="20.100000000000001" customHeight="1">
      <c r="B234" s="55">
        <v>226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10</v>
      </c>
      <c r="H234" s="98" t="s">
        <v>95</v>
      </c>
      <c r="I234" s="97" t="s">
        <v>81</v>
      </c>
      <c r="J234" s="61"/>
      <c r="K234" s="61"/>
      <c r="L234" s="61"/>
      <c r="M234" s="61"/>
      <c r="N234" s="61"/>
      <c r="O234" s="61"/>
      <c r="P234" s="61"/>
      <c r="Q234" s="51" t="s">
        <v>702</v>
      </c>
      <c r="R234" s="119"/>
      <c r="S234" s="77"/>
      <c r="T234" s="107" t="s">
        <v>214</v>
      </c>
      <c r="U234" s="78"/>
      <c r="V234" s="78"/>
      <c r="W234" s="101"/>
      <c r="X234" s="45"/>
      <c r="Y234" s="78"/>
      <c r="Z234" s="130" t="str">
        <f t="shared" si="83"/>
        <v>/* 테이블 : 수업신청 */ CREATE TABLE TB_LCTRE_REQST (</v>
      </c>
      <c r="AA234" s="125" t="str">
        <f t="shared" si="107"/>
        <v>UPDT_DT TIMESTAMP,</v>
      </c>
      <c r="AB234" s="125" t="str">
        <f t="shared" si="108"/>
        <v/>
      </c>
      <c r="AC234" s="125" t="str">
        <f t="shared" si="109"/>
        <v/>
      </c>
      <c r="AD234" s="125" t="str">
        <f t="shared" si="110"/>
        <v/>
      </c>
      <c r="AE234" s="125" t="str">
        <f t="shared" si="84"/>
        <v/>
      </c>
      <c r="AF234" s="125" t="str">
        <f t="shared" si="85"/>
        <v>COMMENT ON COLUMN TB_LCTRE_REQST.UPDT_DT IS '수정 일시' ;</v>
      </c>
      <c r="AG234" s="125" t="str">
        <f t="shared" si="111"/>
        <v>ALTER TABLE TB_LCTRE_REQST ALTER COLUMN UPDT_DT TYPE TIMESTAMP;</v>
      </c>
      <c r="AH234" s="131" t="str">
        <f t="shared" si="82"/>
        <v>ALTER TABLE TB_LCTRE_REQST ADD COLUMN UPDT_DT TIMESTAMP;</v>
      </c>
      <c r="AI234" s="125" t="str">
        <f t="shared" si="104"/>
        <v>ALTER TABLE TB_LCTRE_REQST DROP COLUMN UPDT_DT;</v>
      </c>
    </row>
    <row r="235" spans="2:35" ht="20.100000000000001" customHeight="1">
      <c r="B235" s="55">
        <v>227</v>
      </c>
      <c r="C235" s="26" t="s">
        <v>7</v>
      </c>
      <c r="D235" s="25" t="s">
        <v>11</v>
      </c>
      <c r="E235" s="10" t="s">
        <v>258</v>
      </c>
      <c r="F235" s="10" t="s">
        <v>247</v>
      </c>
      <c r="G235" s="92">
        <v>11</v>
      </c>
      <c r="H235" s="97" t="s">
        <v>96</v>
      </c>
      <c r="I235" s="97" t="s">
        <v>82</v>
      </c>
      <c r="J235" s="73" t="s">
        <v>72</v>
      </c>
      <c r="K235" s="61"/>
      <c r="L235" s="61"/>
      <c r="M235" s="61"/>
      <c r="N235" s="61"/>
      <c r="O235" s="61"/>
      <c r="P235" s="61"/>
      <c r="Q235" s="51" t="s">
        <v>800</v>
      </c>
      <c r="R235" s="119" t="s">
        <v>522</v>
      </c>
      <c r="S235" s="82" t="s">
        <v>799</v>
      </c>
      <c r="T235" s="107" t="s">
        <v>213</v>
      </c>
      <c r="U235" s="78"/>
      <c r="V235" s="78"/>
      <c r="W235" s="101"/>
      <c r="X235" s="45"/>
      <c r="Y235" s="78"/>
      <c r="Z235" s="130" t="str">
        <f t="shared" si="83"/>
        <v>/* 테이블 : 수업신청 */ CREATE TABLE TB_LCTRE_REQST (</v>
      </c>
      <c r="AA235" s="125" t="str">
        <f t="shared" si="107"/>
        <v>DEL_YN BPCHAR(1) NOT NULL,</v>
      </c>
      <c r="AB235" s="125" t="str">
        <f t="shared" si="108"/>
        <v/>
      </c>
      <c r="AC235" s="125" t="str">
        <f t="shared" si="109"/>
        <v/>
      </c>
      <c r="AD235" s="125" t="str">
        <f t="shared" si="110"/>
        <v/>
      </c>
      <c r="AE235" s="125" t="str">
        <f t="shared" si="84"/>
        <v>ALTER TABLE TB_LCTRE_REQST ALTER COLUMN DEL_YN SET DEFAULT 'N'::bpchar;</v>
      </c>
      <c r="AF235" s="125" t="str">
        <f t="shared" si="85"/>
        <v>COMMENT ON COLUMN TB_LCTRE_REQST.DEL_YN IS '삭제 여부' ;</v>
      </c>
      <c r="AG235" s="125" t="str">
        <f t="shared" si="111"/>
        <v>ALTER TABLE TB_LCTRE_REQST ALTER COLUMN DEL_YN TYPE BPCHAR(1);</v>
      </c>
      <c r="AH235" s="131" t="str">
        <f t="shared" si="82"/>
        <v>ALTER TABLE TB_LCTRE_REQST ADD COLUMN DEL_YN BPCHAR(1) NOT NULL DEFAULT 'N'::bpchar;</v>
      </c>
      <c r="AI235" s="125" t="str">
        <f t="shared" si="104"/>
        <v>ALTER TABLE TB_LCTRE_REQST DROP COLUMN DEL_YN;</v>
      </c>
    </row>
    <row r="236" spans="2:35" ht="20.100000000000001" customHeight="1">
      <c r="B236" s="55">
        <v>228</v>
      </c>
      <c r="C236" s="26" t="s">
        <v>7</v>
      </c>
      <c r="D236" s="25" t="s">
        <v>11</v>
      </c>
      <c r="E236" s="10" t="s">
        <v>768</v>
      </c>
      <c r="F236" s="10" t="s">
        <v>775</v>
      </c>
      <c r="G236" s="92">
        <v>1</v>
      </c>
      <c r="H236" s="101" t="s">
        <v>769</v>
      </c>
      <c r="I236" s="101" t="s">
        <v>770</v>
      </c>
      <c r="J236" s="73" t="s">
        <v>72</v>
      </c>
      <c r="K236" s="45">
        <v>1</v>
      </c>
      <c r="L236" s="45"/>
      <c r="M236" s="45"/>
      <c r="N236" s="45"/>
      <c r="O236" s="45"/>
      <c r="P236" s="45"/>
      <c r="Q236" s="101" t="s">
        <v>172</v>
      </c>
      <c r="R236" s="92"/>
      <c r="S236" s="45"/>
      <c r="T236" s="101" t="s">
        <v>776</v>
      </c>
      <c r="U236" s="125" t="str">
        <f>"SEQ_"&amp;E236&amp;"_SN"</f>
        <v>SEQ_TB_LCTRE_REQST_DETAIL_SN</v>
      </c>
      <c r="V236" s="125"/>
      <c r="W236" s="101"/>
      <c r="X236" s="45"/>
      <c r="Y236" s="78"/>
      <c r="Z236" s="130" t="str">
        <f t="shared" si="83"/>
        <v>/* 테이블 : 수업신청상세 */ CREATE TABLE TB_LCTRE_REQST_DETAIL (</v>
      </c>
      <c r="AA236" s="125" t="str">
        <f t="shared" si="107"/>
        <v>LCTRE_REQST_DETAIL_SN INTEGER PRIMARY KEY,</v>
      </c>
      <c r="AB236" s="125" t="str">
        <f t="shared" si="108"/>
        <v/>
      </c>
      <c r="AC236" s="125" t="str">
        <f t="shared" si="109"/>
        <v>CREATE SEQUENCE SEQ_TB_LCTRE_REQST_DETAIL_SN START 100000;</v>
      </c>
      <c r="AD236" s="125" t="str">
        <f t="shared" si="110"/>
        <v>ALTER TABLE TB_LCTRE_REQST_DETAIL ALTER COLUMN LCTRE_REQST_DETAIL_SN SET DEFAULT NEXTVAL('SEQ_TB_LCTRE_REQST_DETAIL_SN');</v>
      </c>
      <c r="AE236" s="125" t="str">
        <f t="shared" si="84"/>
        <v/>
      </c>
      <c r="AF236" s="125" t="str">
        <f t="shared" si="85"/>
        <v>COMMENT ON COLUMN TB_LCTRE_REQST_DETAIL.LCTRE_REQST_DETAIL_SN IS '수업 신청 상세 일련번호' ;</v>
      </c>
      <c r="AG236" s="125" t="str">
        <f t="shared" si="111"/>
        <v>ALTER TABLE TB_LCTRE_REQST_DETAIL ALTER COLUMN LCTRE_REQST_DETAIL_SN TYPE INTEGER;</v>
      </c>
      <c r="AH236" s="131" t="str">
        <f t="shared" si="82"/>
        <v>ALTER TABLE TB_LCTRE_REQST_DETAIL ADD COLUMN LCTRE_REQST_DETAIL_SN INTEGER NOT NULL;</v>
      </c>
      <c r="AI236" s="125" t="str">
        <f t="shared" si="104"/>
        <v>ALTER TABLE TB_LCTRE_REQST_DETAIL DROP COLUMN LCTRE_REQST_DETAIL_SN;</v>
      </c>
    </row>
    <row r="237" spans="2:35" ht="20.100000000000001" customHeight="1">
      <c r="B237" s="135">
        <v>229</v>
      </c>
      <c r="C237" s="26" t="s">
        <v>7</v>
      </c>
      <c r="D237" s="25" t="s">
        <v>11</v>
      </c>
      <c r="E237" s="10" t="s">
        <v>768</v>
      </c>
      <c r="F237" s="10" t="s">
        <v>775</v>
      </c>
      <c r="G237" s="92">
        <v>2</v>
      </c>
      <c r="H237" s="101" t="s">
        <v>273</v>
      </c>
      <c r="I237" s="101" t="s">
        <v>272</v>
      </c>
      <c r="J237" s="73" t="s">
        <v>131</v>
      </c>
      <c r="K237" s="69"/>
      <c r="L237" s="69">
        <v>1</v>
      </c>
      <c r="M237" s="10" t="s">
        <v>258</v>
      </c>
      <c r="N237" s="101" t="s">
        <v>273</v>
      </c>
      <c r="O237" s="95" t="s">
        <v>539</v>
      </c>
      <c r="P237" s="95" t="s">
        <v>541</v>
      </c>
      <c r="Q237" s="101" t="s">
        <v>172</v>
      </c>
      <c r="R237" s="83"/>
      <c r="S237" s="81"/>
      <c r="T237" s="101" t="s">
        <v>318</v>
      </c>
      <c r="U237" s="78"/>
      <c r="V237" s="78"/>
      <c r="W237" s="101"/>
      <c r="X237" s="45"/>
      <c r="Y237" s="78"/>
      <c r="Z237" s="130" t="str">
        <f t="shared" si="83"/>
        <v>/* 테이블 : 수업신청상세 */ CREATE TABLE TB_LCTRE_REQST_DETAIL (</v>
      </c>
      <c r="AA237" s="125" t="str">
        <f t="shared" si="107"/>
        <v>LCTRE_REQST_SN INTEGER NOT NULL,</v>
      </c>
      <c r="AB237" s="125" t="str">
        <f t="shared" si="108"/>
        <v>ALTER TABLE TB_LCTRE_REQST_DETAIL ADD CONSTRAINT TB_LCTRE_REQST_DETAIL_FKEY1 FOREIGN KEY(LCTRE_REQST_SN) REFERENCES TB_LCTRE_REQST(LCTRE_REQST_SN) ON UPDATE CASCADE ON DELETE CASCADE;</v>
      </c>
      <c r="AC237" s="125" t="str">
        <f t="shared" si="109"/>
        <v/>
      </c>
      <c r="AD237" s="125" t="str">
        <f t="shared" si="110"/>
        <v/>
      </c>
      <c r="AE237" s="125" t="str">
        <f t="shared" si="84"/>
        <v/>
      </c>
      <c r="AF237" s="125" t="str">
        <f t="shared" si="85"/>
        <v>COMMENT ON COLUMN TB_LCTRE_REQST_DETAIL.LCTRE_REQST_SN IS '수업 신청 일련번호' ;</v>
      </c>
      <c r="AG237" s="125" t="str">
        <f t="shared" si="111"/>
        <v>ALTER TABLE TB_LCTRE_REQST_DETAIL ALTER COLUMN LCTRE_REQST_SN TYPE INTEGER;</v>
      </c>
      <c r="AH237" s="131" t="str">
        <f t="shared" si="82"/>
        <v>ALTER TABLE TB_LCTRE_REQST_DETAIL ADD COLUMN LCTRE_REQST_SN INTEGER NOT NULL;</v>
      </c>
      <c r="AI237" s="125" t="str">
        <f t="shared" si="104"/>
        <v>ALTER TABLE TB_LCTRE_REQST_DETAIL DROP COLUMN LCTRE_REQST_SN;</v>
      </c>
    </row>
    <row r="238" spans="2:35" ht="20.100000000000001" customHeight="1">
      <c r="B238" s="55">
        <v>230</v>
      </c>
      <c r="C238" s="26" t="s">
        <v>7</v>
      </c>
      <c r="D238" s="25" t="s">
        <v>11</v>
      </c>
      <c r="E238" s="10" t="s">
        <v>768</v>
      </c>
      <c r="F238" s="10" t="s">
        <v>775</v>
      </c>
      <c r="G238" s="92">
        <v>3</v>
      </c>
      <c r="H238" s="101" t="s">
        <v>185</v>
      </c>
      <c r="I238" s="101" t="s">
        <v>186</v>
      </c>
      <c r="J238" s="73" t="s">
        <v>131</v>
      </c>
      <c r="K238" s="69"/>
      <c r="L238" s="69">
        <v>2</v>
      </c>
      <c r="M238" s="13" t="s">
        <v>154</v>
      </c>
      <c r="N238" s="101" t="s">
        <v>185</v>
      </c>
      <c r="O238" s="95" t="s">
        <v>539</v>
      </c>
      <c r="P238" s="95" t="s">
        <v>541</v>
      </c>
      <c r="Q238" s="101" t="s">
        <v>172</v>
      </c>
      <c r="R238" s="83"/>
      <c r="S238" s="81"/>
      <c r="T238" s="101" t="s">
        <v>192</v>
      </c>
      <c r="U238" s="78"/>
      <c r="V238" s="78"/>
      <c r="W238" s="101"/>
      <c r="X238" s="45"/>
      <c r="Y238" s="78"/>
      <c r="Z238" s="130" t="str">
        <f t="shared" si="83"/>
        <v>/* 테이블 : 수업신청상세 */ CREATE TABLE TB_LCTRE_REQST_DETAIL (</v>
      </c>
      <c r="AA238" s="125" t="str">
        <f t="shared" si="107"/>
        <v>CLASS_DETAIL_SN INTEGER NOT NULL,</v>
      </c>
      <c r="AB238" s="125" t="str">
        <f t="shared" si="108"/>
        <v>ALTER TABLE TB_LCTRE_REQST_DETAIL ADD CONSTRAINT TB_LCTRE_REQST_DETAIL_FKEY2 FOREIGN KEY(CLASS_DETAIL_SN) REFERENCES TB_CLASS_DETAIL(CLASS_DETAIL_SN) ON UPDATE CASCADE ON DELETE CASCADE;</v>
      </c>
      <c r="AC238" s="125" t="str">
        <f t="shared" si="109"/>
        <v/>
      </c>
      <c r="AD238" s="125" t="str">
        <f t="shared" si="110"/>
        <v/>
      </c>
      <c r="AE238" s="125" t="str">
        <f t="shared" si="84"/>
        <v/>
      </c>
      <c r="AF238" s="125" t="str">
        <f t="shared" si="85"/>
        <v>COMMENT ON COLUMN TB_LCTRE_REQST_DETAIL.CLASS_DETAIL_SN IS '클래스 상세 일련번호' ;</v>
      </c>
      <c r="AG238" s="125" t="str">
        <f t="shared" si="111"/>
        <v>ALTER TABLE TB_LCTRE_REQST_DETAIL ALTER COLUMN CLASS_DETAIL_SN TYPE INTEGER;</v>
      </c>
      <c r="AH238" s="131" t="str">
        <f t="shared" si="82"/>
        <v>ALTER TABLE TB_LCTRE_REQST_DETAIL ADD COLUMN CLASS_DETAIL_SN INTEGER NOT NULL;</v>
      </c>
      <c r="AI238" s="125" t="str">
        <f t="shared" si="104"/>
        <v>ALTER TABLE TB_LCTRE_REQST_DETAIL DROP COLUMN CLASS_DETAIL_SN;</v>
      </c>
    </row>
    <row r="239" spans="2:35" ht="20.100000000000001" customHeight="1">
      <c r="B239" s="55">
        <v>231</v>
      </c>
      <c r="C239" s="26" t="s">
        <v>7</v>
      </c>
      <c r="D239" s="25" t="s">
        <v>11</v>
      </c>
      <c r="E239" s="10" t="s">
        <v>768</v>
      </c>
      <c r="F239" s="10" t="s">
        <v>775</v>
      </c>
      <c r="G239" s="92">
        <v>4</v>
      </c>
      <c r="H239" s="98" t="s">
        <v>275</v>
      </c>
      <c r="I239" s="97" t="s">
        <v>274</v>
      </c>
      <c r="J239" s="73"/>
      <c r="K239" s="45"/>
      <c r="L239" s="45"/>
      <c r="M239" s="78"/>
      <c r="N239" s="95"/>
      <c r="O239" s="95"/>
      <c r="P239" s="95"/>
      <c r="Q239" s="100" t="s">
        <v>521</v>
      </c>
      <c r="R239" s="119" t="s">
        <v>530</v>
      </c>
      <c r="S239" s="45"/>
      <c r="T239" s="97" t="s">
        <v>319</v>
      </c>
      <c r="U239" s="78"/>
      <c r="V239" s="78"/>
      <c r="W239" s="116" t="s">
        <v>777</v>
      </c>
      <c r="X239" s="45"/>
      <c r="Y239" s="78"/>
      <c r="Z239" s="130" t="str">
        <f t="shared" si="83"/>
        <v>/* 테이블 : 수업신청상세 */ CREATE TABLE TB_LCTRE_REQST_DETAIL (</v>
      </c>
      <c r="AA239" s="125" t="str">
        <f t="shared" si="107"/>
        <v>CLASS_DETAIL_ANSWER VARCHAR(2000),</v>
      </c>
      <c r="AB239" s="125" t="str">
        <f t="shared" si="108"/>
        <v/>
      </c>
      <c r="AC239" s="125" t="str">
        <f t="shared" si="109"/>
        <v/>
      </c>
      <c r="AD239" s="125" t="str">
        <f t="shared" si="110"/>
        <v/>
      </c>
      <c r="AE239" s="125" t="str">
        <f t="shared" si="84"/>
        <v/>
      </c>
      <c r="AF239" s="125" t="str">
        <f t="shared" si="85"/>
        <v>COMMENT ON COLUMN TB_LCTRE_REQST_DETAIL.CLASS_DETAIL_ANSWER IS '클래스 상세 답변' ;</v>
      </c>
      <c r="AG239" s="125" t="str">
        <f t="shared" si="111"/>
        <v>ALTER TABLE TB_LCTRE_REQST_DETAIL ALTER COLUMN CLASS_DETAIL_ANSWER TYPE VARCHAR(2000);</v>
      </c>
      <c r="AH239" s="131" t="str">
        <f t="shared" si="82"/>
        <v>ALTER TABLE TB_LCTRE_REQST_DETAIL ADD COLUMN CLASS_DETAIL_ANSWER VARCHAR(2000);</v>
      </c>
      <c r="AI239" s="125" t="str">
        <f t="shared" si="104"/>
        <v>ALTER TABLE TB_LCTRE_REQST_DETAIL DROP COLUMN CLASS_DETAIL_ANSWER;</v>
      </c>
    </row>
    <row r="240" spans="2:35" ht="20.100000000000001" customHeight="1">
      <c r="B240" s="55">
        <v>232</v>
      </c>
      <c r="C240" s="26" t="s">
        <v>7</v>
      </c>
      <c r="D240" s="25" t="s">
        <v>11</v>
      </c>
      <c r="E240" s="10" t="s">
        <v>768</v>
      </c>
      <c r="F240" s="10" t="s">
        <v>775</v>
      </c>
      <c r="G240" s="92">
        <v>5</v>
      </c>
      <c r="H240" s="97" t="s">
        <v>107</v>
      </c>
      <c r="I240" s="51" t="s">
        <v>76</v>
      </c>
      <c r="J240" s="73"/>
      <c r="K240" s="61"/>
      <c r="L240" s="61"/>
      <c r="M240" s="12"/>
      <c r="N240" s="98"/>
      <c r="O240" s="95"/>
      <c r="P240" s="95"/>
      <c r="Q240" s="100" t="s">
        <v>521</v>
      </c>
      <c r="R240" s="119" t="s">
        <v>526</v>
      </c>
      <c r="S240" s="80"/>
      <c r="T240" s="107" t="s">
        <v>219</v>
      </c>
      <c r="U240" s="78"/>
      <c r="V240" s="78"/>
      <c r="W240" s="101"/>
      <c r="X240" s="45"/>
      <c r="Y240" s="78"/>
      <c r="Z240" s="130" t="str">
        <f t="shared" si="83"/>
        <v>/* 테이블 : 수업신청상세 */ CREATE TABLE TB_LCTRE_REQST_DETAIL (</v>
      </c>
      <c r="AA240" s="125" t="str">
        <f t="shared" si="107"/>
        <v>REGISTER_ID VARCHAR(50),</v>
      </c>
      <c r="AB240" s="125" t="str">
        <f t="shared" si="108"/>
        <v/>
      </c>
      <c r="AC240" s="125" t="str">
        <f t="shared" si="109"/>
        <v/>
      </c>
      <c r="AD240" s="125" t="str">
        <f t="shared" si="110"/>
        <v/>
      </c>
      <c r="AE240" s="125" t="str">
        <f t="shared" si="84"/>
        <v/>
      </c>
      <c r="AF240" s="125" t="str">
        <f t="shared" si="85"/>
        <v>COMMENT ON COLUMN TB_LCTRE_REQST_DETAIL.REGISTER_ID IS '등록자 ID' ;</v>
      </c>
      <c r="AG240" s="125" t="str">
        <f t="shared" si="111"/>
        <v>ALTER TABLE TB_LCTRE_REQST_DETAIL ALTER COLUMN REGISTER_ID TYPE VARCHAR(50);</v>
      </c>
      <c r="AH240" s="131" t="str">
        <f t="shared" si="82"/>
        <v>ALTER TABLE TB_LCTRE_REQST_DETAIL ADD COLUMN REGISTER_ID VARCHAR(50);</v>
      </c>
      <c r="AI240" s="125" t="str">
        <f t="shared" si="104"/>
        <v>ALTER TABLE TB_LCTRE_REQST_DETAIL DROP COLUMN REGISTER_ID;</v>
      </c>
    </row>
    <row r="241" spans="2:35" ht="20.100000000000001" customHeight="1">
      <c r="B241" s="135">
        <v>233</v>
      </c>
      <c r="C241" s="26" t="s">
        <v>7</v>
      </c>
      <c r="D241" s="25" t="s">
        <v>11</v>
      </c>
      <c r="E241" s="10" t="s">
        <v>768</v>
      </c>
      <c r="F241" s="10" t="s">
        <v>775</v>
      </c>
      <c r="G241" s="92">
        <v>6</v>
      </c>
      <c r="H241" s="97" t="s">
        <v>91</v>
      </c>
      <c r="I241" s="51" t="s">
        <v>77</v>
      </c>
      <c r="J241" s="73" t="s">
        <v>72</v>
      </c>
      <c r="K241" s="67"/>
      <c r="L241" s="67"/>
      <c r="M241" s="77"/>
      <c r="N241" s="77"/>
      <c r="O241" s="77"/>
      <c r="P241" s="77"/>
      <c r="Q241" s="56" t="s">
        <v>106</v>
      </c>
      <c r="R241" s="119" t="s">
        <v>527</v>
      </c>
      <c r="S241" s="80"/>
      <c r="T241" s="107" t="s">
        <v>218</v>
      </c>
      <c r="U241" s="78"/>
      <c r="V241" s="78"/>
      <c r="W241" s="116" t="s">
        <v>496</v>
      </c>
      <c r="X241" s="45"/>
      <c r="Y241" s="78"/>
      <c r="Z241" s="130" t="str">
        <f t="shared" si="83"/>
        <v>/* 테이블 : 수업신청상세 */ CREATE TABLE TB_LCTRE_REQST_DETAIL (</v>
      </c>
      <c r="AA241" s="125" t="str">
        <f t="shared" ref="AA241:AA246" si="112">H241&amp;" "&amp;Q241&amp;R241&amp;IF(ISBLANK(K241),""," PRIMARY KEY")&amp;IF(AND(ISBLANK(K241),J241="Y")," NOT NULL","")&amp;","</f>
        <v>REGISTER_IP VARCHAR(100) NOT NULL,</v>
      </c>
      <c r="AB241" s="125" t="str">
        <f t="shared" ref="AB241:AB246" si="113">IF(ISBLANK(L241),"","ALTER TABLE " &amp; E241 &amp; " ADD CONSTRAINT " &amp; E241 &amp; "_FKEY" &amp; L241 &amp;  " FOREIGN KEY(" &amp;H241 &amp; ") REFERENCES " &amp; M241 &amp; "(" &amp; N241 &amp; ") "&amp;O241&amp;" "&amp;P241&amp;";")</f>
        <v/>
      </c>
      <c r="AC241" s="125" t="str">
        <f t="shared" ref="AC241:AC246" si="114">IF(ISBLANK(U241),"","CREATE SEQUENCE "&amp;U241&amp;" START 100000;")</f>
        <v/>
      </c>
      <c r="AD241" s="125" t="str">
        <f t="shared" si="110"/>
        <v/>
      </c>
      <c r="AE241" s="125" t="str">
        <f t="shared" si="84"/>
        <v/>
      </c>
      <c r="AF241" s="125" t="str">
        <f t="shared" si="85"/>
        <v>COMMENT ON COLUMN TB_LCTRE_REQST_DETAIL.REGISTER_IP IS '등록자 IP' ;</v>
      </c>
      <c r="AG241" s="125" t="str">
        <f t="shared" si="111"/>
        <v>ALTER TABLE TB_LCTRE_REQST_DETAIL ALTER COLUMN REGISTER_IP TYPE VARCHAR(100);</v>
      </c>
      <c r="AH241" s="131" t="str">
        <f t="shared" si="82"/>
        <v>ALTER TABLE TB_LCTRE_REQST_DETAIL ADD COLUMN REGISTER_IP VARCHAR(100) NOT NULL;</v>
      </c>
      <c r="AI241" s="125" t="str">
        <f t="shared" si="104"/>
        <v>ALTER TABLE TB_LCTRE_REQST_DETAIL DROP COLUMN REGISTER_IP;</v>
      </c>
    </row>
    <row r="242" spans="2:35" ht="20.100000000000001" customHeight="1">
      <c r="B242" s="55">
        <v>234</v>
      </c>
      <c r="C242" s="26" t="s">
        <v>7</v>
      </c>
      <c r="D242" s="25" t="s">
        <v>11</v>
      </c>
      <c r="E242" s="10" t="s">
        <v>768</v>
      </c>
      <c r="F242" s="10" t="s">
        <v>775</v>
      </c>
      <c r="G242" s="92">
        <v>7</v>
      </c>
      <c r="H242" s="97" t="s">
        <v>92</v>
      </c>
      <c r="I242" s="96" t="s">
        <v>78</v>
      </c>
      <c r="J242" s="73" t="s">
        <v>72</v>
      </c>
      <c r="K242" s="52"/>
      <c r="L242" s="52"/>
      <c r="M242" s="52"/>
      <c r="N242" s="52"/>
      <c r="O242" s="52"/>
      <c r="P242" s="52"/>
      <c r="Q242" s="51" t="s">
        <v>702</v>
      </c>
      <c r="R242" s="119"/>
      <c r="S242" s="80"/>
      <c r="T242" s="107" t="s">
        <v>217</v>
      </c>
      <c r="U242" s="78"/>
      <c r="V242" s="78"/>
      <c r="W242" s="101"/>
      <c r="X242" s="45"/>
      <c r="Y242" s="78"/>
      <c r="Z242" s="130" t="str">
        <f t="shared" si="83"/>
        <v>/* 테이블 : 수업신청상세 */ CREATE TABLE TB_LCTRE_REQST_DETAIL (</v>
      </c>
      <c r="AA242" s="125" t="str">
        <f t="shared" si="112"/>
        <v>REG_DT TIMESTAMP NOT NULL,</v>
      </c>
      <c r="AB242" s="125" t="str">
        <f t="shared" si="113"/>
        <v/>
      </c>
      <c r="AC242" s="125" t="str">
        <f t="shared" si="114"/>
        <v/>
      </c>
      <c r="AD242" s="125" t="str">
        <f t="shared" si="110"/>
        <v/>
      </c>
      <c r="AE242" s="125" t="str">
        <f t="shared" si="84"/>
        <v/>
      </c>
      <c r="AF242" s="125" t="str">
        <f t="shared" si="85"/>
        <v>COMMENT ON COLUMN TB_LCTRE_REQST_DETAIL.REG_DT IS '등록 일시' ;</v>
      </c>
      <c r="AG242" s="125" t="str">
        <f t="shared" si="111"/>
        <v>ALTER TABLE TB_LCTRE_REQST_DETAIL ALTER COLUMN REG_DT TYPE TIMESTAMP;</v>
      </c>
      <c r="AH242" s="131" t="str">
        <f t="shared" si="82"/>
        <v>ALTER TABLE TB_LCTRE_REQST_DETAIL ADD COLUMN REG_DT TIMESTAMP NOT NULL;</v>
      </c>
      <c r="AI242" s="125" t="str">
        <f t="shared" si="104"/>
        <v>ALTER TABLE TB_LCTRE_REQST_DETAIL DROP COLUMN REG_DT;</v>
      </c>
    </row>
    <row r="243" spans="2:35" ht="20.100000000000001" customHeight="1">
      <c r="B243" s="55">
        <v>235</v>
      </c>
      <c r="C243" s="26" t="s">
        <v>7</v>
      </c>
      <c r="D243" s="25" t="s">
        <v>11</v>
      </c>
      <c r="E243" s="10" t="s">
        <v>768</v>
      </c>
      <c r="F243" s="10" t="s">
        <v>775</v>
      </c>
      <c r="G243" s="92">
        <v>8</v>
      </c>
      <c r="H243" s="97" t="s">
        <v>93</v>
      </c>
      <c r="I243" s="96" t="s">
        <v>80</v>
      </c>
      <c r="J243" s="73" t="s">
        <v>72</v>
      </c>
      <c r="K243" s="52"/>
      <c r="L243" s="52"/>
      <c r="M243" s="52"/>
      <c r="N243" s="52"/>
      <c r="O243" s="52"/>
      <c r="P243" s="52"/>
      <c r="Q243" s="100" t="s">
        <v>521</v>
      </c>
      <c r="R243" s="119" t="s">
        <v>526</v>
      </c>
      <c r="S243" s="80"/>
      <c r="T243" s="107" t="s">
        <v>216</v>
      </c>
      <c r="U243" s="78"/>
      <c r="V243" s="78"/>
      <c r="W243" s="101"/>
      <c r="X243" s="45"/>
      <c r="Y243" s="78"/>
      <c r="Z243" s="130" t="str">
        <f t="shared" si="83"/>
        <v>/* 테이블 : 수업신청상세 */ CREATE TABLE TB_LCTRE_REQST_DETAIL (</v>
      </c>
      <c r="AA243" s="125" t="str">
        <f t="shared" si="112"/>
        <v>UPDUSR_ID VARCHAR(50) NOT NULL,</v>
      </c>
      <c r="AB243" s="125" t="str">
        <f t="shared" si="113"/>
        <v/>
      </c>
      <c r="AC243" s="125" t="str">
        <f t="shared" si="114"/>
        <v/>
      </c>
      <c r="AD243" s="125" t="str">
        <f t="shared" si="110"/>
        <v/>
      </c>
      <c r="AE243" s="125" t="str">
        <f t="shared" si="84"/>
        <v/>
      </c>
      <c r="AF243" s="125" t="str">
        <f t="shared" si="85"/>
        <v>COMMENT ON COLUMN TB_LCTRE_REQST_DETAIL.UPDUSR_ID IS '수정자 ID' ;</v>
      </c>
      <c r="AG243" s="125" t="str">
        <f t="shared" si="111"/>
        <v>ALTER TABLE TB_LCTRE_REQST_DETAIL ALTER COLUMN UPDUSR_ID TYPE VARCHAR(50);</v>
      </c>
      <c r="AH243" s="131" t="str">
        <f t="shared" si="82"/>
        <v>ALTER TABLE TB_LCTRE_REQST_DETAIL ADD COLUMN UPDUSR_ID VARCHAR(50) NOT NULL;</v>
      </c>
      <c r="AI243" s="125" t="str">
        <f t="shared" si="104"/>
        <v>ALTER TABLE TB_LCTRE_REQST_DETAIL DROP COLUMN UPDUSR_ID;</v>
      </c>
    </row>
    <row r="244" spans="2:35" ht="20.100000000000001" customHeight="1">
      <c r="B244" s="55">
        <v>236</v>
      </c>
      <c r="C244" s="26" t="s">
        <v>7</v>
      </c>
      <c r="D244" s="25" t="s">
        <v>11</v>
      </c>
      <c r="E244" s="10" t="s">
        <v>768</v>
      </c>
      <c r="F244" s="10" t="s">
        <v>775</v>
      </c>
      <c r="G244" s="92">
        <v>9</v>
      </c>
      <c r="H244" s="97" t="s">
        <v>94</v>
      </c>
      <c r="I244" s="96" t="s">
        <v>79</v>
      </c>
      <c r="J244" s="52"/>
      <c r="K244" s="52"/>
      <c r="L244" s="52"/>
      <c r="M244" s="79"/>
      <c r="N244" s="79"/>
      <c r="O244" s="79"/>
      <c r="P244" s="79"/>
      <c r="Q244" s="56" t="s">
        <v>106</v>
      </c>
      <c r="R244" s="119" t="s">
        <v>527</v>
      </c>
      <c r="S244" s="80"/>
      <c r="T244" s="107" t="s">
        <v>215</v>
      </c>
      <c r="U244" s="78"/>
      <c r="V244" s="78"/>
      <c r="W244" s="116" t="s">
        <v>496</v>
      </c>
      <c r="X244" s="45"/>
      <c r="Y244" s="78"/>
      <c r="Z244" s="130" t="str">
        <f t="shared" si="83"/>
        <v>/* 테이블 : 수업신청상세 */ CREATE TABLE TB_LCTRE_REQST_DETAIL (</v>
      </c>
      <c r="AA244" s="125" t="str">
        <f t="shared" si="112"/>
        <v>UPDUSR_IP VARCHAR(100),</v>
      </c>
      <c r="AB244" s="125" t="str">
        <f t="shared" si="113"/>
        <v/>
      </c>
      <c r="AC244" s="125" t="str">
        <f t="shared" si="114"/>
        <v/>
      </c>
      <c r="AD244" s="125" t="str">
        <f t="shared" si="110"/>
        <v/>
      </c>
      <c r="AE244" s="125" t="str">
        <f t="shared" si="84"/>
        <v/>
      </c>
      <c r="AF244" s="125" t="str">
        <f t="shared" si="85"/>
        <v>COMMENT ON COLUMN TB_LCTRE_REQST_DETAIL.UPDUSR_IP IS '수정자 IP' ;</v>
      </c>
      <c r="AG244" s="125" t="str">
        <f t="shared" si="111"/>
        <v>ALTER TABLE TB_LCTRE_REQST_DETAIL ALTER COLUMN UPDUSR_IP TYPE VARCHAR(100);</v>
      </c>
      <c r="AH244" s="131" t="str">
        <f t="shared" si="82"/>
        <v>ALTER TABLE TB_LCTRE_REQST_DETAIL ADD COLUMN UPDUSR_IP VARCHAR(100);</v>
      </c>
      <c r="AI244" s="125" t="str">
        <f t="shared" si="104"/>
        <v>ALTER TABLE TB_LCTRE_REQST_DETAIL DROP COLUMN UPDUSR_IP;</v>
      </c>
    </row>
    <row r="245" spans="2:35" ht="20.100000000000001" customHeight="1">
      <c r="B245" s="135">
        <v>237</v>
      </c>
      <c r="C245" s="26" t="s">
        <v>7</v>
      </c>
      <c r="D245" s="25" t="s">
        <v>11</v>
      </c>
      <c r="E245" s="10" t="s">
        <v>768</v>
      </c>
      <c r="F245" s="10" t="s">
        <v>775</v>
      </c>
      <c r="G245" s="92">
        <v>10</v>
      </c>
      <c r="H245" s="98" t="s">
        <v>95</v>
      </c>
      <c r="I245" s="97" t="s">
        <v>81</v>
      </c>
      <c r="J245" s="52"/>
      <c r="K245" s="52"/>
      <c r="L245" s="52"/>
      <c r="M245" s="52"/>
      <c r="N245" s="52"/>
      <c r="O245" s="52"/>
      <c r="P245" s="52"/>
      <c r="Q245" s="51" t="s">
        <v>702</v>
      </c>
      <c r="R245" s="119"/>
      <c r="S245" s="77"/>
      <c r="T245" s="107" t="s">
        <v>214</v>
      </c>
      <c r="U245" s="78"/>
      <c r="V245" s="78"/>
      <c r="W245" s="101"/>
      <c r="X245" s="45"/>
      <c r="Y245" s="78"/>
      <c r="Z245" s="130" t="str">
        <f t="shared" si="83"/>
        <v>/* 테이블 : 수업신청상세 */ CREATE TABLE TB_LCTRE_REQST_DETAIL (</v>
      </c>
      <c r="AA245" s="125" t="str">
        <f t="shared" si="112"/>
        <v>UPDT_DT TIMESTAMP,</v>
      </c>
      <c r="AB245" s="125" t="str">
        <f t="shared" si="113"/>
        <v/>
      </c>
      <c r="AC245" s="125" t="str">
        <f t="shared" si="114"/>
        <v/>
      </c>
      <c r="AD245" s="125" t="str">
        <f t="shared" ref="AD245:AD246" si="115">IF(ISBLANK(U245),"","ALTER TABLE "&amp;E245&amp;" ALTER COLUMN "&amp;H245&amp;" SET DEFAULT NEXTVAL('"&amp;U245&amp;"');")</f>
        <v/>
      </c>
      <c r="AE245" s="125" t="str">
        <f t="shared" si="84"/>
        <v/>
      </c>
      <c r="AF245" s="125" t="str">
        <f t="shared" si="85"/>
        <v>COMMENT ON COLUMN TB_LCTRE_REQST_DETAIL.UPDT_DT IS '수정 일시' ;</v>
      </c>
      <c r="AG245" s="125" t="str">
        <f t="shared" ref="AG245:AG246" si="116">"ALTER TABLE "&amp;$E245&amp;" ALTER COLUMN "&amp;$H245&amp;" TYPE "&amp;$Q245&amp;IF(ISBLANK(R245),"",R245)&amp;";"</f>
        <v>ALTER TABLE TB_LCTRE_REQST_DETAIL ALTER COLUMN UPDT_DT TYPE TIMESTAMP;</v>
      </c>
      <c r="AH245" s="131" t="str">
        <f t="shared" si="82"/>
        <v>ALTER TABLE TB_LCTRE_REQST_DETAIL ADD COLUMN UPDT_DT TIMESTAMP;</v>
      </c>
      <c r="AI245" s="125" t="str">
        <f t="shared" si="104"/>
        <v>ALTER TABLE TB_LCTRE_REQST_DETAIL DROP COLUMN UPDT_DT;</v>
      </c>
    </row>
    <row r="246" spans="2:35" ht="20.100000000000001" customHeight="1">
      <c r="B246" s="55">
        <v>238</v>
      </c>
      <c r="C246" s="26" t="s">
        <v>7</v>
      </c>
      <c r="D246" s="25" t="s">
        <v>11</v>
      </c>
      <c r="E246" s="10" t="s">
        <v>768</v>
      </c>
      <c r="F246" s="10" t="s">
        <v>775</v>
      </c>
      <c r="G246" s="92">
        <v>11</v>
      </c>
      <c r="H246" s="97" t="s">
        <v>96</v>
      </c>
      <c r="I246" s="97" t="s">
        <v>82</v>
      </c>
      <c r="J246" s="61"/>
      <c r="K246" s="61"/>
      <c r="L246" s="61"/>
      <c r="M246" s="61"/>
      <c r="N246" s="61"/>
      <c r="O246" s="61"/>
      <c r="P246" s="61"/>
      <c r="Q246" s="51" t="s">
        <v>800</v>
      </c>
      <c r="R246" s="119" t="s">
        <v>522</v>
      </c>
      <c r="S246" s="82" t="s">
        <v>799</v>
      </c>
      <c r="T246" s="107" t="s">
        <v>213</v>
      </c>
      <c r="U246" s="78"/>
      <c r="V246" s="78"/>
      <c r="W246" s="101"/>
      <c r="X246" s="45"/>
      <c r="Y246" s="78"/>
      <c r="Z246" s="130" t="str">
        <f t="shared" si="83"/>
        <v>/* 테이블 : 수업신청상세 */ CREATE TABLE TB_LCTRE_REQST_DETAIL (</v>
      </c>
      <c r="AA246" s="125" t="str">
        <f t="shared" si="112"/>
        <v>DEL_YN BPCHAR(1),</v>
      </c>
      <c r="AB246" s="125" t="str">
        <f t="shared" si="113"/>
        <v/>
      </c>
      <c r="AC246" s="125" t="str">
        <f t="shared" si="114"/>
        <v/>
      </c>
      <c r="AD246" s="125" t="str">
        <f t="shared" si="115"/>
        <v/>
      </c>
      <c r="AE246" s="125" t="str">
        <f t="shared" si="84"/>
        <v>ALTER TABLE TB_LCTRE_REQST_DETAIL ALTER COLUMN DEL_YN SET DEFAULT 'N'::bpchar;</v>
      </c>
      <c r="AF246" s="125" t="str">
        <f t="shared" si="85"/>
        <v>COMMENT ON COLUMN TB_LCTRE_REQST_DETAIL.DEL_YN IS '삭제 여부' ;</v>
      </c>
      <c r="AG246" s="125" t="str">
        <f t="shared" si="116"/>
        <v>ALTER TABLE TB_LCTRE_REQST_DETAIL ALTER COLUMN DEL_YN TYPE BPCHAR(1);</v>
      </c>
      <c r="AH246" s="131" t="str">
        <f t="shared" si="82"/>
        <v>ALTER TABLE TB_LCTRE_REQST_DETAIL ADD COLUMN DEL_YN BPCHAR(1) DEFAULT 'N'::bpchar;</v>
      </c>
      <c r="AI246" s="125" t="str">
        <f t="shared" si="104"/>
        <v>ALTER TABLE TB_LCTRE_REQST_DETAIL DROP COLUMN DEL_YN;</v>
      </c>
    </row>
    <row r="247" spans="2:35" ht="20.100000000000001" customHeight="1">
      <c r="B247" s="55">
        <v>239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1</v>
      </c>
      <c r="H247" s="97" t="s">
        <v>282</v>
      </c>
      <c r="I247" s="96" t="s">
        <v>277</v>
      </c>
      <c r="J247" s="73" t="s">
        <v>72</v>
      </c>
      <c r="K247" s="45">
        <v>1</v>
      </c>
      <c r="L247" s="52"/>
      <c r="M247" s="52"/>
      <c r="N247" s="52"/>
      <c r="O247" s="52"/>
      <c r="P247" s="52"/>
      <c r="Q247" s="56" t="s">
        <v>229</v>
      </c>
      <c r="R247" s="118"/>
      <c r="S247" s="80"/>
      <c r="T247" s="107" t="s">
        <v>288</v>
      </c>
      <c r="U247" s="125" t="str">
        <f>"SEQ_"&amp;E247&amp;"_SN"</f>
        <v>SEQ_TB_BBS_SN</v>
      </c>
      <c r="V247" s="125"/>
      <c r="W247" s="101"/>
      <c r="X247" s="45"/>
      <c r="Y247" s="78"/>
      <c r="Z247" s="130" t="str">
        <f t="shared" si="83"/>
        <v>/* 테이블 : 게시판 */ CREATE TABLE TB_BBS (</v>
      </c>
      <c r="AA247" s="125" t="str">
        <f t="shared" si="51"/>
        <v>BBS_SN INTEGER PRIMARY KEY,</v>
      </c>
      <c r="AB247" s="125" t="str">
        <f t="shared" si="49"/>
        <v/>
      </c>
      <c r="AC247" s="125" t="str">
        <f t="shared" si="50"/>
        <v>CREATE SEQUENCE SEQ_TB_BBS_SN START 100000;</v>
      </c>
      <c r="AD247" s="125" t="str">
        <f t="shared" si="102"/>
        <v>ALTER TABLE TB_BBS ALTER COLUMN BBS_SN SET DEFAULT NEXTVAL('SEQ_TB_BBS_SN');</v>
      </c>
      <c r="AE247" s="125" t="str">
        <f t="shared" si="84"/>
        <v/>
      </c>
      <c r="AF247" s="125" t="str">
        <f t="shared" si="85"/>
        <v>COMMENT ON COLUMN TB_BBS.BBS_SN IS '게시판 일련번호' ;</v>
      </c>
      <c r="AG247" s="125" t="str">
        <f t="shared" si="103"/>
        <v>ALTER TABLE TB_BBS ALTER COLUMN BBS_SN TYPE INTEGER;</v>
      </c>
      <c r="AH247" s="131" t="str">
        <f t="shared" si="82"/>
        <v>ALTER TABLE TB_BBS ADD COLUMN BBS_SN INTEGER NOT NULL;</v>
      </c>
      <c r="AI247" s="125" t="str">
        <f t="shared" si="104"/>
        <v>ALTER TABLE TB_BBS DROP COLUMN BBS_SN;</v>
      </c>
    </row>
    <row r="248" spans="2:35" ht="20.100000000000001" customHeight="1">
      <c r="B248" s="55">
        <v>240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2</v>
      </c>
      <c r="H248" s="97" t="s">
        <v>283</v>
      </c>
      <c r="I248" s="96" t="s">
        <v>285</v>
      </c>
      <c r="J248" s="52" t="s">
        <v>276</v>
      </c>
      <c r="K248" s="52"/>
      <c r="L248" s="52"/>
      <c r="M248" s="79"/>
      <c r="N248" s="79"/>
      <c r="O248" s="79"/>
      <c r="P248" s="79"/>
      <c r="Q248" s="100" t="s">
        <v>106</v>
      </c>
      <c r="R248" s="119" t="s">
        <v>526</v>
      </c>
      <c r="S248" s="80"/>
      <c r="T248" s="107" t="s">
        <v>289</v>
      </c>
      <c r="U248" s="78"/>
      <c r="V248" s="78"/>
      <c r="W248" s="101" t="s">
        <v>545</v>
      </c>
      <c r="X248" s="78" t="s">
        <v>723</v>
      </c>
      <c r="Y248" s="78"/>
      <c r="Z248" s="130" t="str">
        <f t="shared" si="83"/>
        <v>/* 테이블 : 게시판 */ CREATE TABLE TB_BBS (</v>
      </c>
      <c r="AA248" s="125" t="str">
        <f t="shared" si="51"/>
        <v>BBS_SE_CD VARCHAR(50) NOT NULL,</v>
      </c>
      <c r="AB248" s="125" t="str">
        <f t="shared" ref="AB248:AB381" si="117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381" si="118">IF(ISBLANK(U248),"","CREATE SEQUENCE "&amp;U248&amp;" START 100000;")</f>
        <v/>
      </c>
      <c r="AD248" s="125" t="str">
        <f t="shared" si="102"/>
        <v/>
      </c>
      <c r="AE248" s="125" t="str">
        <f t="shared" si="84"/>
        <v/>
      </c>
      <c r="AF248" s="125" t="str">
        <f t="shared" si="85"/>
        <v>COMMENT ON COLUMN TB_BBS.BBS_SE_CD IS '게시판 구분 코드' ;</v>
      </c>
      <c r="AG248" s="125" t="str">
        <f t="shared" si="103"/>
        <v>ALTER TABLE TB_BBS ALTER COLUMN BBS_SE_CD TYPE VARCHAR(50);</v>
      </c>
      <c r="AH248" s="131" t="str">
        <f t="shared" si="82"/>
        <v>ALTER TABLE TB_BBS ADD COLUMN BBS_SE_CD VARCHAR(50) NOT NULL;</v>
      </c>
      <c r="AI248" s="125" t="str">
        <f t="shared" si="104"/>
        <v>ALTER TABLE TB_BBS DROP COLUMN BBS_SE_CD;</v>
      </c>
    </row>
    <row r="249" spans="2:35" ht="20.100000000000001" customHeight="1">
      <c r="B249" s="135">
        <v>241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3</v>
      </c>
      <c r="H249" s="97" t="s">
        <v>571</v>
      </c>
      <c r="I249" s="96" t="s">
        <v>286</v>
      </c>
      <c r="J249" s="52" t="s">
        <v>276</v>
      </c>
      <c r="K249" s="52"/>
      <c r="L249" s="52"/>
      <c r="M249" s="52"/>
      <c r="N249" s="52"/>
      <c r="O249" s="52"/>
      <c r="P249" s="52"/>
      <c r="Q249" s="56" t="s">
        <v>314</v>
      </c>
      <c r="R249" s="119" t="s">
        <v>528</v>
      </c>
      <c r="S249" s="80"/>
      <c r="T249" s="107" t="s">
        <v>290</v>
      </c>
      <c r="U249" s="78"/>
      <c r="V249" s="78"/>
      <c r="W249" s="101"/>
      <c r="X249" s="45"/>
      <c r="Y249" s="78"/>
      <c r="Z249" s="130" t="str">
        <f t="shared" si="83"/>
        <v>/* 테이블 : 게시판 */ CREATE TABLE TB_BBS (</v>
      </c>
      <c r="AA249" s="125" t="str">
        <f t="shared" ref="AA249:AA369" si="119">H249&amp;" "&amp;Q249&amp;R249&amp;IF(ISBLANK(K249),""," PRIMARY KEY")&amp;IF(AND(ISBLANK(K249),J249="Y")," NOT NULL","")&amp;","</f>
        <v>BBS_NM VARCHAR(255) NOT NULL,</v>
      </c>
      <c r="AB249" s="125" t="str">
        <f t="shared" si="117"/>
        <v/>
      </c>
      <c r="AC249" s="125" t="str">
        <f t="shared" si="118"/>
        <v/>
      </c>
      <c r="AD249" s="125" t="str">
        <f t="shared" si="102"/>
        <v/>
      </c>
      <c r="AE249" s="125" t="str">
        <f t="shared" si="84"/>
        <v/>
      </c>
      <c r="AF249" s="125" t="str">
        <f t="shared" si="85"/>
        <v>COMMENT ON COLUMN TB_BBS.BBS_NM IS '게시판 이름' ;</v>
      </c>
      <c r="AG249" s="125" t="str">
        <f t="shared" si="103"/>
        <v>ALTER TABLE TB_BBS ALTER COLUMN BBS_NM TYPE VARCHAR(255);</v>
      </c>
      <c r="AH249" s="131" t="str">
        <f t="shared" si="82"/>
        <v>ALTER TABLE TB_BBS ADD COLUMN BBS_NM VARCHAR(255) NOT NULL;</v>
      </c>
      <c r="AI249" s="125" t="str">
        <f t="shared" si="104"/>
        <v>ALTER TABLE TB_BBS DROP COLUMN BBS_NM;</v>
      </c>
    </row>
    <row r="250" spans="2:35" ht="20.100000000000001" customHeight="1">
      <c r="B250" s="55">
        <v>242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4</v>
      </c>
      <c r="H250" s="103" t="s">
        <v>321</v>
      </c>
      <c r="I250" s="96" t="s">
        <v>320</v>
      </c>
      <c r="J250" s="52"/>
      <c r="K250" s="52"/>
      <c r="L250" s="52"/>
      <c r="M250" s="52"/>
      <c r="N250" s="52"/>
      <c r="O250" s="52"/>
      <c r="P250" s="52"/>
      <c r="Q250" s="56" t="s">
        <v>322</v>
      </c>
      <c r="R250" s="118"/>
      <c r="S250" s="80"/>
      <c r="T250" s="107" t="s">
        <v>323</v>
      </c>
      <c r="U250" s="78"/>
      <c r="V250" s="78"/>
      <c r="W250" s="101"/>
      <c r="X250" s="45"/>
      <c r="Y250" s="78"/>
      <c r="Z250" s="130" t="str">
        <f t="shared" si="83"/>
        <v>/* 테이블 : 게시판 */ CREATE TABLE TB_BBS (</v>
      </c>
      <c r="AA250" s="125" t="str">
        <f t="shared" si="119"/>
        <v>BBS_GDCC TEXT,</v>
      </c>
      <c r="AB250" s="125" t="str">
        <f t="shared" si="117"/>
        <v/>
      </c>
      <c r="AC250" s="125" t="str">
        <f t="shared" si="118"/>
        <v/>
      </c>
      <c r="AD250" s="125" t="str">
        <f t="shared" si="102"/>
        <v/>
      </c>
      <c r="AE250" s="125" t="str">
        <f t="shared" si="84"/>
        <v/>
      </c>
      <c r="AF250" s="125" t="str">
        <f t="shared" si="85"/>
        <v>COMMENT ON COLUMN TB_BBS.BBS_GDCC IS '게시판 안내 문구' ;</v>
      </c>
      <c r="AG250" s="125" t="str">
        <f t="shared" si="103"/>
        <v>ALTER TABLE TB_BBS ALTER COLUMN BBS_GDCC TYPE TEXT;</v>
      </c>
      <c r="AH250" s="131" t="str">
        <f t="shared" si="82"/>
        <v>ALTER TABLE TB_BBS ADD COLUMN BBS_GDCC TEXT;</v>
      </c>
      <c r="AI250" s="125" t="str">
        <f t="shared" si="104"/>
        <v>ALTER TABLE TB_BBS DROP COLUMN BBS_GDCC;</v>
      </c>
    </row>
    <row r="251" spans="2:35" ht="20.100000000000001" customHeight="1">
      <c r="B251" s="55">
        <v>243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5</v>
      </c>
      <c r="H251" s="98" t="s">
        <v>284</v>
      </c>
      <c r="I251" s="97" t="s">
        <v>287</v>
      </c>
      <c r="J251" s="61"/>
      <c r="K251" s="61"/>
      <c r="L251" s="61"/>
      <c r="M251" s="61"/>
      <c r="N251" s="61"/>
      <c r="O251" s="61"/>
      <c r="P251" s="61"/>
      <c r="Q251" s="56" t="s">
        <v>314</v>
      </c>
      <c r="R251" s="119" t="s">
        <v>530</v>
      </c>
      <c r="S251" s="77"/>
      <c r="T251" s="107" t="s">
        <v>291</v>
      </c>
      <c r="U251" s="78"/>
      <c r="V251" s="78"/>
      <c r="W251" s="101"/>
      <c r="X251" s="45"/>
      <c r="Y251" s="78"/>
      <c r="Z251" s="130" t="str">
        <f t="shared" si="83"/>
        <v>/* 테이블 : 게시판 */ CREATE TABLE TB_BBS (</v>
      </c>
      <c r="AA251" s="125" t="str">
        <f t="shared" si="119"/>
        <v>BBS_DC VARCHAR(2000),</v>
      </c>
      <c r="AB251" s="125" t="str">
        <f t="shared" si="117"/>
        <v/>
      </c>
      <c r="AC251" s="125" t="str">
        <f t="shared" si="118"/>
        <v/>
      </c>
      <c r="AD251" s="125" t="str">
        <f t="shared" si="102"/>
        <v/>
      </c>
      <c r="AE251" s="125" t="str">
        <f t="shared" si="84"/>
        <v/>
      </c>
      <c r="AF251" s="125" t="str">
        <f t="shared" si="85"/>
        <v>COMMENT ON COLUMN TB_BBS.BBS_DC IS '게시판 설명' ;</v>
      </c>
      <c r="AG251" s="125" t="str">
        <f t="shared" si="103"/>
        <v>ALTER TABLE TB_BBS ALTER COLUMN BBS_DC TYPE VARCHAR(2000);</v>
      </c>
      <c r="AH251" s="131" t="str">
        <f t="shared" si="82"/>
        <v>ALTER TABLE TB_BBS ADD COLUMN BBS_DC VARCHAR(2000);</v>
      </c>
      <c r="AI251" s="125" t="str">
        <f t="shared" si="104"/>
        <v>ALTER TABLE TB_BBS DROP COLUMN BBS_DC;</v>
      </c>
    </row>
    <row r="252" spans="2:35" ht="20.100000000000001" customHeight="1">
      <c r="B252" s="55">
        <v>244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6</v>
      </c>
      <c r="H252" s="98" t="s">
        <v>722</v>
      </c>
      <c r="I252" s="97" t="s">
        <v>574</v>
      </c>
      <c r="J252" s="61"/>
      <c r="K252" s="61"/>
      <c r="L252" s="61"/>
      <c r="M252" s="61"/>
      <c r="N252" s="61"/>
      <c r="O252" s="61"/>
      <c r="P252" s="61"/>
      <c r="Q252" s="51" t="s">
        <v>800</v>
      </c>
      <c r="R252" s="119" t="s">
        <v>522</v>
      </c>
      <c r="S252" s="77"/>
      <c r="T252" s="107" t="s">
        <v>575</v>
      </c>
      <c r="U252" s="78"/>
      <c r="V252" s="78"/>
      <c r="W252" s="101"/>
      <c r="X252" s="45"/>
      <c r="Y252" s="78"/>
      <c r="Z252" s="130" t="str">
        <f t="shared" si="83"/>
        <v>/* 테이블 : 게시판 */ CREATE TABLE TB_BBS (</v>
      </c>
      <c r="AA252" s="125" t="str">
        <f t="shared" ref="AA252:AA253" si="120">H252&amp;" "&amp;Q252&amp;R252&amp;IF(ISBLANK(K252),""," PRIMARY KEY")&amp;IF(AND(ISBLANK(K252),J252="Y")," NOT NULL","")&amp;","</f>
        <v>REPLY_SET_YN BPCHAR(1),</v>
      </c>
      <c r="AB252" s="125" t="str">
        <f t="shared" ref="AB252:AB253" si="121">IF(ISBLANK(L252),"","ALTER TABLE " &amp; E252 &amp; " ADD CONSTRAINT " &amp; E252 &amp; "_FKEY" &amp; L252 &amp;  " FOREIGN KEY(" &amp;H252 &amp; ") REFERENCES " &amp; M252 &amp; "(" &amp; N252 &amp; ") "&amp;O252&amp;" "&amp;P252&amp;";")</f>
        <v/>
      </c>
      <c r="AC252" s="125" t="str">
        <f t="shared" ref="AC252:AC253" si="122">IF(ISBLANK(U252),"","CREATE SEQUENCE "&amp;U252&amp;" START 100000;")</f>
        <v/>
      </c>
      <c r="AD252" s="125" t="str">
        <f t="shared" si="102"/>
        <v/>
      </c>
      <c r="AE252" s="125" t="str">
        <f t="shared" si="84"/>
        <v/>
      </c>
      <c r="AF252" s="125" t="str">
        <f t="shared" si="85"/>
        <v>COMMENT ON COLUMN TB_BBS.REPLY_SET_YN IS '댓글 설정 여부' ;</v>
      </c>
      <c r="AG252" s="125" t="str">
        <f t="shared" si="103"/>
        <v>ALTER TABLE TB_BBS ALTER COLUMN REPLY_SET_YN TYPE BPCHAR(1);</v>
      </c>
      <c r="AH252" s="131" t="str">
        <f t="shared" si="82"/>
        <v>ALTER TABLE TB_BBS ADD COLUMN REPLY_SET_YN BPCHAR(1);</v>
      </c>
      <c r="AI252" s="125" t="str">
        <f t="shared" si="104"/>
        <v>ALTER TABLE TB_BBS DROP COLUMN REPLY_SET_YN;</v>
      </c>
    </row>
    <row r="253" spans="2:35" ht="20.100000000000001" customHeight="1">
      <c r="B253" s="135">
        <v>245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7</v>
      </c>
      <c r="H253" s="101" t="s">
        <v>328</v>
      </c>
      <c r="I253" s="101" t="s">
        <v>329</v>
      </c>
      <c r="J253" s="73" t="s">
        <v>72</v>
      </c>
      <c r="K253" s="45"/>
      <c r="L253" s="45"/>
      <c r="M253" s="45"/>
      <c r="N253" s="45"/>
      <c r="O253" s="45"/>
      <c r="P253" s="45"/>
      <c r="Q253" s="51" t="s">
        <v>800</v>
      </c>
      <c r="R253" s="119" t="s">
        <v>522</v>
      </c>
      <c r="S253" s="45"/>
      <c r="T253" s="101" t="s">
        <v>341</v>
      </c>
      <c r="U253" s="78"/>
      <c r="V253" s="78"/>
      <c r="W253" s="101" t="s">
        <v>711</v>
      </c>
      <c r="X253" s="45"/>
      <c r="Y253" s="78"/>
      <c r="Z253" s="130" t="str">
        <f t="shared" si="83"/>
        <v>/* 테이블 : 게시판 */ CREATE TABLE TB_BBS (</v>
      </c>
      <c r="AA253" s="125" t="str">
        <f t="shared" si="120"/>
        <v>OPEN_YN BPCHAR(1) NOT NULL,</v>
      </c>
      <c r="AB253" s="125" t="str">
        <f t="shared" si="121"/>
        <v/>
      </c>
      <c r="AC253" s="125" t="str">
        <f t="shared" si="122"/>
        <v/>
      </c>
      <c r="AD253" s="125" t="str">
        <f t="shared" ref="AD253" si="123">IF(ISBLANK(U253),"","ALTER TABLE "&amp;E253&amp;" ALTER COLUMN "&amp;H253&amp;" SET DEFAULT NEXTVAL('"&amp;U253&amp;"');")</f>
        <v/>
      </c>
      <c r="AE253" s="125" t="str">
        <f t="shared" si="84"/>
        <v/>
      </c>
      <c r="AF253" s="125" t="str">
        <f t="shared" si="85"/>
        <v>COMMENT ON COLUMN TB_BBS.OPEN_YN IS '공개 여부' ;</v>
      </c>
      <c r="AG253" s="125" t="str">
        <f t="shared" si="103"/>
        <v>ALTER TABLE TB_BBS ALTER COLUMN OPEN_YN TYPE BPCHAR(1);</v>
      </c>
      <c r="AH253" s="131" t="str">
        <f t="shared" si="82"/>
        <v>ALTER TABLE TB_BBS ADD COLUMN OPEN_YN BPCHAR(1) NOT NULL;</v>
      </c>
      <c r="AI253" s="125" t="str">
        <f t="shared" si="104"/>
        <v>ALTER TABLE TB_BBS DROP COLUMN OPEN_YN;</v>
      </c>
    </row>
    <row r="254" spans="2:35" ht="20.100000000000001" customHeight="1">
      <c r="B254" s="55">
        <v>246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8</v>
      </c>
      <c r="H254" s="97" t="s">
        <v>409</v>
      </c>
      <c r="I254" s="51" t="s">
        <v>410</v>
      </c>
      <c r="J254" s="73" t="s">
        <v>276</v>
      </c>
      <c r="K254" s="67"/>
      <c r="L254" s="67"/>
      <c r="M254" s="77"/>
      <c r="N254" s="77"/>
      <c r="O254" s="77"/>
      <c r="P254" s="77"/>
      <c r="Q254" s="51" t="s">
        <v>800</v>
      </c>
      <c r="R254" s="119" t="s">
        <v>522</v>
      </c>
      <c r="S254" s="80"/>
      <c r="T254" s="107" t="s">
        <v>411</v>
      </c>
      <c r="U254" s="78"/>
      <c r="V254" s="78"/>
      <c r="W254" s="101"/>
      <c r="X254" s="45"/>
      <c r="Y254" s="78"/>
      <c r="Z254" s="130" t="str">
        <f t="shared" si="83"/>
        <v>/* 테이블 : 게시판 */ CREATE TABLE TB_BBS (</v>
      </c>
      <c r="AA254" s="125" t="str">
        <f t="shared" si="119"/>
        <v>USE_YN BPCHAR(1) NOT NULL,</v>
      </c>
      <c r="AB254" s="125" t="str">
        <f t="shared" si="117"/>
        <v/>
      </c>
      <c r="AC254" s="125" t="str">
        <f t="shared" si="118"/>
        <v/>
      </c>
      <c r="AD254" s="125" t="str">
        <f t="shared" si="102"/>
        <v/>
      </c>
      <c r="AE254" s="125" t="str">
        <f t="shared" si="84"/>
        <v/>
      </c>
      <c r="AF254" s="125" t="str">
        <f t="shared" si="85"/>
        <v>COMMENT ON COLUMN TB_BBS.USE_YN IS '사용 여부' ;</v>
      </c>
      <c r="AG254" s="125" t="str">
        <f t="shared" si="103"/>
        <v>ALTER TABLE TB_BBS ALTER COLUMN USE_YN TYPE BPCHAR(1);</v>
      </c>
      <c r="AH254" s="131" t="str">
        <f t="shared" si="82"/>
        <v>ALTER TABLE TB_BBS ADD COLUMN USE_YN BPCHAR(1) NOT NULL;</v>
      </c>
      <c r="AI254" s="125" t="str">
        <f t="shared" si="104"/>
        <v>ALTER TABLE TB_BBS DROP COLUMN USE_YN;</v>
      </c>
    </row>
    <row r="255" spans="2:35" ht="20.100000000000001" customHeight="1">
      <c r="B255" s="55">
        <v>247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9</v>
      </c>
      <c r="H255" s="97" t="s">
        <v>107</v>
      </c>
      <c r="I255" s="51" t="s">
        <v>76</v>
      </c>
      <c r="J255" s="73" t="s">
        <v>72</v>
      </c>
      <c r="K255" s="67"/>
      <c r="L255" s="67"/>
      <c r="M255" s="77"/>
      <c r="N255" s="77"/>
      <c r="O255" s="77"/>
      <c r="P255" s="77"/>
      <c r="Q255" s="100" t="s">
        <v>521</v>
      </c>
      <c r="R255" s="119" t="s">
        <v>526</v>
      </c>
      <c r="S255" s="80"/>
      <c r="T255" s="107" t="s">
        <v>219</v>
      </c>
      <c r="U255" s="78"/>
      <c r="V255" s="78"/>
      <c r="W255" s="116" t="s">
        <v>496</v>
      </c>
      <c r="X255" s="45"/>
      <c r="Y255" s="78"/>
      <c r="Z255" s="130" t="str">
        <f t="shared" si="83"/>
        <v>/* 테이블 : 게시판 */ CREATE TABLE TB_BBS (</v>
      </c>
      <c r="AA255" s="125" t="str">
        <f t="shared" si="119"/>
        <v>REGISTER_ID VARCHAR(50) NOT NULL,</v>
      </c>
      <c r="AB255" s="125" t="str">
        <f t="shared" si="117"/>
        <v/>
      </c>
      <c r="AC255" s="125" t="str">
        <f t="shared" si="118"/>
        <v/>
      </c>
      <c r="AD255" s="125" t="str">
        <f t="shared" si="102"/>
        <v/>
      </c>
      <c r="AE255" s="125" t="str">
        <f t="shared" si="84"/>
        <v/>
      </c>
      <c r="AF255" s="125" t="str">
        <f t="shared" si="85"/>
        <v>COMMENT ON COLUMN TB_BBS.REGISTER_ID IS '등록자 ID' ;</v>
      </c>
      <c r="AG255" s="125" t="str">
        <f t="shared" si="103"/>
        <v>ALTER TABLE TB_BBS ALTER COLUMN REGISTER_ID TYPE VARCHAR(50);</v>
      </c>
      <c r="AH255" s="131" t="str">
        <f t="shared" si="82"/>
        <v>ALTER TABLE TB_BBS ADD COLUMN REGISTER_ID VARCHAR(50) NOT NULL;</v>
      </c>
      <c r="AI255" s="125" t="str">
        <f t="shared" si="104"/>
        <v>ALTER TABLE TB_BBS DROP COLUMN REGISTER_ID;</v>
      </c>
    </row>
    <row r="256" spans="2:35" ht="20.100000000000001" customHeight="1">
      <c r="B256" s="55">
        <v>248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10</v>
      </c>
      <c r="H256" s="97" t="s">
        <v>91</v>
      </c>
      <c r="I256" s="51" t="s">
        <v>77</v>
      </c>
      <c r="J256" s="73" t="s">
        <v>72</v>
      </c>
      <c r="K256" s="52"/>
      <c r="L256" s="52"/>
      <c r="M256" s="52"/>
      <c r="N256" s="52"/>
      <c r="O256" s="52"/>
      <c r="P256" s="52"/>
      <c r="Q256" s="56" t="s">
        <v>106</v>
      </c>
      <c r="R256" s="119" t="s">
        <v>527</v>
      </c>
      <c r="S256" s="80"/>
      <c r="T256" s="107" t="s">
        <v>218</v>
      </c>
      <c r="U256" s="78"/>
      <c r="V256" s="78"/>
      <c r="W256" s="101"/>
      <c r="X256" s="45"/>
      <c r="Y256" s="78"/>
      <c r="Z256" s="130" t="str">
        <f t="shared" si="83"/>
        <v>/* 테이블 : 게시판 */ CREATE TABLE TB_BBS (</v>
      </c>
      <c r="AA256" s="125" t="str">
        <f t="shared" si="119"/>
        <v>REGISTER_IP VARCHAR(100) NOT NULL,</v>
      </c>
      <c r="AB256" s="125" t="str">
        <f t="shared" si="117"/>
        <v/>
      </c>
      <c r="AC256" s="125" t="str">
        <f t="shared" si="118"/>
        <v/>
      </c>
      <c r="AD256" s="125" t="str">
        <f t="shared" si="102"/>
        <v/>
      </c>
      <c r="AE256" s="125" t="str">
        <f t="shared" si="84"/>
        <v/>
      </c>
      <c r="AF256" s="125" t="str">
        <f t="shared" si="85"/>
        <v>COMMENT ON COLUMN TB_BBS.REGISTER_IP IS '등록자 IP' ;</v>
      </c>
      <c r="AG256" s="125" t="str">
        <f t="shared" si="103"/>
        <v>ALTER TABLE TB_BBS ALTER COLUMN REGISTER_IP TYPE VARCHAR(100);</v>
      </c>
      <c r="AH256" s="131" t="str">
        <f t="shared" si="82"/>
        <v>ALTER TABLE TB_BBS ADD COLUMN REGISTER_IP VARCHAR(100) NOT NULL;</v>
      </c>
      <c r="AI256" s="125" t="str">
        <f t="shared" si="104"/>
        <v>ALTER TABLE TB_BBS DROP COLUMN REGISTER_IP;</v>
      </c>
    </row>
    <row r="257" spans="2:35" ht="20.100000000000001" customHeight="1">
      <c r="B257" s="135">
        <v>249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11</v>
      </c>
      <c r="H257" s="97" t="s">
        <v>92</v>
      </c>
      <c r="I257" s="96" t="s">
        <v>78</v>
      </c>
      <c r="J257" s="73" t="s">
        <v>72</v>
      </c>
      <c r="K257" s="52"/>
      <c r="L257" s="52"/>
      <c r="M257" s="52"/>
      <c r="N257" s="52"/>
      <c r="O257" s="52"/>
      <c r="P257" s="52"/>
      <c r="Q257" s="51" t="s">
        <v>702</v>
      </c>
      <c r="R257" s="119"/>
      <c r="S257" s="80"/>
      <c r="T257" s="107" t="s">
        <v>217</v>
      </c>
      <c r="U257" s="78"/>
      <c r="V257" s="78"/>
      <c r="W257" s="101"/>
      <c r="X257" s="45"/>
      <c r="Y257" s="78"/>
      <c r="Z257" s="130" t="str">
        <f t="shared" si="83"/>
        <v>/* 테이블 : 게시판 */ CREATE TABLE TB_BBS (</v>
      </c>
      <c r="AA257" s="125" t="str">
        <f t="shared" si="119"/>
        <v>REG_DT TIMESTAMP NOT NULL,</v>
      </c>
      <c r="AB257" s="125" t="str">
        <f t="shared" si="117"/>
        <v/>
      </c>
      <c r="AC257" s="125" t="str">
        <f t="shared" si="118"/>
        <v/>
      </c>
      <c r="AD257" s="125" t="str">
        <f t="shared" si="102"/>
        <v/>
      </c>
      <c r="AE257" s="125" t="str">
        <f t="shared" si="84"/>
        <v/>
      </c>
      <c r="AF257" s="125" t="str">
        <f t="shared" si="85"/>
        <v>COMMENT ON COLUMN TB_BBS.REG_DT IS '등록 일시' ;</v>
      </c>
      <c r="AG257" s="125" t="str">
        <f t="shared" si="103"/>
        <v>ALTER TABLE TB_BBS ALTER COLUMN REG_DT TYPE TIMESTAMP;</v>
      </c>
      <c r="AH257" s="131" t="str">
        <f t="shared" si="82"/>
        <v>ALTER TABLE TB_BBS ADD COLUMN REG_DT TIMESTAMP NOT NULL;</v>
      </c>
      <c r="AI257" s="125" t="str">
        <f t="shared" si="104"/>
        <v>ALTER TABLE TB_BBS DROP COLUMN REG_DT;</v>
      </c>
    </row>
    <row r="258" spans="2:35" ht="20.100000000000001" customHeight="1">
      <c r="B258" s="55">
        <v>250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12</v>
      </c>
      <c r="H258" s="97" t="s">
        <v>93</v>
      </c>
      <c r="I258" s="96" t="s">
        <v>80</v>
      </c>
      <c r="J258" s="52"/>
      <c r="K258" s="52"/>
      <c r="L258" s="52"/>
      <c r="M258" s="79"/>
      <c r="N258" s="79"/>
      <c r="O258" s="79"/>
      <c r="P258" s="79"/>
      <c r="Q258" s="100" t="s">
        <v>521</v>
      </c>
      <c r="R258" s="119" t="s">
        <v>526</v>
      </c>
      <c r="S258" s="80"/>
      <c r="T258" s="107" t="s">
        <v>216</v>
      </c>
      <c r="U258" s="78"/>
      <c r="V258" s="78"/>
      <c r="W258" s="116" t="s">
        <v>496</v>
      </c>
      <c r="X258" s="45"/>
      <c r="Y258" s="78"/>
      <c r="Z258" s="130" t="str">
        <f t="shared" si="83"/>
        <v>/* 테이블 : 게시판 */ CREATE TABLE TB_BBS (</v>
      </c>
      <c r="AA258" s="125" t="str">
        <f t="shared" si="119"/>
        <v>UPDUSR_ID VARCHAR(50),</v>
      </c>
      <c r="AB258" s="125" t="str">
        <f t="shared" si="117"/>
        <v/>
      </c>
      <c r="AC258" s="125" t="str">
        <f t="shared" si="118"/>
        <v/>
      </c>
      <c r="AD258" s="125" t="str">
        <f t="shared" si="102"/>
        <v/>
      </c>
      <c r="AE258" s="125" t="str">
        <f t="shared" si="84"/>
        <v/>
      </c>
      <c r="AF258" s="125" t="str">
        <f t="shared" si="85"/>
        <v>COMMENT ON COLUMN TB_BBS.UPDUSR_ID IS '수정자 ID' ;</v>
      </c>
      <c r="AG258" s="125" t="str">
        <f t="shared" si="103"/>
        <v>ALTER TABLE TB_BBS ALTER COLUMN UPDUSR_ID TYPE VARCHAR(50);</v>
      </c>
      <c r="AH258" s="131" t="str">
        <f t="shared" si="82"/>
        <v>ALTER TABLE TB_BBS ADD COLUMN UPDUSR_ID VARCHAR(50);</v>
      </c>
      <c r="AI258" s="125" t="str">
        <f t="shared" si="104"/>
        <v>ALTER TABLE TB_BBS DROP COLUMN UPDUSR_ID;</v>
      </c>
    </row>
    <row r="259" spans="2:35" ht="20.100000000000001" customHeight="1">
      <c r="B259" s="55">
        <v>251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13</v>
      </c>
      <c r="H259" s="97" t="s">
        <v>94</v>
      </c>
      <c r="I259" s="96" t="s">
        <v>79</v>
      </c>
      <c r="J259" s="52"/>
      <c r="K259" s="52"/>
      <c r="L259" s="52"/>
      <c r="M259" s="52"/>
      <c r="N259" s="52"/>
      <c r="O259" s="52"/>
      <c r="P259" s="52"/>
      <c r="Q259" s="56" t="s">
        <v>106</v>
      </c>
      <c r="R259" s="119" t="s">
        <v>527</v>
      </c>
      <c r="S259" s="80"/>
      <c r="T259" s="107" t="s">
        <v>215</v>
      </c>
      <c r="U259" s="78"/>
      <c r="V259" s="78"/>
      <c r="W259" s="101"/>
      <c r="X259" s="45"/>
      <c r="Y259" s="78"/>
      <c r="Z259" s="130" t="str">
        <f t="shared" si="83"/>
        <v>/* 테이블 : 게시판 */ CREATE TABLE TB_BBS (</v>
      </c>
      <c r="AA259" s="125" t="str">
        <f t="shared" si="119"/>
        <v>UPDUSR_IP VARCHAR(100),</v>
      </c>
      <c r="AB259" s="125" t="str">
        <f t="shared" si="117"/>
        <v/>
      </c>
      <c r="AC259" s="125" t="str">
        <f t="shared" si="118"/>
        <v/>
      </c>
      <c r="AD259" s="125" t="str">
        <f t="shared" si="102"/>
        <v/>
      </c>
      <c r="AE259" s="125" t="str">
        <f t="shared" si="84"/>
        <v/>
      </c>
      <c r="AF259" s="125" t="str">
        <f t="shared" si="85"/>
        <v>COMMENT ON COLUMN TB_BBS.UPDUSR_IP IS '수정자 IP' ;</v>
      </c>
      <c r="AG259" s="125" t="str">
        <f t="shared" si="103"/>
        <v>ALTER TABLE TB_BBS ALTER COLUMN UPDUSR_IP TYPE VARCHAR(100);</v>
      </c>
      <c r="AH259" s="131" t="str">
        <f t="shared" si="82"/>
        <v>ALTER TABLE TB_BBS ADD COLUMN UPDUSR_IP VARCHAR(100);</v>
      </c>
      <c r="AI259" s="125" t="str">
        <f t="shared" si="104"/>
        <v>ALTER TABLE TB_BBS DROP COLUMN UPDUSR_IP;</v>
      </c>
    </row>
    <row r="260" spans="2:35" ht="20.100000000000001" customHeight="1">
      <c r="B260" s="55">
        <v>252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14</v>
      </c>
      <c r="H260" s="98" t="s">
        <v>95</v>
      </c>
      <c r="I260" s="97" t="s">
        <v>81</v>
      </c>
      <c r="J260" s="61"/>
      <c r="K260" s="61"/>
      <c r="L260" s="61"/>
      <c r="M260" s="61"/>
      <c r="N260" s="61"/>
      <c r="O260" s="61"/>
      <c r="P260" s="61"/>
      <c r="Q260" s="51" t="s">
        <v>702</v>
      </c>
      <c r="R260" s="119"/>
      <c r="S260" s="77"/>
      <c r="T260" s="107" t="s">
        <v>214</v>
      </c>
      <c r="U260" s="78"/>
      <c r="V260" s="78"/>
      <c r="W260" s="101"/>
      <c r="X260" s="45"/>
      <c r="Y260" s="78"/>
      <c r="Z260" s="130" t="str">
        <f t="shared" si="83"/>
        <v>/* 테이블 : 게시판 */ CREATE TABLE TB_BBS (</v>
      </c>
      <c r="AA260" s="125" t="str">
        <f t="shared" si="119"/>
        <v>UPDT_DT TIMESTAMP,</v>
      </c>
      <c r="AB260" s="125" t="str">
        <f t="shared" si="117"/>
        <v/>
      </c>
      <c r="AC260" s="125" t="str">
        <f t="shared" si="118"/>
        <v/>
      </c>
      <c r="AD260" s="125" t="str">
        <f t="shared" si="102"/>
        <v/>
      </c>
      <c r="AE260" s="125" t="str">
        <f t="shared" si="84"/>
        <v/>
      </c>
      <c r="AF260" s="125" t="str">
        <f t="shared" si="85"/>
        <v>COMMENT ON COLUMN TB_BBS.UPDT_DT IS '수정 일시' ;</v>
      </c>
      <c r="AG260" s="125" t="str">
        <f t="shared" si="103"/>
        <v>ALTER TABLE TB_BBS ALTER COLUMN UPDT_DT TYPE TIMESTAMP;</v>
      </c>
      <c r="AH260" s="131" t="str">
        <f t="shared" si="82"/>
        <v>ALTER TABLE TB_BBS ADD COLUMN UPDT_DT TIMESTAMP;</v>
      </c>
      <c r="AI260" s="125" t="str">
        <f t="shared" si="104"/>
        <v>ALTER TABLE TB_BBS DROP COLUMN UPDT_DT;</v>
      </c>
    </row>
    <row r="261" spans="2:35" ht="20.100000000000001" customHeight="1">
      <c r="B261" s="135">
        <v>253</v>
      </c>
      <c r="C261" s="26" t="s">
        <v>7</v>
      </c>
      <c r="D261" s="26" t="s">
        <v>16</v>
      </c>
      <c r="E261" s="10" t="s">
        <v>32</v>
      </c>
      <c r="F261" s="10" t="s">
        <v>16</v>
      </c>
      <c r="G261" s="92">
        <v>15</v>
      </c>
      <c r="H261" s="97" t="s">
        <v>96</v>
      </c>
      <c r="I261" s="97" t="s">
        <v>82</v>
      </c>
      <c r="J261" s="73" t="s">
        <v>72</v>
      </c>
      <c r="K261" s="61"/>
      <c r="L261" s="61"/>
      <c r="M261" s="61"/>
      <c r="N261" s="61"/>
      <c r="O261" s="61"/>
      <c r="P261" s="61"/>
      <c r="Q261" s="51" t="s">
        <v>800</v>
      </c>
      <c r="R261" s="119" t="s">
        <v>522</v>
      </c>
      <c r="S261" s="82" t="s">
        <v>799</v>
      </c>
      <c r="T261" s="107" t="s">
        <v>213</v>
      </c>
      <c r="U261" s="78"/>
      <c r="V261" s="78"/>
      <c r="W261" s="101"/>
      <c r="X261" s="45"/>
      <c r="Y261" s="78"/>
      <c r="Z261" s="130" t="str">
        <f t="shared" si="83"/>
        <v>/* 테이블 : 게시판 */ CREATE TABLE TB_BBS (</v>
      </c>
      <c r="AA261" s="125" t="str">
        <f t="shared" si="119"/>
        <v>DEL_YN BPCHAR(1) NOT NULL,</v>
      </c>
      <c r="AB261" s="125" t="str">
        <f t="shared" si="117"/>
        <v/>
      </c>
      <c r="AC261" s="125" t="str">
        <f t="shared" si="118"/>
        <v/>
      </c>
      <c r="AD261" s="125" t="str">
        <f t="shared" si="102"/>
        <v/>
      </c>
      <c r="AE261" s="125" t="str">
        <f t="shared" si="84"/>
        <v>ALTER TABLE TB_BBS ALTER COLUMN DEL_YN SET DEFAULT 'N'::bpchar;</v>
      </c>
      <c r="AF261" s="125" t="str">
        <f t="shared" si="85"/>
        <v>COMMENT ON COLUMN TB_BBS.DEL_YN IS '삭제 여부' ;</v>
      </c>
      <c r="AG261" s="125" t="str">
        <f t="shared" si="103"/>
        <v>ALTER TABLE TB_BBS ALTER COLUMN DEL_YN TYPE BPCHAR(1);</v>
      </c>
      <c r="AH261" s="131" t="str">
        <f t="shared" si="82"/>
        <v>ALTER TABLE TB_BBS ADD COLUMN DEL_YN BPCHAR(1) NOT NULL DEFAULT 'N'::bpchar;</v>
      </c>
      <c r="AI261" s="125" t="str">
        <f t="shared" si="104"/>
        <v>ALTER TABLE TB_BBS DROP COLUMN DEL_YN;</v>
      </c>
    </row>
    <row r="262" spans="2:35" ht="20.100000000000001" customHeight="1">
      <c r="B262" s="55">
        <v>254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1</v>
      </c>
      <c r="H262" s="101" t="s">
        <v>297</v>
      </c>
      <c r="I262" s="96" t="s">
        <v>292</v>
      </c>
      <c r="J262" s="52" t="s">
        <v>531</v>
      </c>
      <c r="K262" s="52">
        <v>1</v>
      </c>
      <c r="L262" s="52"/>
      <c r="M262" s="79"/>
      <c r="N262" s="79"/>
      <c r="O262" s="79"/>
      <c r="P262" s="79"/>
      <c r="Q262" s="100" t="s">
        <v>229</v>
      </c>
      <c r="R262" s="47"/>
      <c r="S262" s="80"/>
      <c r="T262" s="107" t="s">
        <v>330</v>
      </c>
      <c r="U262" s="125" t="str">
        <f>"SEQ_"&amp;E262&amp;"_SN"</f>
        <v>SEQ_TB_NTT_SN</v>
      </c>
      <c r="V262" s="125"/>
      <c r="W262" s="101"/>
      <c r="X262" s="45"/>
      <c r="Y262" s="78"/>
      <c r="Z262" s="130" t="str">
        <f t="shared" si="83"/>
        <v>/* 테이블 : 게시물 */ CREATE TABLE TB_NTT (</v>
      </c>
      <c r="AA262" s="125" t="str">
        <f t="shared" si="119"/>
        <v>NTT_SN INTEGER PRIMARY KEY,</v>
      </c>
      <c r="AB262" s="125" t="str">
        <f t="shared" si="117"/>
        <v/>
      </c>
      <c r="AC262" s="125" t="str">
        <f t="shared" si="118"/>
        <v>CREATE SEQUENCE SEQ_TB_NTT_SN START 100000;</v>
      </c>
      <c r="AD262" s="125" t="str">
        <f t="shared" si="102"/>
        <v>ALTER TABLE TB_NTT ALTER COLUMN NTT_SN SET DEFAULT NEXTVAL('SEQ_TB_NTT_SN');</v>
      </c>
      <c r="AE262" s="125" t="str">
        <f t="shared" si="84"/>
        <v/>
      </c>
      <c r="AF262" s="125" t="str">
        <f t="shared" si="85"/>
        <v>COMMENT ON COLUMN TB_NTT.NTT_SN IS '게시물 일련번호' ;</v>
      </c>
      <c r="AG262" s="125" t="str">
        <f t="shared" si="103"/>
        <v>ALTER TABLE TB_NTT ALTER COLUMN NTT_SN TYPE INTEGER;</v>
      </c>
      <c r="AH262" s="131" t="str">
        <f t="shared" si="82"/>
        <v>ALTER TABLE TB_NTT ADD COLUMN NTT_SN INTEGER NOT NULL;</v>
      </c>
      <c r="AI262" s="125" t="str">
        <f t="shared" si="104"/>
        <v>ALTER TABLE TB_NTT DROP COLUMN NTT_SN;</v>
      </c>
    </row>
    <row r="263" spans="2:35" ht="20.100000000000001" customHeight="1">
      <c r="B263" s="55">
        <v>255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2</v>
      </c>
      <c r="H263" s="101" t="s">
        <v>282</v>
      </c>
      <c r="I263" s="96" t="s">
        <v>278</v>
      </c>
      <c r="J263" s="52" t="s">
        <v>531</v>
      </c>
      <c r="K263" s="52"/>
      <c r="L263" s="52">
        <v>1</v>
      </c>
      <c r="M263" s="10" t="s">
        <v>32</v>
      </c>
      <c r="N263" s="101" t="s">
        <v>282</v>
      </c>
      <c r="O263" s="95" t="s">
        <v>539</v>
      </c>
      <c r="P263" s="95" t="s">
        <v>541</v>
      </c>
      <c r="Q263" s="56" t="s">
        <v>229</v>
      </c>
      <c r="R263" s="118"/>
      <c r="S263" s="80"/>
      <c r="T263" s="107" t="s">
        <v>331</v>
      </c>
      <c r="U263" s="78"/>
      <c r="V263" s="78"/>
      <c r="W263" s="101"/>
      <c r="X263" s="45"/>
      <c r="Y263" s="78"/>
      <c r="Z263" s="130" t="str">
        <f t="shared" si="83"/>
        <v>/* 테이블 : 게시물 */ CREATE TABLE TB_NTT (</v>
      </c>
      <c r="AA263" s="125" t="str">
        <f t="shared" si="119"/>
        <v>BBS_SN INTEGER NOT NULL,</v>
      </c>
      <c r="AB263" s="125" t="str">
        <f t="shared" si="117"/>
        <v>ALTER TABLE TB_NTT ADD CONSTRAINT TB_NTT_FKEY1 FOREIGN KEY(BBS_SN) REFERENCES TB_BBS(BBS_SN) ON UPDATE CASCADE ON DELETE CASCADE;</v>
      </c>
      <c r="AC263" s="125" t="str">
        <f t="shared" si="118"/>
        <v/>
      </c>
      <c r="AD263" s="125" t="str">
        <f t="shared" si="102"/>
        <v/>
      </c>
      <c r="AE263" s="125" t="str">
        <f t="shared" si="84"/>
        <v/>
      </c>
      <c r="AF263" s="125" t="str">
        <f t="shared" si="85"/>
        <v>COMMENT ON COLUMN TB_NTT.BBS_SN IS '게시판 일련번호' ;</v>
      </c>
      <c r="AG263" s="125" t="str">
        <f t="shared" si="103"/>
        <v>ALTER TABLE TB_NTT ALTER COLUMN BBS_SN TYPE INTEGER;</v>
      </c>
      <c r="AH263" s="131" t="str">
        <f t="shared" ref="AH263:AH330" si="124">"ALTER TABLE "&amp;$E263&amp;" ADD COLUMN "&amp;$H263&amp;" "&amp;$Q263&amp;IF(ISBLANK(R263),"",$R263)&amp;IF(ISBLANK($J263),""," NOT NULL")&amp;IF(ISBLANK($S263),""," DEFAULT " &amp; $S263 ) &amp; ";"</f>
        <v>ALTER TABLE TB_NTT ADD COLUMN BBS_SN INTEGER NOT NULL;</v>
      </c>
      <c r="AI263" s="125" t="str">
        <f t="shared" si="104"/>
        <v>ALTER TABLE TB_NTT DROP COLUMN BBS_SN;</v>
      </c>
    </row>
    <row r="264" spans="2:35" ht="20.100000000000001" customHeight="1">
      <c r="B264" s="55">
        <v>256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3</v>
      </c>
      <c r="H264" s="101" t="s">
        <v>298</v>
      </c>
      <c r="I264" s="97" t="s">
        <v>293</v>
      </c>
      <c r="J264" s="52" t="s">
        <v>531</v>
      </c>
      <c r="K264" s="61"/>
      <c r="L264" s="61"/>
      <c r="M264" s="69"/>
      <c r="N264" s="69"/>
      <c r="O264" s="69"/>
      <c r="P264" s="69"/>
      <c r="Q264" s="104" t="s">
        <v>229</v>
      </c>
      <c r="R264" s="47"/>
      <c r="S264" s="77"/>
      <c r="T264" s="107" t="s">
        <v>332</v>
      </c>
      <c r="U264" s="125"/>
      <c r="V264" s="125"/>
      <c r="W264" s="101"/>
      <c r="X264" s="45"/>
      <c r="Y264" s="78"/>
      <c r="Z264" s="130" t="str">
        <f t="shared" si="83"/>
        <v>/* 테이블 : 게시물 */ CREATE TABLE TB_NTT (</v>
      </c>
      <c r="AA264" s="125" t="str">
        <f t="shared" si="119"/>
        <v>NTT_SEQ INTEGER NOT NULL,</v>
      </c>
      <c r="AB264" s="125" t="str">
        <f t="shared" si="117"/>
        <v/>
      </c>
      <c r="AC264" s="125" t="str">
        <f t="shared" si="118"/>
        <v/>
      </c>
      <c r="AD264" s="125" t="str">
        <f t="shared" si="102"/>
        <v/>
      </c>
      <c r="AE264" s="125" t="str">
        <f t="shared" si="84"/>
        <v/>
      </c>
      <c r="AF264" s="125" t="str">
        <f t="shared" si="85"/>
        <v>COMMENT ON COLUMN TB_NTT.NTT_SEQ IS '게시물 순번' ;</v>
      </c>
      <c r="AG264" s="125" t="str">
        <f t="shared" si="103"/>
        <v>ALTER TABLE TB_NTT ALTER COLUMN NTT_SEQ TYPE INTEGER;</v>
      </c>
      <c r="AH264" s="131" t="str">
        <f t="shared" si="124"/>
        <v>ALTER TABLE TB_NTT ADD COLUMN NTT_SEQ INTEGER NOT NULL;</v>
      </c>
      <c r="AI264" s="125" t="str">
        <f t="shared" si="104"/>
        <v>ALTER TABLE TB_NTT DROP COLUMN NTT_SEQ;</v>
      </c>
    </row>
    <row r="265" spans="2:35" ht="20.100000000000001" customHeight="1">
      <c r="B265" s="135">
        <v>257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4</v>
      </c>
      <c r="H265" s="101" t="s">
        <v>299</v>
      </c>
      <c r="I265" s="97" t="s">
        <v>294</v>
      </c>
      <c r="J265" s="73"/>
      <c r="K265" s="61"/>
      <c r="L265" s="61"/>
      <c r="M265" s="61"/>
      <c r="N265" s="61"/>
      <c r="O265" s="61"/>
      <c r="P265" s="61"/>
      <c r="Q265" s="62" t="s">
        <v>314</v>
      </c>
      <c r="R265" s="119" t="s">
        <v>528</v>
      </c>
      <c r="S265" s="81"/>
      <c r="T265" s="107" t="s">
        <v>333</v>
      </c>
      <c r="U265" s="78"/>
      <c r="V265" s="78"/>
      <c r="W265" s="101"/>
      <c r="X265" s="45"/>
      <c r="Y265" s="78"/>
      <c r="Z265" s="130" t="str">
        <f t="shared" si="83"/>
        <v>/* 테이블 : 게시물 */ CREATE TABLE TB_NTT (</v>
      </c>
      <c r="AA265" s="125" t="str">
        <f t="shared" si="119"/>
        <v>NTT_NM VARCHAR(255),</v>
      </c>
      <c r="AB265" s="125" t="str">
        <f t="shared" si="117"/>
        <v/>
      </c>
      <c r="AC265" s="125" t="str">
        <f t="shared" si="118"/>
        <v/>
      </c>
      <c r="AD265" s="125" t="str">
        <f t="shared" si="102"/>
        <v/>
      </c>
      <c r="AE265" s="125" t="str">
        <f t="shared" si="84"/>
        <v/>
      </c>
      <c r="AF265" s="125" t="str">
        <f t="shared" si="85"/>
        <v>COMMENT ON COLUMN TB_NTT.NTT_NM IS '게시물 이름' ;</v>
      </c>
      <c r="AG265" s="125" t="str">
        <f t="shared" si="103"/>
        <v>ALTER TABLE TB_NTT ALTER COLUMN NTT_NM TYPE VARCHAR(255);</v>
      </c>
      <c r="AH265" s="131" t="str">
        <f t="shared" si="124"/>
        <v>ALTER TABLE TB_NTT ADD COLUMN NTT_NM VARCHAR(255);</v>
      </c>
      <c r="AI265" s="125" t="str">
        <f t="shared" si="104"/>
        <v>ALTER TABLE TB_NTT DROP COLUMN NTT_NM;</v>
      </c>
    </row>
    <row r="266" spans="2:35" ht="20.100000000000001" customHeight="1">
      <c r="B266" s="55">
        <v>258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5</v>
      </c>
      <c r="H266" s="101" t="s">
        <v>366</v>
      </c>
      <c r="I266" s="101" t="s">
        <v>368</v>
      </c>
      <c r="J266" s="69"/>
      <c r="K266" s="61"/>
      <c r="L266" s="61">
        <v>2</v>
      </c>
      <c r="M266" s="10" t="s">
        <v>364</v>
      </c>
      <c r="N266" s="96" t="s">
        <v>365</v>
      </c>
      <c r="O266" s="96" t="s">
        <v>539</v>
      </c>
      <c r="P266" s="96" t="s">
        <v>540</v>
      </c>
      <c r="Q266" s="51" t="s">
        <v>229</v>
      </c>
      <c r="R266" s="117"/>
      <c r="S266" s="45"/>
      <c r="T266" s="101" t="s">
        <v>370</v>
      </c>
      <c r="U266" s="125"/>
      <c r="V266" s="123"/>
      <c r="W266" s="104"/>
      <c r="X266" s="85"/>
      <c r="Y266" s="123"/>
      <c r="Z266" s="130" t="str">
        <f t="shared" si="83"/>
        <v>/* 테이블 : 게시물 */ CREATE TABLE TB_NTT (</v>
      </c>
      <c r="AA266" s="125" t="str">
        <f t="shared" si="119"/>
        <v>THUMB_ATCH_FILE_SN INTEGER,</v>
      </c>
      <c r="AB266" s="125" t="str">
        <f t="shared" si="117"/>
        <v>ALTER TABLE TB_NTT ADD CONSTRAINT TB_NTT_FKEY2 FOREIGN KEY(THUMB_ATCH_FILE_SN) REFERENCES TB_ATCH_FILE(ATCH_FILE_SN) ON UPDATE CASCADE ON DELETE SET NULL;</v>
      </c>
      <c r="AC266" s="125" t="str">
        <f t="shared" si="118"/>
        <v/>
      </c>
      <c r="AD266" s="125" t="str">
        <f t="shared" si="102"/>
        <v/>
      </c>
      <c r="AE266" s="125" t="str">
        <f t="shared" si="84"/>
        <v/>
      </c>
      <c r="AF266" s="125" t="str">
        <f t="shared" si="85"/>
        <v>COMMENT ON COLUMN TB_NTT.THUMB_ATCH_FILE_SN IS '썸네일 첨부 파일 일련번호' ;</v>
      </c>
      <c r="AG266" s="125" t="str">
        <f t="shared" si="103"/>
        <v>ALTER TABLE TB_NTT ALTER COLUMN THUMB_ATCH_FILE_SN TYPE INTEGER;</v>
      </c>
      <c r="AH266" s="131" t="str">
        <f t="shared" si="124"/>
        <v>ALTER TABLE TB_NTT ADD COLUMN THUMB_ATCH_FILE_SN INTEGER;</v>
      </c>
      <c r="AI266" s="125" t="str">
        <f t="shared" si="104"/>
        <v>ALTER TABLE TB_NTT DROP COLUMN THUMB_ATCH_FILE_SN;</v>
      </c>
    </row>
    <row r="267" spans="2:35" ht="20.100000000000001" customHeight="1">
      <c r="B267" s="55">
        <v>259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6</v>
      </c>
      <c r="H267" s="101" t="s">
        <v>300</v>
      </c>
      <c r="I267" s="101" t="s">
        <v>295</v>
      </c>
      <c r="J267" s="45"/>
      <c r="K267" s="45"/>
      <c r="L267" s="45"/>
      <c r="M267" s="45"/>
      <c r="N267" s="45"/>
      <c r="O267" s="45"/>
      <c r="P267" s="45"/>
      <c r="Q267" s="101" t="s">
        <v>322</v>
      </c>
      <c r="R267" s="92"/>
      <c r="S267" s="45"/>
      <c r="T267" s="101" t="s">
        <v>334</v>
      </c>
      <c r="U267" s="78"/>
      <c r="V267" s="78"/>
      <c r="W267" s="101"/>
      <c r="X267" s="45"/>
      <c r="Y267" s="78"/>
      <c r="Z267" s="130" t="str">
        <f t="shared" si="83"/>
        <v>/* 테이블 : 게시물 */ CREATE TABLE TB_NTT (</v>
      </c>
      <c r="AA267" s="125" t="str">
        <f t="shared" si="119"/>
        <v>NTT_CN TEXT,</v>
      </c>
      <c r="AB267" s="125" t="str">
        <f t="shared" si="117"/>
        <v/>
      </c>
      <c r="AC267" s="125" t="str">
        <f t="shared" si="118"/>
        <v/>
      </c>
      <c r="AD267" s="125" t="str">
        <f t="shared" si="102"/>
        <v/>
      </c>
      <c r="AE267" s="125" t="str">
        <f t="shared" si="84"/>
        <v/>
      </c>
      <c r="AF267" s="125" t="str">
        <f t="shared" si="85"/>
        <v>COMMENT ON COLUMN TB_NTT.NTT_CN IS '게시물 내용' ;</v>
      </c>
      <c r="AG267" s="125" t="str">
        <f t="shared" si="103"/>
        <v>ALTER TABLE TB_NTT ALTER COLUMN NTT_CN TYPE TEXT;</v>
      </c>
      <c r="AH267" s="131" t="str">
        <f t="shared" si="124"/>
        <v>ALTER TABLE TB_NTT ADD COLUMN NTT_CN TEXT;</v>
      </c>
      <c r="AI267" s="125" t="str">
        <f t="shared" si="104"/>
        <v>ALTER TABLE TB_NTT DROP COLUMN NTT_CN;</v>
      </c>
    </row>
    <row r="268" spans="2:35" ht="20.100000000000001" customHeight="1">
      <c r="B268" s="55">
        <v>260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7</v>
      </c>
      <c r="H268" s="100" t="s">
        <v>365</v>
      </c>
      <c r="I268" s="100" t="s">
        <v>367</v>
      </c>
      <c r="J268" s="45"/>
      <c r="K268" s="45"/>
      <c r="L268" s="45">
        <v>3</v>
      </c>
      <c r="M268" s="10" t="s">
        <v>364</v>
      </c>
      <c r="N268" s="96" t="s">
        <v>365</v>
      </c>
      <c r="O268" s="96" t="s">
        <v>539</v>
      </c>
      <c r="P268" s="96" t="s">
        <v>540</v>
      </c>
      <c r="Q268" s="51" t="s">
        <v>229</v>
      </c>
      <c r="R268" s="117"/>
      <c r="S268" s="45"/>
      <c r="T268" s="101" t="s">
        <v>369</v>
      </c>
      <c r="U268" s="78"/>
      <c r="V268" s="78"/>
      <c r="W268" s="101"/>
      <c r="X268" s="45"/>
      <c r="Y268" s="78"/>
      <c r="Z268" s="130" t="str">
        <f t="shared" si="83"/>
        <v>/* 테이블 : 게시물 */ CREATE TABLE TB_NTT (</v>
      </c>
      <c r="AA268" s="125" t="str">
        <f t="shared" si="119"/>
        <v>ATCH_FILE_SN INTEGER,</v>
      </c>
      <c r="AB268" s="125" t="str">
        <f t="shared" si="117"/>
        <v>ALTER TABLE TB_NTT ADD CONSTRAINT TB_NTT_FKEY3 FOREIGN KEY(ATCH_FILE_SN) REFERENCES TB_ATCH_FILE(ATCH_FILE_SN) ON UPDATE CASCADE ON DELETE SET NULL;</v>
      </c>
      <c r="AC268" s="125" t="str">
        <f t="shared" si="118"/>
        <v/>
      </c>
      <c r="AD268" s="125" t="str">
        <f t="shared" si="102"/>
        <v/>
      </c>
      <c r="AE268" s="125" t="str">
        <f t="shared" si="84"/>
        <v/>
      </c>
      <c r="AF268" s="125" t="str">
        <f t="shared" si="85"/>
        <v>COMMENT ON COLUMN TB_NTT.ATCH_FILE_SN IS '첨부 파일 일련번호' ;</v>
      </c>
      <c r="AG268" s="125" t="str">
        <f t="shared" si="103"/>
        <v>ALTER TABLE TB_NTT ALTER COLUMN ATCH_FILE_SN TYPE INTEGER;</v>
      </c>
      <c r="AH268" s="131" t="str">
        <f t="shared" si="124"/>
        <v>ALTER TABLE TB_NTT ADD COLUMN ATCH_FILE_SN INTEGER;</v>
      </c>
      <c r="AI268" s="125" t="str">
        <f t="shared" si="104"/>
        <v>ALTER TABLE TB_NTT DROP COLUMN ATCH_FILE_SN;</v>
      </c>
    </row>
    <row r="269" spans="2:35" ht="20.100000000000001" customHeight="1">
      <c r="B269" s="135">
        <v>261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8</v>
      </c>
      <c r="H269" s="101" t="s">
        <v>324</v>
      </c>
      <c r="I269" s="101" t="s">
        <v>296</v>
      </c>
      <c r="J269" s="73"/>
      <c r="K269" s="45"/>
      <c r="L269" s="45"/>
      <c r="M269" s="45"/>
      <c r="N269" s="45"/>
      <c r="O269" s="45"/>
      <c r="P269" s="45"/>
      <c r="Q269" s="101" t="s">
        <v>229</v>
      </c>
      <c r="R269" s="92"/>
      <c r="S269" s="45"/>
      <c r="T269" s="101" t="s">
        <v>335</v>
      </c>
      <c r="U269" s="78"/>
      <c r="V269" s="78"/>
      <c r="W269" s="101"/>
      <c r="X269" s="45"/>
      <c r="Y269" s="78"/>
      <c r="Z269" s="130" t="str">
        <f t="shared" si="83"/>
        <v>/* 테이블 : 게시물 */ CREATE TABLE TB_NTT (</v>
      </c>
      <c r="AA269" s="125" t="str">
        <f t="shared" si="119"/>
        <v>NTT_RDCNT INTEGER,</v>
      </c>
      <c r="AB269" s="125" t="str">
        <f t="shared" si="117"/>
        <v/>
      </c>
      <c r="AC269" s="125" t="str">
        <f t="shared" si="118"/>
        <v/>
      </c>
      <c r="AD269" s="125" t="str">
        <f t="shared" si="102"/>
        <v/>
      </c>
      <c r="AE269" s="125" t="str">
        <f t="shared" si="84"/>
        <v/>
      </c>
      <c r="AF269" s="125" t="str">
        <f t="shared" si="85"/>
        <v>COMMENT ON COLUMN TB_NTT.NTT_RDCNT IS '게시물 조회수' ;</v>
      </c>
      <c r="AG269" s="125" t="str">
        <f t="shared" si="103"/>
        <v>ALTER TABLE TB_NTT ALTER COLUMN NTT_RDCNT TYPE INTEGER;</v>
      </c>
      <c r="AH269" s="131" t="str">
        <f t="shared" si="124"/>
        <v>ALTER TABLE TB_NTT ADD COLUMN NTT_RDCNT INTEGER;</v>
      </c>
      <c r="AI269" s="125" t="str">
        <f t="shared" si="104"/>
        <v>ALTER TABLE TB_NTT DROP COLUMN NTT_RDCNT;</v>
      </c>
    </row>
    <row r="270" spans="2:35" ht="20.100000000000001" customHeight="1">
      <c r="B270" s="55">
        <v>262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9</v>
      </c>
      <c r="H270" s="101" t="s">
        <v>328</v>
      </c>
      <c r="I270" s="101" t="s">
        <v>329</v>
      </c>
      <c r="J270" s="73" t="s">
        <v>72</v>
      </c>
      <c r="K270" s="45"/>
      <c r="L270" s="45"/>
      <c r="M270" s="45"/>
      <c r="N270" s="45"/>
      <c r="O270" s="45"/>
      <c r="P270" s="45"/>
      <c r="Q270" s="51" t="s">
        <v>800</v>
      </c>
      <c r="R270" s="119" t="s">
        <v>522</v>
      </c>
      <c r="S270" s="45"/>
      <c r="T270" s="101" t="s">
        <v>341</v>
      </c>
      <c r="U270" s="78"/>
      <c r="V270" s="78"/>
      <c r="W270" s="101"/>
      <c r="X270" s="45"/>
      <c r="Y270" s="78"/>
      <c r="Z270" s="130" t="str">
        <f t="shared" si="83"/>
        <v>/* 테이블 : 게시물 */ CREATE TABLE TB_NTT (</v>
      </c>
      <c r="AA270" s="125" t="str">
        <f t="shared" si="119"/>
        <v>OPEN_YN BPCHAR(1) NOT NULL,</v>
      </c>
      <c r="AB270" s="125" t="str">
        <f t="shared" si="117"/>
        <v/>
      </c>
      <c r="AC270" s="125" t="str">
        <f t="shared" si="118"/>
        <v/>
      </c>
      <c r="AD270" s="125" t="str">
        <f t="shared" si="102"/>
        <v/>
      </c>
      <c r="AE270" s="125" t="str">
        <f t="shared" si="84"/>
        <v/>
      </c>
      <c r="AF270" s="125" t="str">
        <f t="shared" si="85"/>
        <v>COMMENT ON COLUMN TB_NTT.OPEN_YN IS '공개 여부' ;</v>
      </c>
      <c r="AG270" s="125" t="str">
        <f t="shared" si="103"/>
        <v>ALTER TABLE TB_NTT ALTER COLUMN OPEN_YN TYPE BPCHAR(1);</v>
      </c>
      <c r="AH270" s="131" t="str">
        <f t="shared" si="124"/>
        <v>ALTER TABLE TB_NTT ADD COLUMN OPEN_YN BPCHAR(1) NOT NULL;</v>
      </c>
      <c r="AI270" s="125" t="str">
        <f t="shared" si="104"/>
        <v>ALTER TABLE TB_NTT DROP COLUMN OPEN_YN;</v>
      </c>
    </row>
    <row r="271" spans="2:35" ht="20.100000000000001" customHeight="1">
      <c r="B271" s="55">
        <v>263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10</v>
      </c>
      <c r="H271" s="101" t="s">
        <v>570</v>
      </c>
      <c r="I271" s="101" t="s">
        <v>572</v>
      </c>
      <c r="J271" s="73"/>
      <c r="K271" s="45"/>
      <c r="L271" s="45"/>
      <c r="M271" s="45"/>
      <c r="N271" s="45"/>
      <c r="O271" s="45"/>
      <c r="P271" s="45"/>
      <c r="Q271" s="51" t="s">
        <v>800</v>
      </c>
      <c r="R271" s="119" t="s">
        <v>522</v>
      </c>
      <c r="S271" s="45"/>
      <c r="T271" s="101" t="s">
        <v>573</v>
      </c>
      <c r="U271" s="78"/>
      <c r="V271" s="78"/>
      <c r="W271" s="101"/>
      <c r="X271" s="45"/>
      <c r="Y271" s="78"/>
      <c r="Z271" s="130" t="str">
        <f t="shared" ref="Z271:Z339" si="125">"/* 테이블 : "&amp; $F271 &amp;" */ CREATE TABLE "&amp;$E271&amp;" ("</f>
        <v>/* 테이블 : 게시물 */ CREATE TABLE TB_NTT (</v>
      </c>
      <c r="AA271" s="125" t="str">
        <f t="shared" si="119"/>
        <v>NOTICE_SET_YN BPCHAR(1),</v>
      </c>
      <c r="AB271" s="125" t="str">
        <f t="shared" si="117"/>
        <v/>
      </c>
      <c r="AC271" s="125" t="str">
        <f t="shared" si="118"/>
        <v/>
      </c>
      <c r="AD271" s="125" t="str">
        <f t="shared" si="102"/>
        <v/>
      </c>
      <c r="AE271" s="125" t="str">
        <f t="shared" ref="AE271:AE339" si="126">IF(ISBLANK($S271),"","ALTER TABLE " &amp; $E271 &amp; " ALTER COLUMN " &amp; $H271 &amp; " SET DEFAULT " &amp; $S271 &amp; ";")</f>
        <v/>
      </c>
      <c r="AF271" s="125" t="str">
        <f t="shared" ref="AF271:AF339" si="127">"COMMENT ON COLUMN "&amp;$E271&amp;"."&amp;$H271&amp;" IS '"&amp;$T271&amp;"' ;"</f>
        <v>COMMENT ON COLUMN TB_NTT.NOTICE_SET_YN IS '공지 설정 여부' ;</v>
      </c>
      <c r="AG271" s="125" t="str">
        <f t="shared" si="103"/>
        <v>ALTER TABLE TB_NTT ALTER COLUMN NOTICE_SET_YN TYPE BPCHAR(1);</v>
      </c>
      <c r="AH271" s="131" t="str">
        <f t="shared" si="124"/>
        <v>ALTER TABLE TB_NTT ADD COLUMN NOTICE_SET_YN BPCHAR(1);</v>
      </c>
      <c r="AI271" s="125" t="str">
        <f t="shared" si="104"/>
        <v>ALTER TABLE TB_NTT DROP COLUMN NOTICE_SET_YN;</v>
      </c>
    </row>
    <row r="272" spans="2:35" ht="20.100000000000001" customHeight="1">
      <c r="B272" s="55">
        <v>264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11</v>
      </c>
      <c r="H272" s="101" t="s">
        <v>340</v>
      </c>
      <c r="I272" s="101" t="s">
        <v>339</v>
      </c>
      <c r="J272" s="73"/>
      <c r="K272" s="45"/>
      <c r="L272" s="45"/>
      <c r="M272" s="45"/>
      <c r="N272" s="45"/>
      <c r="O272" s="45"/>
      <c r="P272" s="45"/>
      <c r="Q272" s="104" t="s">
        <v>229</v>
      </c>
      <c r="R272" s="47"/>
      <c r="S272" s="45"/>
      <c r="T272" s="101" t="s">
        <v>342</v>
      </c>
      <c r="U272" s="125"/>
      <c r="V272" s="125"/>
      <c r="W272" s="101"/>
      <c r="X272" s="45"/>
      <c r="Y272" s="78"/>
      <c r="Z272" s="130" t="str">
        <f t="shared" si="125"/>
        <v>/* 테이블 : 게시물 */ CREATE TABLE TB_NTT (</v>
      </c>
      <c r="AA272" s="125" t="str">
        <f t="shared" si="119"/>
        <v>NOTICE_SEQ INTEGER,</v>
      </c>
      <c r="AB272" s="125" t="str">
        <f t="shared" si="117"/>
        <v/>
      </c>
      <c r="AC272" s="125" t="str">
        <f t="shared" si="118"/>
        <v/>
      </c>
      <c r="AD272" s="125" t="str">
        <f t="shared" si="102"/>
        <v/>
      </c>
      <c r="AE272" s="125" t="str">
        <f t="shared" si="126"/>
        <v/>
      </c>
      <c r="AF272" s="125" t="str">
        <f t="shared" si="127"/>
        <v>COMMENT ON COLUMN TB_NTT.NOTICE_SEQ IS '공지 순번' ;</v>
      </c>
      <c r="AG272" s="125" t="str">
        <f t="shared" si="103"/>
        <v>ALTER TABLE TB_NTT ALTER COLUMN NOTICE_SEQ TYPE INTEGER;</v>
      </c>
      <c r="AH272" s="131" t="str">
        <f t="shared" si="124"/>
        <v>ALTER TABLE TB_NTT ADD COLUMN NOTICE_SEQ INTEGER;</v>
      </c>
      <c r="AI272" s="125" t="str">
        <f t="shared" si="104"/>
        <v>ALTER TABLE TB_NTT DROP COLUMN NOTICE_SEQ;</v>
      </c>
    </row>
    <row r="273" spans="2:35" ht="20.100000000000001" customHeight="1">
      <c r="B273" s="135">
        <v>265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12</v>
      </c>
      <c r="H273" s="97" t="s">
        <v>107</v>
      </c>
      <c r="I273" s="51" t="s">
        <v>76</v>
      </c>
      <c r="J273" s="73" t="s">
        <v>72</v>
      </c>
      <c r="K273" s="67"/>
      <c r="L273" s="67"/>
      <c r="M273" s="77"/>
      <c r="N273" s="77"/>
      <c r="O273" s="77"/>
      <c r="P273" s="77"/>
      <c r="Q273" s="100" t="s">
        <v>521</v>
      </c>
      <c r="R273" s="119" t="s">
        <v>526</v>
      </c>
      <c r="S273" s="80"/>
      <c r="T273" s="107" t="s">
        <v>219</v>
      </c>
      <c r="U273" s="123"/>
      <c r="V273" s="123"/>
      <c r="W273" s="116" t="s">
        <v>496</v>
      </c>
      <c r="X273" s="85"/>
      <c r="Y273" s="123"/>
      <c r="Z273" s="130" t="str">
        <f t="shared" si="125"/>
        <v>/* 테이블 : 게시물 */ CREATE TABLE TB_NTT (</v>
      </c>
      <c r="AA273" s="125" t="str">
        <f t="shared" si="119"/>
        <v>REGISTER_ID VARCHAR(50) NOT NULL,</v>
      </c>
      <c r="AB273" s="125" t="str">
        <f t="shared" si="117"/>
        <v/>
      </c>
      <c r="AC273" s="125" t="str">
        <f t="shared" si="118"/>
        <v/>
      </c>
      <c r="AD273" s="125" t="str">
        <f t="shared" si="102"/>
        <v/>
      </c>
      <c r="AE273" s="125" t="str">
        <f t="shared" si="126"/>
        <v/>
      </c>
      <c r="AF273" s="125" t="str">
        <f t="shared" si="127"/>
        <v>COMMENT ON COLUMN TB_NTT.REGISTER_ID IS '등록자 ID' ;</v>
      </c>
      <c r="AG273" s="125" t="str">
        <f t="shared" si="103"/>
        <v>ALTER TABLE TB_NTT ALTER COLUMN REGISTER_ID TYPE VARCHAR(50);</v>
      </c>
      <c r="AH273" s="131" t="str">
        <f t="shared" si="124"/>
        <v>ALTER TABLE TB_NTT ADD COLUMN REGISTER_ID VARCHAR(50) NOT NULL;</v>
      </c>
      <c r="AI273" s="125" t="str">
        <f t="shared" si="104"/>
        <v>ALTER TABLE TB_NTT DROP COLUMN REGISTER_ID;</v>
      </c>
    </row>
    <row r="274" spans="2:35" ht="20.100000000000001" customHeight="1">
      <c r="B274" s="55">
        <v>266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13</v>
      </c>
      <c r="H274" s="97" t="s">
        <v>91</v>
      </c>
      <c r="I274" s="51" t="s">
        <v>77</v>
      </c>
      <c r="J274" s="73" t="s">
        <v>72</v>
      </c>
      <c r="K274" s="52"/>
      <c r="L274" s="52"/>
      <c r="M274" s="52"/>
      <c r="N274" s="52"/>
      <c r="O274" s="52"/>
      <c r="P274" s="52"/>
      <c r="Q274" s="56" t="s">
        <v>106</v>
      </c>
      <c r="R274" s="119" t="s">
        <v>527</v>
      </c>
      <c r="S274" s="80"/>
      <c r="T274" s="107" t="s">
        <v>218</v>
      </c>
      <c r="U274" s="123"/>
      <c r="V274" s="123"/>
      <c r="W274" s="104"/>
      <c r="X274" s="85"/>
      <c r="Y274" s="123"/>
      <c r="Z274" s="130" t="str">
        <f t="shared" si="125"/>
        <v>/* 테이블 : 게시물 */ CREATE TABLE TB_NTT (</v>
      </c>
      <c r="AA274" s="125" t="str">
        <f t="shared" si="119"/>
        <v>REGISTER_IP VARCHAR(100) NOT NULL,</v>
      </c>
      <c r="AB274" s="125" t="str">
        <f t="shared" si="117"/>
        <v/>
      </c>
      <c r="AC274" s="125" t="str">
        <f t="shared" si="118"/>
        <v/>
      </c>
      <c r="AD274" s="125" t="str">
        <f t="shared" si="102"/>
        <v/>
      </c>
      <c r="AE274" s="125" t="str">
        <f t="shared" si="126"/>
        <v/>
      </c>
      <c r="AF274" s="125" t="str">
        <f t="shared" si="127"/>
        <v>COMMENT ON COLUMN TB_NTT.REGISTER_IP IS '등록자 IP' ;</v>
      </c>
      <c r="AG274" s="125" t="str">
        <f t="shared" si="103"/>
        <v>ALTER TABLE TB_NTT ALTER COLUMN REGISTER_IP TYPE VARCHAR(100);</v>
      </c>
      <c r="AH274" s="131" t="str">
        <f t="shared" si="124"/>
        <v>ALTER TABLE TB_NTT ADD COLUMN REGISTER_IP VARCHAR(100) NOT NULL;</v>
      </c>
      <c r="AI274" s="125" t="str">
        <f t="shared" si="104"/>
        <v>ALTER TABLE TB_NTT DROP COLUMN REGISTER_IP;</v>
      </c>
    </row>
    <row r="275" spans="2:35" ht="20.100000000000001" customHeight="1">
      <c r="B275" s="55">
        <v>267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14</v>
      </c>
      <c r="H275" s="97" t="s">
        <v>92</v>
      </c>
      <c r="I275" s="96" t="s">
        <v>78</v>
      </c>
      <c r="J275" s="73" t="s">
        <v>72</v>
      </c>
      <c r="K275" s="52"/>
      <c r="L275" s="52"/>
      <c r="M275" s="52"/>
      <c r="N275" s="52"/>
      <c r="O275" s="52"/>
      <c r="P275" s="52"/>
      <c r="Q275" s="51" t="s">
        <v>702</v>
      </c>
      <c r="R275" s="119"/>
      <c r="S275" s="80"/>
      <c r="T275" s="107" t="s">
        <v>217</v>
      </c>
      <c r="U275" s="123"/>
      <c r="V275" s="123"/>
      <c r="W275" s="104"/>
      <c r="X275" s="85"/>
      <c r="Y275" s="123"/>
      <c r="Z275" s="130" t="str">
        <f t="shared" si="125"/>
        <v>/* 테이블 : 게시물 */ CREATE TABLE TB_NTT (</v>
      </c>
      <c r="AA275" s="125" t="str">
        <f t="shared" si="119"/>
        <v>REG_DT TIMESTAMP NOT NULL,</v>
      </c>
      <c r="AB275" s="125" t="str">
        <f t="shared" si="117"/>
        <v/>
      </c>
      <c r="AC275" s="125" t="str">
        <f t="shared" si="118"/>
        <v/>
      </c>
      <c r="AD275" s="125" t="str">
        <f t="shared" si="102"/>
        <v/>
      </c>
      <c r="AE275" s="125" t="str">
        <f t="shared" si="126"/>
        <v/>
      </c>
      <c r="AF275" s="125" t="str">
        <f t="shared" si="127"/>
        <v>COMMENT ON COLUMN TB_NTT.REG_DT IS '등록 일시' ;</v>
      </c>
      <c r="AG275" s="125" t="str">
        <f t="shared" si="103"/>
        <v>ALTER TABLE TB_NTT ALTER COLUMN REG_DT TYPE TIMESTAMP;</v>
      </c>
      <c r="AH275" s="131" t="str">
        <f t="shared" si="124"/>
        <v>ALTER TABLE TB_NTT ADD COLUMN REG_DT TIMESTAMP NOT NULL;</v>
      </c>
      <c r="AI275" s="125" t="str">
        <f t="shared" si="104"/>
        <v>ALTER TABLE TB_NTT DROP COLUMN REG_DT;</v>
      </c>
    </row>
    <row r="276" spans="2:35" ht="20.100000000000001" customHeight="1">
      <c r="B276" s="55">
        <v>268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15</v>
      </c>
      <c r="H276" s="97" t="s">
        <v>93</v>
      </c>
      <c r="I276" s="96" t="s">
        <v>80</v>
      </c>
      <c r="J276" s="52"/>
      <c r="K276" s="52"/>
      <c r="L276" s="52"/>
      <c r="M276" s="79"/>
      <c r="N276" s="79"/>
      <c r="O276" s="79"/>
      <c r="P276" s="79"/>
      <c r="Q276" s="100" t="s">
        <v>521</v>
      </c>
      <c r="R276" s="119" t="s">
        <v>526</v>
      </c>
      <c r="S276" s="80"/>
      <c r="T276" s="107" t="s">
        <v>216</v>
      </c>
      <c r="U276" s="123"/>
      <c r="V276" s="123"/>
      <c r="W276" s="116" t="s">
        <v>496</v>
      </c>
      <c r="X276" s="85"/>
      <c r="Y276" s="123"/>
      <c r="Z276" s="130" t="str">
        <f t="shared" si="125"/>
        <v>/* 테이블 : 게시물 */ CREATE TABLE TB_NTT (</v>
      </c>
      <c r="AA276" s="125" t="str">
        <f t="shared" si="119"/>
        <v>UPDUSR_ID VARCHAR(50),</v>
      </c>
      <c r="AB276" s="125" t="str">
        <f t="shared" si="117"/>
        <v/>
      </c>
      <c r="AC276" s="125" t="str">
        <f t="shared" si="118"/>
        <v/>
      </c>
      <c r="AD276" s="125" t="str">
        <f t="shared" si="102"/>
        <v/>
      </c>
      <c r="AE276" s="125" t="str">
        <f t="shared" si="126"/>
        <v/>
      </c>
      <c r="AF276" s="125" t="str">
        <f t="shared" si="127"/>
        <v>COMMENT ON COLUMN TB_NTT.UPDUSR_ID IS '수정자 ID' ;</v>
      </c>
      <c r="AG276" s="125" t="str">
        <f t="shared" si="103"/>
        <v>ALTER TABLE TB_NTT ALTER COLUMN UPDUSR_ID TYPE VARCHAR(50);</v>
      </c>
      <c r="AH276" s="131" t="str">
        <f t="shared" si="124"/>
        <v>ALTER TABLE TB_NTT ADD COLUMN UPDUSR_ID VARCHAR(50);</v>
      </c>
      <c r="AI276" s="125" t="str">
        <f t="shared" si="104"/>
        <v>ALTER TABLE TB_NTT DROP COLUMN UPDUSR_ID;</v>
      </c>
    </row>
    <row r="277" spans="2:35" ht="20.100000000000001" customHeight="1">
      <c r="B277" s="135">
        <v>269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16</v>
      </c>
      <c r="H277" s="97" t="s">
        <v>94</v>
      </c>
      <c r="I277" s="96" t="s">
        <v>79</v>
      </c>
      <c r="J277" s="52"/>
      <c r="K277" s="52"/>
      <c r="L277" s="52"/>
      <c r="M277" s="52"/>
      <c r="N277" s="52"/>
      <c r="O277" s="52"/>
      <c r="P277" s="52"/>
      <c r="Q277" s="56" t="s">
        <v>106</v>
      </c>
      <c r="R277" s="119" t="s">
        <v>527</v>
      </c>
      <c r="S277" s="80"/>
      <c r="T277" s="107" t="s">
        <v>215</v>
      </c>
      <c r="U277" s="123"/>
      <c r="V277" s="123"/>
      <c r="W277" s="104"/>
      <c r="X277" s="85"/>
      <c r="Y277" s="123"/>
      <c r="Z277" s="130" t="str">
        <f t="shared" si="125"/>
        <v>/* 테이블 : 게시물 */ CREATE TABLE TB_NTT (</v>
      </c>
      <c r="AA277" s="125" t="str">
        <f t="shared" si="119"/>
        <v>UPDUSR_IP VARCHAR(100),</v>
      </c>
      <c r="AB277" s="125" t="str">
        <f t="shared" si="117"/>
        <v/>
      </c>
      <c r="AC277" s="125" t="str">
        <f t="shared" si="118"/>
        <v/>
      </c>
      <c r="AD277" s="125" t="str">
        <f t="shared" si="102"/>
        <v/>
      </c>
      <c r="AE277" s="125" t="str">
        <f t="shared" si="126"/>
        <v/>
      </c>
      <c r="AF277" s="125" t="str">
        <f t="shared" si="127"/>
        <v>COMMENT ON COLUMN TB_NTT.UPDUSR_IP IS '수정자 IP' ;</v>
      </c>
      <c r="AG277" s="125" t="str">
        <f t="shared" si="103"/>
        <v>ALTER TABLE TB_NTT ALTER COLUMN UPDUSR_IP TYPE VARCHAR(100);</v>
      </c>
      <c r="AH277" s="131" t="str">
        <f t="shared" si="124"/>
        <v>ALTER TABLE TB_NTT ADD COLUMN UPDUSR_IP VARCHAR(100);</v>
      </c>
      <c r="AI277" s="125" t="str">
        <f t="shared" si="104"/>
        <v>ALTER TABLE TB_NTT DROP COLUMN UPDUSR_IP;</v>
      </c>
    </row>
    <row r="278" spans="2:35" ht="20.100000000000001" customHeight="1">
      <c r="B278" s="55">
        <v>270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17</v>
      </c>
      <c r="H278" s="98" t="s">
        <v>95</v>
      </c>
      <c r="I278" s="97" t="s">
        <v>81</v>
      </c>
      <c r="J278" s="61"/>
      <c r="K278" s="61"/>
      <c r="L278" s="61"/>
      <c r="M278" s="61"/>
      <c r="N278" s="61"/>
      <c r="O278" s="61"/>
      <c r="P278" s="61"/>
      <c r="Q278" s="51" t="s">
        <v>702</v>
      </c>
      <c r="R278" s="119"/>
      <c r="S278" s="77"/>
      <c r="T278" s="107" t="s">
        <v>214</v>
      </c>
      <c r="U278" s="123"/>
      <c r="V278" s="123"/>
      <c r="W278" s="104"/>
      <c r="X278" s="85"/>
      <c r="Y278" s="123"/>
      <c r="Z278" s="130" t="str">
        <f t="shared" si="125"/>
        <v>/* 테이블 : 게시물 */ CREATE TABLE TB_NTT (</v>
      </c>
      <c r="AA278" s="125" t="str">
        <f t="shared" si="119"/>
        <v>UPDT_DT TIMESTAMP,</v>
      </c>
      <c r="AB278" s="125" t="str">
        <f t="shared" si="117"/>
        <v/>
      </c>
      <c r="AC278" s="125" t="str">
        <f t="shared" si="118"/>
        <v/>
      </c>
      <c r="AD278" s="125" t="str">
        <f t="shared" si="102"/>
        <v/>
      </c>
      <c r="AE278" s="125" t="str">
        <f t="shared" si="126"/>
        <v/>
      </c>
      <c r="AF278" s="125" t="str">
        <f t="shared" si="127"/>
        <v>COMMENT ON COLUMN TB_NTT.UPDT_DT IS '수정 일시' ;</v>
      </c>
      <c r="AG278" s="125" t="str">
        <f t="shared" si="103"/>
        <v>ALTER TABLE TB_NTT ALTER COLUMN UPDT_DT TYPE TIMESTAMP;</v>
      </c>
      <c r="AH278" s="131" t="str">
        <f t="shared" si="124"/>
        <v>ALTER TABLE TB_NTT ADD COLUMN UPDT_DT TIMESTAMP;</v>
      </c>
      <c r="AI278" s="125" t="str">
        <f t="shared" si="104"/>
        <v>ALTER TABLE TB_NTT DROP COLUMN UPDT_DT;</v>
      </c>
    </row>
    <row r="279" spans="2:35" ht="20.100000000000001" customHeight="1">
      <c r="B279" s="55">
        <v>271</v>
      </c>
      <c r="C279" s="26" t="s">
        <v>7</v>
      </c>
      <c r="D279" s="26" t="s">
        <v>16</v>
      </c>
      <c r="E279" s="10" t="s">
        <v>279</v>
      </c>
      <c r="F279" s="10" t="s">
        <v>280</v>
      </c>
      <c r="G279" s="92">
        <v>18</v>
      </c>
      <c r="H279" s="97" t="s">
        <v>96</v>
      </c>
      <c r="I279" s="97" t="s">
        <v>82</v>
      </c>
      <c r="J279" s="73" t="s">
        <v>72</v>
      </c>
      <c r="K279" s="61"/>
      <c r="L279" s="61"/>
      <c r="M279" s="61"/>
      <c r="N279" s="61"/>
      <c r="O279" s="61"/>
      <c r="P279" s="61"/>
      <c r="Q279" s="51" t="s">
        <v>800</v>
      </c>
      <c r="R279" s="119" t="s">
        <v>522</v>
      </c>
      <c r="S279" s="82" t="s">
        <v>799</v>
      </c>
      <c r="T279" s="107" t="s">
        <v>213</v>
      </c>
      <c r="U279" s="123"/>
      <c r="V279" s="123"/>
      <c r="W279" s="104"/>
      <c r="X279" s="85"/>
      <c r="Y279" s="123"/>
      <c r="Z279" s="130" t="str">
        <f t="shared" si="125"/>
        <v>/* 테이블 : 게시물 */ CREATE TABLE TB_NTT (</v>
      </c>
      <c r="AA279" s="125" t="str">
        <f t="shared" si="119"/>
        <v>DEL_YN BPCHAR(1) NOT NULL,</v>
      </c>
      <c r="AB279" s="125" t="str">
        <f t="shared" si="117"/>
        <v/>
      </c>
      <c r="AC279" s="125" t="str">
        <f t="shared" si="118"/>
        <v/>
      </c>
      <c r="AD279" s="125" t="str">
        <f t="shared" si="102"/>
        <v/>
      </c>
      <c r="AE279" s="125" t="str">
        <f t="shared" si="126"/>
        <v>ALTER TABLE TB_NTT ALTER COLUMN DEL_YN SET DEFAULT 'N'::bpchar;</v>
      </c>
      <c r="AF279" s="125" t="str">
        <f t="shared" si="127"/>
        <v>COMMENT ON COLUMN TB_NTT.DEL_YN IS '삭제 여부' ;</v>
      </c>
      <c r="AG279" s="125" t="str">
        <f t="shared" si="103"/>
        <v>ALTER TABLE TB_NTT ALTER COLUMN DEL_YN TYPE BPCHAR(1);</v>
      </c>
      <c r="AH279" s="131" t="str">
        <f t="shared" si="124"/>
        <v>ALTER TABLE TB_NTT ADD COLUMN DEL_YN BPCHAR(1) NOT NULL DEFAULT 'N'::bpchar;</v>
      </c>
      <c r="AI279" s="125" t="str">
        <f t="shared" si="104"/>
        <v>ALTER TABLE TB_NTT DROP COLUMN DEL_YN;</v>
      </c>
    </row>
    <row r="280" spans="2:35" ht="20.100000000000001" customHeight="1">
      <c r="B280" s="55">
        <v>272</v>
      </c>
      <c r="C280" s="26" t="s">
        <v>7</v>
      </c>
      <c r="D280" s="26" t="s">
        <v>16</v>
      </c>
      <c r="E280" s="10" t="s">
        <v>717</v>
      </c>
      <c r="F280" s="10" t="s">
        <v>281</v>
      </c>
      <c r="G280" s="87">
        <v>1</v>
      </c>
      <c r="H280" s="104" t="s">
        <v>718</v>
      </c>
      <c r="I280" s="104" t="s">
        <v>325</v>
      </c>
      <c r="J280" s="73" t="s">
        <v>72</v>
      </c>
      <c r="K280" s="85">
        <v>1</v>
      </c>
      <c r="L280" s="85"/>
      <c r="M280" s="85"/>
      <c r="N280" s="85"/>
      <c r="O280" s="85"/>
      <c r="P280" s="85"/>
      <c r="Q280" s="101" t="s">
        <v>229</v>
      </c>
      <c r="R280" s="87"/>
      <c r="S280" s="85"/>
      <c r="T280" s="104" t="s">
        <v>336</v>
      </c>
      <c r="U280" s="125" t="str">
        <f>"SEQ_"&amp;E280&amp;"_SN"</f>
        <v>SEQ_TB_NTT_REPLY_SN</v>
      </c>
      <c r="V280" s="125"/>
      <c r="W280" s="104"/>
      <c r="X280" s="85"/>
      <c r="Y280" s="123"/>
      <c r="Z280" s="130" t="str">
        <f t="shared" si="125"/>
        <v>/* 테이블 : 게시물댓글 */ CREATE TABLE TB_NTT_REPLY (</v>
      </c>
      <c r="AA280" s="125" t="str">
        <f t="shared" si="119"/>
        <v>NTT_REPLY_SN INTEGER PRIMARY KEY,</v>
      </c>
      <c r="AB280" s="125" t="str">
        <f t="shared" si="117"/>
        <v/>
      </c>
      <c r="AC280" s="125" t="str">
        <f t="shared" si="118"/>
        <v>CREATE SEQUENCE SEQ_TB_NTT_REPLY_SN START 100000;</v>
      </c>
      <c r="AD280" s="125" t="str">
        <f t="shared" si="102"/>
        <v>ALTER TABLE TB_NTT_REPLY ALTER COLUMN NTT_REPLY_SN SET DEFAULT NEXTVAL('SEQ_TB_NTT_REPLY_SN');</v>
      </c>
      <c r="AE280" s="125" t="str">
        <f t="shared" si="126"/>
        <v/>
      </c>
      <c r="AF280" s="125" t="str">
        <f t="shared" si="127"/>
        <v>COMMENT ON COLUMN TB_NTT_REPLY.NTT_REPLY_SN IS '게시물 댓글 일련번호' ;</v>
      </c>
      <c r="AG280" s="125" t="str">
        <f t="shared" si="103"/>
        <v>ALTER TABLE TB_NTT_REPLY ALTER COLUMN NTT_REPLY_SN TYPE INTEGER;</v>
      </c>
      <c r="AH280" s="131" t="str">
        <f t="shared" si="124"/>
        <v>ALTER TABLE TB_NTT_REPLY ADD COLUMN NTT_REPLY_SN INTEGER NOT NULL;</v>
      </c>
      <c r="AI280" s="125" t="str">
        <f t="shared" si="104"/>
        <v>ALTER TABLE TB_NTT_REPLY DROP COLUMN NTT_REPLY_SN;</v>
      </c>
    </row>
    <row r="281" spans="2:35" ht="20.100000000000001" customHeight="1">
      <c r="B281" s="135">
        <v>273</v>
      </c>
      <c r="C281" s="26" t="s">
        <v>7</v>
      </c>
      <c r="D281" s="26" t="s">
        <v>16</v>
      </c>
      <c r="E281" s="10" t="s">
        <v>717</v>
      </c>
      <c r="F281" s="10" t="s">
        <v>281</v>
      </c>
      <c r="G281" s="87">
        <v>2</v>
      </c>
      <c r="H281" s="104" t="s">
        <v>297</v>
      </c>
      <c r="I281" s="104" t="s">
        <v>292</v>
      </c>
      <c r="J281" s="73" t="s">
        <v>72</v>
      </c>
      <c r="K281" s="85"/>
      <c r="L281" s="85">
        <v>1</v>
      </c>
      <c r="M281" s="10" t="s">
        <v>279</v>
      </c>
      <c r="N281" s="104" t="s">
        <v>297</v>
      </c>
      <c r="O281" s="95" t="s">
        <v>539</v>
      </c>
      <c r="P281" s="95" t="s">
        <v>541</v>
      </c>
      <c r="Q281" s="101" t="s">
        <v>229</v>
      </c>
      <c r="R281" s="87"/>
      <c r="S281" s="85"/>
      <c r="T281" s="104" t="s">
        <v>330</v>
      </c>
      <c r="U281" s="123"/>
      <c r="V281" s="123"/>
      <c r="W281" s="104"/>
      <c r="X281" s="85"/>
      <c r="Y281" s="123"/>
      <c r="Z281" s="130" t="str">
        <f t="shared" si="125"/>
        <v>/* 테이블 : 게시물댓글 */ CREATE TABLE TB_NTT_REPLY (</v>
      </c>
      <c r="AA281" s="125" t="str">
        <f t="shared" si="119"/>
        <v>NTT_SN INTEGER NOT NULL,</v>
      </c>
      <c r="AB281" s="125" t="str">
        <f t="shared" si="117"/>
        <v>ALTER TABLE TB_NTT_REPLY ADD CONSTRAINT TB_NTT_REPLY_FKEY1 FOREIGN KEY(NTT_SN) REFERENCES TB_NTT(NTT_SN) ON UPDATE CASCADE ON DELETE CASCADE;</v>
      </c>
      <c r="AC281" s="125" t="str">
        <f t="shared" si="118"/>
        <v/>
      </c>
      <c r="AD281" s="125" t="str">
        <f t="shared" si="102"/>
        <v/>
      </c>
      <c r="AE281" s="125" t="str">
        <f t="shared" si="126"/>
        <v/>
      </c>
      <c r="AF281" s="125" t="str">
        <f t="shared" si="127"/>
        <v>COMMENT ON COLUMN TB_NTT_REPLY.NTT_SN IS '게시물 일련번호' ;</v>
      </c>
      <c r="AG281" s="125" t="str">
        <f t="shared" si="103"/>
        <v>ALTER TABLE TB_NTT_REPLY ALTER COLUMN NTT_SN TYPE INTEGER;</v>
      </c>
      <c r="AH281" s="131" t="str">
        <f t="shared" si="124"/>
        <v>ALTER TABLE TB_NTT_REPLY ADD COLUMN NTT_SN INTEGER NOT NULL;</v>
      </c>
      <c r="AI281" s="125" t="str">
        <f t="shared" si="104"/>
        <v>ALTER TABLE TB_NTT_REPLY DROP COLUMN NTT_SN;</v>
      </c>
    </row>
    <row r="282" spans="2:35" ht="20.100000000000001" customHeight="1">
      <c r="B282" s="55">
        <v>274</v>
      </c>
      <c r="C282" s="26" t="s">
        <v>7</v>
      </c>
      <c r="D282" s="26" t="s">
        <v>16</v>
      </c>
      <c r="E282" s="10" t="s">
        <v>717</v>
      </c>
      <c r="F282" s="10" t="s">
        <v>281</v>
      </c>
      <c r="G282" s="87">
        <v>3</v>
      </c>
      <c r="H282" s="101" t="s">
        <v>628</v>
      </c>
      <c r="I282" s="101" t="s">
        <v>629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834</v>
      </c>
      <c r="U282" s="78"/>
      <c r="V282" s="78"/>
      <c r="W282" s="116" t="s">
        <v>612</v>
      </c>
      <c r="X282" s="45"/>
      <c r="Y282" s="78"/>
      <c r="Z282" s="130" t="str">
        <f t="shared" si="125"/>
        <v>/* 테이블 : 게시물댓글 */ CREATE TABLE TB_NTT_REPLY (</v>
      </c>
      <c r="AA282" s="125" t="str">
        <f t="shared" si="119"/>
        <v>STEP INTEGER,</v>
      </c>
      <c r="AB282" s="125" t="str">
        <f t="shared" si="117"/>
        <v/>
      </c>
      <c r="AC282" s="125" t="str">
        <f t="shared" si="118"/>
        <v/>
      </c>
      <c r="AD282" s="125" t="str">
        <f t="shared" si="102"/>
        <v/>
      </c>
      <c r="AE282" s="125" t="str">
        <f t="shared" si="126"/>
        <v/>
      </c>
      <c r="AF282" s="125" t="str">
        <f t="shared" si="127"/>
        <v>COMMENT ON COLUMN TB_NTT_REPLY.STEP IS '계층 (원글 : 1 , 답글 : 2~ )' ;</v>
      </c>
      <c r="AG282" s="125" t="str">
        <f t="shared" si="103"/>
        <v>ALTER TABLE TB_NTT_REPLY ALTER COLUMN STEP TYPE INTEGER;</v>
      </c>
      <c r="AH282" s="131" t="str">
        <f t="shared" si="124"/>
        <v>ALTER TABLE TB_NTT_REPLY ADD COLUMN STEP INTEGER;</v>
      </c>
      <c r="AI282" s="125" t="str">
        <f t="shared" si="104"/>
        <v>ALTER TABLE TB_NTT_REPLY DROP COLUMN STEP;</v>
      </c>
    </row>
    <row r="283" spans="2:35" ht="20.100000000000001" customHeight="1">
      <c r="B283" s="55">
        <v>275</v>
      </c>
      <c r="C283" s="26" t="s">
        <v>7</v>
      </c>
      <c r="D283" s="26" t="s">
        <v>16</v>
      </c>
      <c r="E283" s="10" t="s">
        <v>717</v>
      </c>
      <c r="F283" s="10" t="s">
        <v>281</v>
      </c>
      <c r="G283" s="87">
        <v>4</v>
      </c>
      <c r="H283" s="101" t="s">
        <v>719</v>
      </c>
      <c r="I283" s="101" t="s">
        <v>632</v>
      </c>
      <c r="J283" s="45"/>
      <c r="K283" s="45"/>
      <c r="L283" s="45"/>
      <c r="M283" s="78"/>
      <c r="N283" s="95"/>
      <c r="O283" s="95"/>
      <c r="P283" s="95"/>
      <c r="Q283" s="101" t="s">
        <v>229</v>
      </c>
      <c r="R283" s="119"/>
      <c r="S283" s="45"/>
      <c r="T283" s="101" t="s">
        <v>633</v>
      </c>
      <c r="U283" s="125"/>
      <c r="V283" s="78"/>
      <c r="W283" s="116" t="s">
        <v>613</v>
      </c>
      <c r="X283" s="45"/>
      <c r="Y283" s="78"/>
      <c r="Z283" s="130" t="str">
        <f t="shared" si="125"/>
        <v>/* 테이블 : 게시물댓글 */ CREATE TABLE TB_NTT_REPLY (</v>
      </c>
      <c r="AA283" s="125" t="str">
        <f t="shared" si="119"/>
        <v>PARNTS_REPLY_SN INTEGER,</v>
      </c>
      <c r="AB283" s="125" t="str">
        <f t="shared" si="117"/>
        <v/>
      </c>
      <c r="AC283" s="125" t="str">
        <f t="shared" si="118"/>
        <v/>
      </c>
      <c r="AD283" s="125" t="str">
        <f t="shared" si="102"/>
        <v/>
      </c>
      <c r="AE283" s="125" t="str">
        <f t="shared" si="126"/>
        <v/>
      </c>
      <c r="AF283" s="125" t="str">
        <f t="shared" si="127"/>
        <v>COMMENT ON COLUMN TB_NTT_REPLY.PARNTS_REPLY_SN IS '부모 댓글 일련번호' ;</v>
      </c>
      <c r="AG283" s="125" t="str">
        <f t="shared" si="103"/>
        <v>ALTER TABLE TB_NTT_REPLY ALTER COLUMN PARNTS_REPLY_SN TYPE INTEGER;</v>
      </c>
      <c r="AH283" s="131" t="str">
        <f t="shared" si="124"/>
        <v>ALTER TABLE TB_NTT_REPLY ADD COLUMN PARNTS_REPLY_SN INTEGER;</v>
      </c>
      <c r="AI283" s="125" t="str">
        <f t="shared" si="104"/>
        <v>ALTER TABLE TB_NTT_REPLY DROP COLUMN PARNTS_REPLY_SN;</v>
      </c>
    </row>
    <row r="284" spans="2:35" ht="20.100000000000001" customHeight="1">
      <c r="B284" s="55">
        <v>276</v>
      </c>
      <c r="C284" s="26" t="s">
        <v>7</v>
      </c>
      <c r="D284" s="26" t="s">
        <v>16</v>
      </c>
      <c r="E284" s="10" t="s">
        <v>717</v>
      </c>
      <c r="F284" s="10" t="s">
        <v>281</v>
      </c>
      <c r="G284" s="87">
        <v>5</v>
      </c>
      <c r="H284" s="104" t="s">
        <v>720</v>
      </c>
      <c r="I284" s="104" t="s">
        <v>326</v>
      </c>
      <c r="J284" s="73" t="s">
        <v>72</v>
      </c>
      <c r="K284" s="85"/>
      <c r="L284" s="85"/>
      <c r="M284" s="85"/>
      <c r="N284" s="85"/>
      <c r="O284" s="85"/>
      <c r="P284" s="85"/>
      <c r="Q284" s="104" t="s">
        <v>229</v>
      </c>
      <c r="R284" s="47"/>
      <c r="S284" s="85"/>
      <c r="T284" s="104" t="s">
        <v>337</v>
      </c>
      <c r="U284" s="125"/>
      <c r="V284" s="125"/>
      <c r="W284" s="104"/>
      <c r="X284" s="85"/>
      <c r="Y284" s="123"/>
      <c r="Z284" s="130" t="str">
        <f t="shared" si="125"/>
        <v>/* 테이블 : 게시물댓글 */ CREATE TABLE TB_NTT_REPLY (</v>
      </c>
      <c r="AA284" s="125" t="str">
        <f t="shared" si="119"/>
        <v>NTT_REPLY_SEQ INTEGER NOT NULL,</v>
      </c>
      <c r="AB284" s="125" t="str">
        <f t="shared" si="117"/>
        <v/>
      </c>
      <c r="AC284" s="125" t="str">
        <f t="shared" si="118"/>
        <v/>
      </c>
      <c r="AD284" s="125" t="str">
        <f t="shared" si="102"/>
        <v/>
      </c>
      <c r="AE284" s="125" t="str">
        <f t="shared" si="126"/>
        <v/>
      </c>
      <c r="AF284" s="125" t="str">
        <f t="shared" si="127"/>
        <v>COMMENT ON COLUMN TB_NTT_REPLY.NTT_REPLY_SEQ IS '게시물 댓글 순번' ;</v>
      </c>
      <c r="AG284" s="125" t="str">
        <f t="shared" si="103"/>
        <v>ALTER TABLE TB_NTT_REPLY ALTER COLUMN NTT_REPLY_SEQ TYPE INTEGER;</v>
      </c>
      <c r="AH284" s="131" t="str">
        <f t="shared" si="124"/>
        <v>ALTER TABLE TB_NTT_REPLY ADD COLUMN NTT_REPLY_SEQ INTEGER NOT NULL;</v>
      </c>
      <c r="AI284" s="125" t="str">
        <f t="shared" si="104"/>
        <v>ALTER TABLE TB_NTT_REPLY DROP COLUMN NTT_REPLY_SEQ;</v>
      </c>
    </row>
    <row r="285" spans="2:35" ht="20.100000000000001" customHeight="1">
      <c r="B285" s="135">
        <v>277</v>
      </c>
      <c r="C285" s="26" t="s">
        <v>7</v>
      </c>
      <c r="D285" s="26" t="s">
        <v>16</v>
      </c>
      <c r="E285" s="10" t="s">
        <v>717</v>
      </c>
      <c r="F285" s="10" t="s">
        <v>281</v>
      </c>
      <c r="G285" s="87">
        <v>6</v>
      </c>
      <c r="H285" s="104" t="s">
        <v>721</v>
      </c>
      <c r="I285" s="104" t="s">
        <v>327</v>
      </c>
      <c r="J285" s="73"/>
      <c r="K285" s="85"/>
      <c r="L285" s="85"/>
      <c r="M285" s="85"/>
      <c r="N285" s="85"/>
      <c r="O285" s="85"/>
      <c r="P285" s="85"/>
      <c r="Q285" s="104" t="s">
        <v>314</v>
      </c>
      <c r="R285" s="119" t="s">
        <v>530</v>
      </c>
      <c r="S285" s="85"/>
      <c r="T285" s="104" t="s">
        <v>338</v>
      </c>
      <c r="U285" s="123"/>
      <c r="V285" s="123"/>
      <c r="W285" s="104"/>
      <c r="X285" s="85"/>
      <c r="Y285" s="123"/>
      <c r="Z285" s="130" t="str">
        <f t="shared" si="125"/>
        <v>/* 테이블 : 게시물댓글 */ CREATE TABLE TB_NTT_REPLY (</v>
      </c>
      <c r="AA285" s="125" t="str">
        <f t="shared" si="119"/>
        <v>NTT_REPLY_CN VARCHAR(2000),</v>
      </c>
      <c r="AB285" s="125" t="str">
        <f t="shared" si="117"/>
        <v/>
      </c>
      <c r="AC285" s="125" t="str">
        <f t="shared" si="118"/>
        <v/>
      </c>
      <c r="AD285" s="125" t="str">
        <f t="shared" si="102"/>
        <v/>
      </c>
      <c r="AE285" s="125" t="str">
        <f t="shared" si="126"/>
        <v/>
      </c>
      <c r="AF285" s="125" t="str">
        <f t="shared" si="127"/>
        <v>COMMENT ON COLUMN TB_NTT_REPLY.NTT_REPLY_CN IS '게시물 댓글 내용' ;</v>
      </c>
      <c r="AG285" s="125" t="str">
        <f t="shared" si="103"/>
        <v>ALTER TABLE TB_NTT_REPLY ALTER COLUMN NTT_REPLY_CN TYPE VARCHAR(2000);</v>
      </c>
      <c r="AH285" s="131" t="str">
        <f t="shared" si="124"/>
        <v>ALTER TABLE TB_NTT_REPLY ADD COLUMN NTT_REPLY_CN VARCHAR(2000);</v>
      </c>
      <c r="AI285" s="125" t="str">
        <f t="shared" si="104"/>
        <v>ALTER TABLE TB_NTT_REPLY DROP COLUMN NTT_REPLY_CN;</v>
      </c>
    </row>
    <row r="286" spans="2:35" ht="20.100000000000001" customHeight="1">
      <c r="B286" s="55">
        <v>278</v>
      </c>
      <c r="C286" s="26" t="s">
        <v>7</v>
      </c>
      <c r="D286" s="26" t="s">
        <v>16</v>
      </c>
      <c r="E286" s="10" t="s">
        <v>717</v>
      </c>
      <c r="F286" s="10" t="s">
        <v>281</v>
      </c>
      <c r="G286" s="87">
        <v>7</v>
      </c>
      <c r="H286" s="104" t="s">
        <v>328</v>
      </c>
      <c r="I286" s="104" t="s">
        <v>329</v>
      </c>
      <c r="J286" s="73" t="s">
        <v>72</v>
      </c>
      <c r="K286" s="85"/>
      <c r="L286" s="85"/>
      <c r="M286" s="85"/>
      <c r="N286" s="85"/>
      <c r="O286" s="85"/>
      <c r="P286" s="85"/>
      <c r="Q286" s="51" t="s">
        <v>800</v>
      </c>
      <c r="R286" s="119" t="s">
        <v>522</v>
      </c>
      <c r="S286" s="85"/>
      <c r="T286" s="104" t="s">
        <v>341</v>
      </c>
      <c r="U286" s="123"/>
      <c r="V286" s="123"/>
      <c r="W286" s="104"/>
      <c r="X286" s="85"/>
      <c r="Y286" s="123"/>
      <c r="Z286" s="130" t="str">
        <f t="shared" si="125"/>
        <v>/* 테이블 : 게시물댓글 */ CREATE TABLE TB_NTT_REPLY (</v>
      </c>
      <c r="AA286" s="125" t="str">
        <f t="shared" si="119"/>
        <v>OPEN_YN BPCHAR(1) NOT NULL,</v>
      </c>
      <c r="AB286" s="125" t="str">
        <f t="shared" si="117"/>
        <v/>
      </c>
      <c r="AC286" s="125" t="str">
        <f t="shared" si="118"/>
        <v/>
      </c>
      <c r="AD286" s="125" t="str">
        <f t="shared" si="102"/>
        <v/>
      </c>
      <c r="AE286" s="125" t="str">
        <f t="shared" si="126"/>
        <v/>
      </c>
      <c r="AF286" s="125" t="str">
        <f t="shared" si="127"/>
        <v>COMMENT ON COLUMN TB_NTT_REPLY.OPEN_YN IS '공개 여부' ;</v>
      </c>
      <c r="AG286" s="125" t="str">
        <f t="shared" si="103"/>
        <v>ALTER TABLE TB_NTT_REPLY ALTER COLUMN OPEN_YN TYPE BPCHAR(1);</v>
      </c>
      <c r="AH286" s="131" t="str">
        <f t="shared" si="124"/>
        <v>ALTER TABLE TB_NTT_REPLY ADD COLUMN OPEN_YN BPCHAR(1) NOT NULL;</v>
      </c>
      <c r="AI286" s="125" t="str">
        <f t="shared" si="104"/>
        <v>ALTER TABLE TB_NTT_REPLY DROP COLUMN OPEN_YN;</v>
      </c>
    </row>
    <row r="287" spans="2:35" ht="20.100000000000001" customHeight="1">
      <c r="B287" s="55">
        <v>279</v>
      </c>
      <c r="C287" s="26" t="s">
        <v>7</v>
      </c>
      <c r="D287" s="26" t="s">
        <v>16</v>
      </c>
      <c r="E287" s="10" t="s">
        <v>717</v>
      </c>
      <c r="F287" s="10" t="s">
        <v>281</v>
      </c>
      <c r="G287" s="87">
        <v>8</v>
      </c>
      <c r="H287" s="97" t="s">
        <v>107</v>
      </c>
      <c r="I287" s="51" t="s">
        <v>76</v>
      </c>
      <c r="J287" s="73" t="s">
        <v>72</v>
      </c>
      <c r="K287" s="67"/>
      <c r="L287" s="67"/>
      <c r="M287" s="77"/>
      <c r="N287" s="77"/>
      <c r="O287" s="77"/>
      <c r="P287" s="77"/>
      <c r="Q287" s="100" t="s">
        <v>521</v>
      </c>
      <c r="R287" s="119" t="s">
        <v>526</v>
      </c>
      <c r="S287" s="80"/>
      <c r="T287" s="107" t="s">
        <v>219</v>
      </c>
      <c r="U287" s="123"/>
      <c r="V287" s="123"/>
      <c r="W287" s="116" t="s">
        <v>496</v>
      </c>
      <c r="X287" s="85"/>
      <c r="Y287" s="123"/>
      <c r="Z287" s="130" t="str">
        <f t="shared" si="125"/>
        <v>/* 테이블 : 게시물댓글 */ CREATE TABLE TB_NTT_REPLY (</v>
      </c>
      <c r="AA287" s="125" t="str">
        <f t="shared" si="119"/>
        <v>REGISTER_ID VARCHAR(50) NOT NULL,</v>
      </c>
      <c r="AB287" s="125" t="str">
        <f t="shared" si="117"/>
        <v/>
      </c>
      <c r="AC287" s="125" t="str">
        <f t="shared" si="118"/>
        <v/>
      </c>
      <c r="AD287" s="125" t="str">
        <f t="shared" si="102"/>
        <v/>
      </c>
      <c r="AE287" s="125" t="str">
        <f t="shared" si="126"/>
        <v/>
      </c>
      <c r="AF287" s="125" t="str">
        <f t="shared" si="127"/>
        <v>COMMENT ON COLUMN TB_NTT_REPLY.REGISTER_ID IS '등록자 ID' ;</v>
      </c>
      <c r="AG287" s="125" t="str">
        <f t="shared" si="103"/>
        <v>ALTER TABLE TB_NTT_REPLY ALTER COLUMN REGISTER_ID TYPE VARCHAR(50);</v>
      </c>
      <c r="AH287" s="131" t="str">
        <f t="shared" si="124"/>
        <v>ALTER TABLE TB_NTT_REPLY ADD COLUMN REGISTER_ID VARCHAR(50) NOT NULL;</v>
      </c>
      <c r="AI287" s="125" t="str">
        <f t="shared" si="104"/>
        <v>ALTER TABLE TB_NTT_REPLY DROP COLUMN REGISTER_ID;</v>
      </c>
    </row>
    <row r="288" spans="2:35" ht="20.100000000000001" customHeight="1">
      <c r="B288" s="55">
        <v>280</v>
      </c>
      <c r="C288" s="26" t="s">
        <v>7</v>
      </c>
      <c r="D288" s="26" t="s">
        <v>16</v>
      </c>
      <c r="E288" s="10" t="s">
        <v>717</v>
      </c>
      <c r="F288" s="10" t="s">
        <v>281</v>
      </c>
      <c r="G288" s="87">
        <v>9</v>
      </c>
      <c r="H288" s="97" t="s">
        <v>91</v>
      </c>
      <c r="I288" s="51" t="s">
        <v>77</v>
      </c>
      <c r="J288" s="73" t="s">
        <v>72</v>
      </c>
      <c r="K288" s="52"/>
      <c r="L288" s="52"/>
      <c r="M288" s="52"/>
      <c r="N288" s="52"/>
      <c r="O288" s="52"/>
      <c r="P288" s="52"/>
      <c r="Q288" s="56" t="s">
        <v>106</v>
      </c>
      <c r="R288" s="119" t="s">
        <v>527</v>
      </c>
      <c r="S288" s="80"/>
      <c r="T288" s="107" t="s">
        <v>218</v>
      </c>
      <c r="U288" s="123"/>
      <c r="V288" s="123"/>
      <c r="W288" s="104"/>
      <c r="X288" s="85"/>
      <c r="Y288" s="123"/>
      <c r="Z288" s="130" t="str">
        <f t="shared" si="125"/>
        <v>/* 테이블 : 게시물댓글 */ CREATE TABLE TB_NTT_REPLY (</v>
      </c>
      <c r="AA288" s="125" t="str">
        <f t="shared" si="119"/>
        <v>REGISTER_IP VARCHAR(100) NOT NULL,</v>
      </c>
      <c r="AB288" s="125" t="str">
        <f t="shared" si="117"/>
        <v/>
      </c>
      <c r="AC288" s="125" t="str">
        <f t="shared" si="118"/>
        <v/>
      </c>
      <c r="AD288" s="125" t="str">
        <f t="shared" si="102"/>
        <v/>
      </c>
      <c r="AE288" s="125" t="str">
        <f t="shared" si="126"/>
        <v/>
      </c>
      <c r="AF288" s="125" t="str">
        <f t="shared" si="127"/>
        <v>COMMENT ON COLUMN TB_NTT_REPLY.REGISTER_IP IS '등록자 IP' ;</v>
      </c>
      <c r="AG288" s="125" t="str">
        <f t="shared" si="103"/>
        <v>ALTER TABLE TB_NTT_REPLY ALTER COLUMN REGISTER_IP TYPE VARCHAR(100);</v>
      </c>
      <c r="AH288" s="131" t="str">
        <f t="shared" si="124"/>
        <v>ALTER TABLE TB_NTT_REPLY ADD COLUMN REGISTER_IP VARCHAR(100) NOT NULL;</v>
      </c>
      <c r="AI288" s="125" t="str">
        <f t="shared" si="104"/>
        <v>ALTER TABLE TB_NTT_REPLY DROP COLUMN REGISTER_IP;</v>
      </c>
    </row>
    <row r="289" spans="2:35" ht="20.100000000000001" customHeight="1">
      <c r="B289" s="135">
        <v>281</v>
      </c>
      <c r="C289" s="26" t="s">
        <v>7</v>
      </c>
      <c r="D289" s="26" t="s">
        <v>16</v>
      </c>
      <c r="E289" s="10" t="s">
        <v>717</v>
      </c>
      <c r="F289" s="10" t="s">
        <v>281</v>
      </c>
      <c r="G289" s="87">
        <v>10</v>
      </c>
      <c r="H289" s="97" t="s">
        <v>92</v>
      </c>
      <c r="I289" s="96" t="s">
        <v>78</v>
      </c>
      <c r="J289" s="73" t="s">
        <v>72</v>
      </c>
      <c r="K289" s="52"/>
      <c r="L289" s="52"/>
      <c r="M289" s="52"/>
      <c r="N289" s="52"/>
      <c r="O289" s="52"/>
      <c r="P289" s="52"/>
      <c r="Q289" s="51" t="s">
        <v>702</v>
      </c>
      <c r="R289" s="119"/>
      <c r="S289" s="80"/>
      <c r="T289" s="107" t="s">
        <v>217</v>
      </c>
      <c r="U289" s="123"/>
      <c r="V289" s="123"/>
      <c r="W289" s="104"/>
      <c r="X289" s="85"/>
      <c r="Y289" s="123"/>
      <c r="Z289" s="130" t="str">
        <f t="shared" si="125"/>
        <v>/* 테이블 : 게시물댓글 */ CREATE TABLE TB_NTT_REPLY (</v>
      </c>
      <c r="AA289" s="125" t="str">
        <f t="shared" si="119"/>
        <v>REG_DT TIMESTAMP NOT NULL,</v>
      </c>
      <c r="AB289" s="125" t="str">
        <f t="shared" si="117"/>
        <v/>
      </c>
      <c r="AC289" s="125" t="str">
        <f t="shared" si="118"/>
        <v/>
      </c>
      <c r="AD289" s="125" t="str">
        <f t="shared" si="102"/>
        <v/>
      </c>
      <c r="AE289" s="125" t="str">
        <f t="shared" si="126"/>
        <v/>
      </c>
      <c r="AF289" s="125" t="str">
        <f t="shared" si="127"/>
        <v>COMMENT ON COLUMN TB_NTT_REPLY.REG_DT IS '등록 일시' ;</v>
      </c>
      <c r="AG289" s="125" t="str">
        <f t="shared" si="103"/>
        <v>ALTER TABLE TB_NTT_REPLY ALTER COLUMN REG_DT TYPE TIMESTAMP;</v>
      </c>
      <c r="AH289" s="131" t="str">
        <f t="shared" si="124"/>
        <v>ALTER TABLE TB_NTT_REPLY ADD COLUMN REG_DT TIMESTAMP NOT NULL;</v>
      </c>
      <c r="AI289" s="125" t="str">
        <f t="shared" si="104"/>
        <v>ALTER TABLE TB_NTT_REPLY DROP COLUMN REG_DT;</v>
      </c>
    </row>
    <row r="290" spans="2:35" ht="20.100000000000001" customHeight="1">
      <c r="B290" s="55">
        <v>282</v>
      </c>
      <c r="C290" s="26" t="s">
        <v>7</v>
      </c>
      <c r="D290" s="26" t="s">
        <v>16</v>
      </c>
      <c r="E290" s="10" t="s">
        <v>717</v>
      </c>
      <c r="F290" s="10" t="s">
        <v>281</v>
      </c>
      <c r="G290" s="87">
        <v>11</v>
      </c>
      <c r="H290" s="97" t="s">
        <v>93</v>
      </c>
      <c r="I290" s="96" t="s">
        <v>80</v>
      </c>
      <c r="J290" s="52"/>
      <c r="K290" s="52"/>
      <c r="L290" s="52"/>
      <c r="M290" s="79"/>
      <c r="N290" s="79"/>
      <c r="O290" s="79"/>
      <c r="P290" s="79"/>
      <c r="Q290" s="100" t="s">
        <v>521</v>
      </c>
      <c r="R290" s="119" t="s">
        <v>526</v>
      </c>
      <c r="S290" s="80"/>
      <c r="T290" s="107" t="s">
        <v>216</v>
      </c>
      <c r="U290" s="123"/>
      <c r="V290" s="123"/>
      <c r="W290" s="116" t="s">
        <v>496</v>
      </c>
      <c r="X290" s="85"/>
      <c r="Y290" s="123"/>
      <c r="Z290" s="130" t="str">
        <f t="shared" si="125"/>
        <v>/* 테이블 : 게시물댓글 */ CREATE TABLE TB_NTT_REPLY (</v>
      </c>
      <c r="AA290" s="125" t="str">
        <f t="shared" si="119"/>
        <v>UPDUSR_ID VARCHAR(50),</v>
      </c>
      <c r="AB290" s="125" t="str">
        <f t="shared" si="117"/>
        <v/>
      </c>
      <c r="AC290" s="125" t="str">
        <f t="shared" si="118"/>
        <v/>
      </c>
      <c r="AD290" s="125" t="str">
        <f t="shared" si="102"/>
        <v/>
      </c>
      <c r="AE290" s="125" t="str">
        <f t="shared" si="126"/>
        <v/>
      </c>
      <c r="AF290" s="125" t="str">
        <f t="shared" si="127"/>
        <v>COMMENT ON COLUMN TB_NTT_REPLY.UPDUSR_ID IS '수정자 ID' ;</v>
      </c>
      <c r="AG290" s="125" t="str">
        <f t="shared" si="103"/>
        <v>ALTER TABLE TB_NTT_REPLY ALTER COLUMN UPDUSR_ID TYPE VARCHAR(50);</v>
      </c>
      <c r="AH290" s="131" t="str">
        <f t="shared" si="124"/>
        <v>ALTER TABLE TB_NTT_REPLY ADD COLUMN UPDUSR_ID VARCHAR(50);</v>
      </c>
      <c r="AI290" s="125" t="str">
        <f t="shared" si="104"/>
        <v>ALTER TABLE TB_NTT_REPLY DROP COLUMN UPDUSR_ID;</v>
      </c>
    </row>
    <row r="291" spans="2:35" ht="20.100000000000001" customHeight="1">
      <c r="B291" s="55">
        <v>283</v>
      </c>
      <c r="C291" s="26" t="s">
        <v>7</v>
      </c>
      <c r="D291" s="26" t="s">
        <v>16</v>
      </c>
      <c r="E291" s="10" t="s">
        <v>717</v>
      </c>
      <c r="F291" s="10" t="s">
        <v>281</v>
      </c>
      <c r="G291" s="87">
        <v>12</v>
      </c>
      <c r="H291" s="97" t="s">
        <v>94</v>
      </c>
      <c r="I291" s="96" t="s">
        <v>79</v>
      </c>
      <c r="J291" s="52"/>
      <c r="K291" s="52"/>
      <c r="L291" s="52"/>
      <c r="M291" s="52"/>
      <c r="N291" s="52"/>
      <c r="O291" s="52"/>
      <c r="P291" s="52"/>
      <c r="Q291" s="56" t="s">
        <v>106</v>
      </c>
      <c r="R291" s="119" t="s">
        <v>527</v>
      </c>
      <c r="S291" s="80"/>
      <c r="T291" s="107" t="s">
        <v>215</v>
      </c>
      <c r="U291" s="123"/>
      <c r="V291" s="123"/>
      <c r="W291" s="104"/>
      <c r="X291" s="85"/>
      <c r="Y291" s="123"/>
      <c r="Z291" s="130" t="str">
        <f t="shared" si="125"/>
        <v>/* 테이블 : 게시물댓글 */ CREATE TABLE TB_NTT_REPLY (</v>
      </c>
      <c r="AA291" s="125" t="str">
        <f t="shared" si="119"/>
        <v>UPDUSR_IP VARCHAR(100),</v>
      </c>
      <c r="AB291" s="125" t="str">
        <f t="shared" si="117"/>
        <v/>
      </c>
      <c r="AC291" s="125" t="str">
        <f t="shared" si="118"/>
        <v/>
      </c>
      <c r="AD291" s="125" t="str">
        <f t="shared" si="102"/>
        <v/>
      </c>
      <c r="AE291" s="125" t="str">
        <f t="shared" si="126"/>
        <v/>
      </c>
      <c r="AF291" s="125" t="str">
        <f t="shared" si="127"/>
        <v>COMMENT ON COLUMN TB_NTT_REPLY.UPDUSR_IP IS '수정자 IP' ;</v>
      </c>
      <c r="AG291" s="125" t="str">
        <f t="shared" si="103"/>
        <v>ALTER TABLE TB_NTT_REPLY ALTER COLUMN UPDUSR_IP TYPE VARCHAR(100);</v>
      </c>
      <c r="AH291" s="131" t="str">
        <f t="shared" si="124"/>
        <v>ALTER TABLE TB_NTT_REPLY ADD COLUMN UPDUSR_IP VARCHAR(100);</v>
      </c>
      <c r="AI291" s="125" t="str">
        <f t="shared" si="104"/>
        <v>ALTER TABLE TB_NTT_REPLY DROP COLUMN UPDUSR_IP;</v>
      </c>
    </row>
    <row r="292" spans="2:35" ht="20.100000000000001" customHeight="1">
      <c r="B292" s="55">
        <v>284</v>
      </c>
      <c r="C292" s="26" t="s">
        <v>7</v>
      </c>
      <c r="D292" s="26" t="s">
        <v>16</v>
      </c>
      <c r="E292" s="10" t="s">
        <v>717</v>
      </c>
      <c r="F292" s="10" t="s">
        <v>281</v>
      </c>
      <c r="G292" s="87">
        <v>13</v>
      </c>
      <c r="H292" s="98" t="s">
        <v>95</v>
      </c>
      <c r="I292" s="97" t="s">
        <v>81</v>
      </c>
      <c r="J292" s="61"/>
      <c r="K292" s="61"/>
      <c r="L292" s="61"/>
      <c r="M292" s="61"/>
      <c r="N292" s="61"/>
      <c r="O292" s="61"/>
      <c r="P292" s="61"/>
      <c r="Q292" s="51" t="s">
        <v>702</v>
      </c>
      <c r="R292" s="119"/>
      <c r="S292" s="77"/>
      <c r="T292" s="107" t="s">
        <v>214</v>
      </c>
      <c r="U292" s="123"/>
      <c r="V292" s="123"/>
      <c r="W292" s="104"/>
      <c r="X292" s="85"/>
      <c r="Y292" s="123"/>
      <c r="Z292" s="130" t="str">
        <f t="shared" si="125"/>
        <v>/* 테이블 : 게시물댓글 */ CREATE TABLE TB_NTT_REPLY (</v>
      </c>
      <c r="AA292" s="125" t="str">
        <f t="shared" si="119"/>
        <v>UPDT_DT TIMESTAMP,</v>
      </c>
      <c r="AB292" s="125" t="str">
        <f t="shared" si="117"/>
        <v/>
      </c>
      <c r="AC292" s="125" t="str">
        <f t="shared" si="118"/>
        <v/>
      </c>
      <c r="AD292" s="125" t="str">
        <f t="shared" si="102"/>
        <v/>
      </c>
      <c r="AE292" s="125" t="str">
        <f t="shared" si="126"/>
        <v/>
      </c>
      <c r="AF292" s="125" t="str">
        <f t="shared" si="127"/>
        <v>COMMENT ON COLUMN TB_NTT_REPLY.UPDT_DT IS '수정 일시' ;</v>
      </c>
      <c r="AG292" s="125" t="str">
        <f t="shared" si="103"/>
        <v>ALTER TABLE TB_NTT_REPLY ALTER COLUMN UPDT_DT TYPE TIMESTAMP;</v>
      </c>
      <c r="AH292" s="131" t="str">
        <f t="shared" si="124"/>
        <v>ALTER TABLE TB_NTT_REPLY ADD COLUMN UPDT_DT TIMESTAMP;</v>
      </c>
      <c r="AI292" s="125" t="str">
        <f t="shared" si="104"/>
        <v>ALTER TABLE TB_NTT_REPLY DROP COLUMN UPDT_DT;</v>
      </c>
    </row>
    <row r="293" spans="2:35" ht="20.100000000000001" customHeight="1">
      <c r="B293" s="135">
        <v>285</v>
      </c>
      <c r="C293" s="26" t="s">
        <v>7</v>
      </c>
      <c r="D293" s="26" t="s">
        <v>16</v>
      </c>
      <c r="E293" s="10" t="s">
        <v>717</v>
      </c>
      <c r="F293" s="10" t="s">
        <v>281</v>
      </c>
      <c r="G293" s="87">
        <v>14</v>
      </c>
      <c r="H293" s="97" t="s">
        <v>96</v>
      </c>
      <c r="I293" s="97" t="s">
        <v>82</v>
      </c>
      <c r="J293" s="73" t="s">
        <v>72</v>
      </c>
      <c r="K293" s="61"/>
      <c r="L293" s="61"/>
      <c r="M293" s="61"/>
      <c r="N293" s="61"/>
      <c r="O293" s="61"/>
      <c r="P293" s="61"/>
      <c r="Q293" s="51" t="s">
        <v>800</v>
      </c>
      <c r="R293" s="119" t="s">
        <v>522</v>
      </c>
      <c r="S293" s="82" t="s">
        <v>799</v>
      </c>
      <c r="T293" s="107" t="s">
        <v>213</v>
      </c>
      <c r="U293" s="123"/>
      <c r="V293" s="123"/>
      <c r="W293" s="104"/>
      <c r="X293" s="85"/>
      <c r="Y293" s="123"/>
      <c r="Z293" s="130" t="str">
        <f t="shared" si="125"/>
        <v>/* 테이블 : 게시물댓글 */ CREATE TABLE TB_NTT_REPLY (</v>
      </c>
      <c r="AA293" s="125" t="str">
        <f t="shared" si="119"/>
        <v>DEL_YN BPCHAR(1) NOT NULL,</v>
      </c>
      <c r="AB293" s="125" t="str">
        <f t="shared" si="117"/>
        <v/>
      </c>
      <c r="AC293" s="125" t="str">
        <f t="shared" si="118"/>
        <v/>
      </c>
      <c r="AD293" s="125" t="str">
        <f t="shared" si="102"/>
        <v/>
      </c>
      <c r="AE293" s="125" t="str">
        <f t="shared" si="126"/>
        <v>ALTER TABLE TB_NTT_REPLY ALTER COLUMN DEL_YN SET DEFAULT 'N'::bpchar;</v>
      </c>
      <c r="AF293" s="125" t="str">
        <f t="shared" si="127"/>
        <v>COMMENT ON COLUMN TB_NTT_REPLY.DEL_YN IS '삭제 여부' ;</v>
      </c>
      <c r="AG293" s="125" t="str">
        <f t="shared" si="103"/>
        <v>ALTER TABLE TB_NTT_REPLY ALTER COLUMN DEL_YN TYPE BPCHAR(1);</v>
      </c>
      <c r="AH293" s="131" t="str">
        <f t="shared" si="124"/>
        <v>ALTER TABLE TB_NTT_REPLY ADD COLUMN DEL_YN BPCHAR(1) NOT NULL DEFAULT 'N'::bpchar;</v>
      </c>
      <c r="AI293" s="125" t="str">
        <f t="shared" si="104"/>
        <v>ALTER TABLE TB_NTT_REPLY DROP COLUMN DEL_YN;</v>
      </c>
    </row>
    <row r="294" spans="2:35" ht="20.100000000000001" customHeight="1">
      <c r="B294" s="55">
        <v>286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1</v>
      </c>
      <c r="H294" s="104" t="s">
        <v>343</v>
      </c>
      <c r="I294" s="104" t="s">
        <v>344</v>
      </c>
      <c r="J294" s="85" t="s">
        <v>350</v>
      </c>
      <c r="K294" s="85">
        <v>1</v>
      </c>
      <c r="L294" s="85"/>
      <c r="M294" s="85"/>
      <c r="N294" s="85"/>
      <c r="O294" s="85"/>
      <c r="P294" s="85"/>
      <c r="Q294" s="104" t="s">
        <v>351</v>
      </c>
      <c r="R294" s="87"/>
      <c r="S294" s="85"/>
      <c r="T294" s="104" t="s">
        <v>359</v>
      </c>
      <c r="U294" s="125" t="str">
        <f>"SEQ_"&amp;E294&amp;"_SN"</f>
        <v>SEQ_TB_POPUP_SN</v>
      </c>
      <c r="V294" s="125"/>
      <c r="W294" s="104"/>
      <c r="X294" s="85"/>
      <c r="Y294" s="123"/>
      <c r="Z294" s="130" t="str">
        <f t="shared" si="125"/>
        <v>/* 테이블 : 팝업 */ CREATE TABLE TB_POPUP (</v>
      </c>
      <c r="AA294" s="125" t="str">
        <f t="shared" si="119"/>
        <v>POPUP_SN INTEGER PRIMARY KEY,</v>
      </c>
      <c r="AB294" s="125" t="str">
        <f t="shared" si="117"/>
        <v/>
      </c>
      <c r="AC294" s="125" t="str">
        <f t="shared" si="118"/>
        <v>CREATE SEQUENCE SEQ_TB_POPUP_SN START 100000;</v>
      </c>
      <c r="AD294" s="125" t="str">
        <f t="shared" si="102"/>
        <v>ALTER TABLE TB_POPUP ALTER COLUMN POPUP_SN SET DEFAULT NEXTVAL('SEQ_TB_POPUP_SN');</v>
      </c>
      <c r="AE294" s="125" t="str">
        <f t="shared" si="126"/>
        <v/>
      </c>
      <c r="AF294" s="125" t="str">
        <f t="shared" si="127"/>
        <v>COMMENT ON COLUMN TB_POPUP.POPUP_SN IS '팝업 일련번호' ;</v>
      </c>
      <c r="AG294" s="125" t="str">
        <f t="shared" si="103"/>
        <v>ALTER TABLE TB_POPUP ALTER COLUMN POPUP_SN TYPE INTEGER;</v>
      </c>
      <c r="AH294" s="131" t="str">
        <f t="shared" si="124"/>
        <v>ALTER TABLE TB_POPUP ADD COLUMN POPUP_SN INTEGER NOT NULL;</v>
      </c>
      <c r="AI294" s="125" t="str">
        <f t="shared" si="104"/>
        <v>ALTER TABLE TB_POPUP DROP COLUMN POPUP_SN;</v>
      </c>
    </row>
    <row r="295" spans="2:35" ht="20.100000000000001" customHeight="1">
      <c r="B295" s="55">
        <v>287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2</v>
      </c>
      <c r="H295" s="104" t="s">
        <v>354</v>
      </c>
      <c r="I295" s="104" t="s">
        <v>345</v>
      </c>
      <c r="J295" s="85"/>
      <c r="K295" s="85"/>
      <c r="L295" s="85"/>
      <c r="M295" s="85"/>
      <c r="N295" s="85"/>
      <c r="O295" s="85"/>
      <c r="P295" s="85"/>
      <c r="Q295" s="104" t="s">
        <v>352</v>
      </c>
      <c r="R295" s="119" t="s">
        <v>528</v>
      </c>
      <c r="S295" s="85"/>
      <c r="T295" s="104" t="s">
        <v>360</v>
      </c>
      <c r="U295" s="123"/>
      <c r="V295" s="123"/>
      <c r="W295" s="104"/>
      <c r="X295" s="85"/>
      <c r="Y295" s="123"/>
      <c r="Z295" s="130" t="str">
        <f t="shared" si="125"/>
        <v>/* 테이블 : 팝업 */ CREATE TABLE TB_POPUP (</v>
      </c>
      <c r="AA295" s="125" t="str">
        <f t="shared" si="119"/>
        <v>POPUP_SJ VARCHAR(255),</v>
      </c>
      <c r="AB295" s="125" t="str">
        <f t="shared" si="117"/>
        <v/>
      </c>
      <c r="AC295" s="125" t="str">
        <f t="shared" si="118"/>
        <v/>
      </c>
      <c r="AD295" s="125" t="str">
        <f t="shared" si="102"/>
        <v/>
      </c>
      <c r="AE295" s="125" t="str">
        <f t="shared" si="126"/>
        <v/>
      </c>
      <c r="AF295" s="125" t="str">
        <f t="shared" si="127"/>
        <v>COMMENT ON COLUMN TB_POPUP.POPUP_SJ IS '팝업 제목' ;</v>
      </c>
      <c r="AG295" s="125" t="str">
        <f t="shared" si="103"/>
        <v>ALTER TABLE TB_POPUP ALTER COLUMN POPUP_SJ TYPE VARCHAR(255);</v>
      </c>
      <c r="AH295" s="131" t="str">
        <f t="shared" si="124"/>
        <v>ALTER TABLE TB_POPUP ADD COLUMN POPUP_SJ VARCHAR(255);</v>
      </c>
      <c r="AI295" s="125" t="str">
        <f t="shared" si="104"/>
        <v>ALTER TABLE TB_POPUP DROP COLUMN POPUP_SJ;</v>
      </c>
    </row>
    <row r="296" spans="2:35" ht="20.100000000000001" customHeight="1">
      <c r="B296" s="55">
        <v>288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3</v>
      </c>
      <c r="H296" s="104" t="s">
        <v>355</v>
      </c>
      <c r="I296" s="104" t="s">
        <v>346</v>
      </c>
      <c r="J296" s="85"/>
      <c r="K296" s="85"/>
      <c r="L296" s="85"/>
      <c r="M296" s="85"/>
      <c r="N296" s="85"/>
      <c r="O296" s="85"/>
      <c r="P296" s="85"/>
      <c r="Q296" s="104" t="s">
        <v>352</v>
      </c>
      <c r="R296" s="119" t="s">
        <v>530</v>
      </c>
      <c r="S296" s="85"/>
      <c r="T296" s="104" t="s">
        <v>361</v>
      </c>
      <c r="U296" s="123"/>
      <c r="V296" s="123"/>
      <c r="W296" s="104"/>
      <c r="X296" s="85"/>
      <c r="Y296" s="123"/>
      <c r="Z296" s="130" t="str">
        <f t="shared" si="125"/>
        <v>/* 테이블 : 팝업 */ CREATE TABLE TB_POPUP (</v>
      </c>
      <c r="AA296" s="125" t="str">
        <f t="shared" si="119"/>
        <v>POPUP_CN VARCHAR(2000),</v>
      </c>
      <c r="AB296" s="125" t="str">
        <f t="shared" si="117"/>
        <v/>
      </c>
      <c r="AC296" s="125" t="str">
        <f t="shared" si="118"/>
        <v/>
      </c>
      <c r="AD296" s="125" t="str">
        <f t="shared" si="102"/>
        <v/>
      </c>
      <c r="AE296" s="125" t="str">
        <f t="shared" si="126"/>
        <v/>
      </c>
      <c r="AF296" s="125" t="str">
        <f t="shared" si="127"/>
        <v>COMMENT ON COLUMN TB_POPUP.POPUP_CN IS '팝업 내용' ;</v>
      </c>
      <c r="AG296" s="125" t="str">
        <f t="shared" si="103"/>
        <v>ALTER TABLE TB_POPUP ALTER COLUMN POPUP_CN TYPE VARCHAR(2000);</v>
      </c>
      <c r="AH296" s="131" t="str">
        <f t="shared" si="124"/>
        <v>ALTER TABLE TB_POPUP ADD COLUMN POPUP_CN VARCHAR(2000);</v>
      </c>
      <c r="AI296" s="125" t="str">
        <f t="shared" si="104"/>
        <v>ALTER TABLE TB_POPUP DROP COLUMN POPUP_CN;</v>
      </c>
    </row>
    <row r="297" spans="2:35" ht="20.100000000000001" customHeight="1">
      <c r="B297" s="135">
        <v>289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4</v>
      </c>
      <c r="H297" s="104" t="s">
        <v>409</v>
      </c>
      <c r="I297" s="104" t="s">
        <v>410</v>
      </c>
      <c r="J297" s="85" t="s">
        <v>350</v>
      </c>
      <c r="K297" s="85"/>
      <c r="L297" s="85"/>
      <c r="M297" s="85"/>
      <c r="N297" s="85"/>
      <c r="O297" s="85"/>
      <c r="P297" s="85"/>
      <c r="Q297" s="51" t="s">
        <v>800</v>
      </c>
      <c r="R297" s="119" t="s">
        <v>522</v>
      </c>
      <c r="S297" s="85"/>
      <c r="T297" s="104" t="s">
        <v>411</v>
      </c>
      <c r="U297" s="123"/>
      <c r="V297" s="123"/>
      <c r="W297" s="104"/>
      <c r="X297" s="85"/>
      <c r="Y297" s="123"/>
      <c r="Z297" s="130" t="str">
        <f t="shared" si="125"/>
        <v>/* 테이블 : 팝업 */ CREATE TABLE TB_POPUP (</v>
      </c>
      <c r="AA297" s="125" t="str">
        <f t="shared" si="119"/>
        <v>USE_YN BPCHAR(1) NOT NULL,</v>
      </c>
      <c r="AB297" s="125" t="str">
        <f t="shared" si="117"/>
        <v/>
      </c>
      <c r="AC297" s="125" t="str">
        <f t="shared" si="118"/>
        <v/>
      </c>
      <c r="AD297" s="125" t="str">
        <f t="shared" si="102"/>
        <v/>
      </c>
      <c r="AE297" s="125" t="str">
        <f t="shared" si="126"/>
        <v/>
      </c>
      <c r="AF297" s="125" t="str">
        <f t="shared" si="127"/>
        <v>COMMENT ON COLUMN TB_POPUP.USE_YN IS '사용 여부' ;</v>
      </c>
      <c r="AG297" s="125" t="str">
        <f t="shared" si="103"/>
        <v>ALTER TABLE TB_POPUP ALTER COLUMN USE_YN TYPE BPCHAR(1);</v>
      </c>
      <c r="AH297" s="131" t="str">
        <f t="shared" si="124"/>
        <v>ALTER TABLE TB_POPUP ADD COLUMN USE_YN BPCHAR(1) NOT NULL;</v>
      </c>
      <c r="AI297" s="125" t="str">
        <f t="shared" si="104"/>
        <v>ALTER TABLE TB_POPUP DROP COLUMN USE_YN;</v>
      </c>
    </row>
    <row r="298" spans="2:35" ht="20.100000000000001" customHeight="1">
      <c r="B298" s="55">
        <v>290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5</v>
      </c>
      <c r="H298" s="102" t="s">
        <v>356</v>
      </c>
      <c r="I298" s="104" t="s">
        <v>347</v>
      </c>
      <c r="J298" s="85" t="s">
        <v>350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749</v>
      </c>
      <c r="S298" s="85"/>
      <c r="T298" s="104" t="s">
        <v>362</v>
      </c>
      <c r="U298" s="123"/>
      <c r="V298" s="123"/>
      <c r="W298" s="104"/>
      <c r="X298" s="85"/>
      <c r="Y298" s="123"/>
      <c r="Z298" s="130" t="str">
        <f t="shared" si="125"/>
        <v>/* 테이블 : 팝업 */ CREATE TABLE TB_POPUP (</v>
      </c>
      <c r="AA298" s="125" t="str">
        <f t="shared" si="119"/>
        <v>POPUP_BEGIN_DT VARCHAR(16) NOT NULL,</v>
      </c>
      <c r="AB298" s="125" t="str">
        <f t="shared" si="117"/>
        <v/>
      </c>
      <c r="AC298" s="125" t="str">
        <f t="shared" si="118"/>
        <v/>
      </c>
      <c r="AD298" s="125" t="str">
        <f t="shared" si="102"/>
        <v/>
      </c>
      <c r="AE298" s="125" t="str">
        <f t="shared" si="126"/>
        <v/>
      </c>
      <c r="AF298" s="125" t="str">
        <f t="shared" si="127"/>
        <v>COMMENT ON COLUMN TB_POPUP.POPUP_BEGIN_DT IS '팝업 시작 일시' ;</v>
      </c>
      <c r="AG298" s="125" t="str">
        <f t="shared" si="103"/>
        <v>ALTER TABLE TB_POPUP ALTER COLUMN POPUP_BEGIN_DT TYPE VARCHAR(16);</v>
      </c>
      <c r="AH298" s="131" t="str">
        <f t="shared" si="124"/>
        <v>ALTER TABLE TB_POPUP ADD COLUMN POPUP_BEGIN_DT VARCHAR(16) NOT NULL;</v>
      </c>
      <c r="AI298" s="125" t="str">
        <f t="shared" si="104"/>
        <v>ALTER TABLE TB_POPUP DROP COLUMN POPUP_BEGIN_DT;</v>
      </c>
    </row>
    <row r="299" spans="2:35" ht="20.100000000000001" customHeight="1">
      <c r="B299" s="55">
        <v>291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6</v>
      </c>
      <c r="H299" s="101" t="s">
        <v>357</v>
      </c>
      <c r="I299" s="104" t="s">
        <v>348</v>
      </c>
      <c r="J299" s="85" t="s">
        <v>350</v>
      </c>
      <c r="K299" s="85"/>
      <c r="L299" s="85"/>
      <c r="M299" s="85"/>
      <c r="N299" s="85"/>
      <c r="O299" s="85"/>
      <c r="P299" s="85"/>
      <c r="Q299" s="51" t="s">
        <v>106</v>
      </c>
      <c r="R299" s="120" t="s">
        <v>749</v>
      </c>
      <c r="S299" s="85"/>
      <c r="T299" s="104" t="s">
        <v>363</v>
      </c>
      <c r="U299" s="123"/>
      <c r="V299" s="123"/>
      <c r="W299" s="104"/>
      <c r="X299" s="85"/>
      <c r="Y299" s="123"/>
      <c r="Z299" s="130" t="str">
        <f t="shared" si="125"/>
        <v>/* 테이블 : 팝업 */ CREATE TABLE TB_POPUP (</v>
      </c>
      <c r="AA299" s="125" t="str">
        <f t="shared" si="119"/>
        <v>POPUP_END_DT VARCHAR(16) NOT NULL,</v>
      </c>
      <c r="AB299" s="125" t="str">
        <f t="shared" si="117"/>
        <v/>
      </c>
      <c r="AC299" s="125" t="str">
        <f t="shared" si="118"/>
        <v/>
      </c>
      <c r="AD299" s="125" t="str">
        <f t="shared" si="102"/>
        <v/>
      </c>
      <c r="AE299" s="125" t="str">
        <f t="shared" si="126"/>
        <v/>
      </c>
      <c r="AF299" s="125" t="str">
        <f t="shared" si="127"/>
        <v>COMMENT ON COLUMN TB_POPUP.POPUP_END_DT IS '팝업 종료 일시' ;</v>
      </c>
      <c r="AG299" s="125" t="str">
        <f t="shared" si="103"/>
        <v>ALTER TABLE TB_POPUP ALTER COLUMN POPUP_END_DT TYPE VARCHAR(16);</v>
      </c>
      <c r="AH299" s="131" t="str">
        <f t="shared" si="124"/>
        <v>ALTER TABLE TB_POPUP ADD COLUMN POPUP_END_DT VARCHAR(16) NOT NULL;</v>
      </c>
      <c r="AI299" s="125" t="str">
        <f t="shared" si="104"/>
        <v>ALTER TABLE TB_POPUP DROP COLUMN POPUP_END_DT;</v>
      </c>
    </row>
    <row r="300" spans="2:35" ht="20.100000000000001" customHeight="1">
      <c r="B300" s="55">
        <v>292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7</v>
      </c>
      <c r="H300" s="101" t="s">
        <v>365</v>
      </c>
      <c r="I300" s="104" t="s">
        <v>367</v>
      </c>
      <c r="J300" s="85" t="s">
        <v>131</v>
      </c>
      <c r="K300" s="85"/>
      <c r="L300" s="85">
        <v>1</v>
      </c>
      <c r="M300" s="10" t="s">
        <v>364</v>
      </c>
      <c r="N300" s="96" t="s">
        <v>365</v>
      </c>
      <c r="O300" s="96" t="s">
        <v>539</v>
      </c>
      <c r="P300" s="96" t="s">
        <v>540</v>
      </c>
      <c r="Q300" s="51" t="s">
        <v>229</v>
      </c>
      <c r="R300" s="117"/>
      <c r="S300" s="85"/>
      <c r="T300" s="104" t="s">
        <v>369</v>
      </c>
      <c r="U300" s="123"/>
      <c r="V300" s="123"/>
      <c r="W300" s="104"/>
      <c r="X300" s="85"/>
      <c r="Y300" s="123"/>
      <c r="Z300" s="130" t="str">
        <f t="shared" si="125"/>
        <v>/* 테이블 : 팝업 */ CREATE TABLE TB_POPUP (</v>
      </c>
      <c r="AA300" s="125" t="str">
        <f t="shared" si="119"/>
        <v>ATCH_FILE_SN INTEGER NOT NULL,</v>
      </c>
      <c r="AB300" s="125" t="str">
        <f t="shared" si="117"/>
        <v>ALTER TABLE TB_POPUP ADD CONSTRAINT TB_POPUP_FKEY1 FOREIGN KEY(ATCH_FILE_SN) REFERENCES TB_ATCH_FILE(ATCH_FILE_SN) ON UPDATE CASCADE ON DELETE SET NULL;</v>
      </c>
      <c r="AC300" s="125" t="str">
        <f t="shared" si="118"/>
        <v/>
      </c>
      <c r="AD300" s="125" t="str">
        <f t="shared" ref="AD300:AD368" si="128">IF(ISBLANK(U300),"","ALTER TABLE "&amp;E300&amp;" ALTER COLUMN "&amp;H300&amp;" SET DEFAULT NEXTVAL('"&amp;U300&amp;"');")</f>
        <v/>
      </c>
      <c r="AE300" s="125" t="str">
        <f t="shared" si="126"/>
        <v/>
      </c>
      <c r="AF300" s="125" t="str">
        <f t="shared" si="127"/>
        <v>COMMENT ON COLUMN TB_POPUP.ATCH_FILE_SN IS '첨부 파일 일련번호' ;</v>
      </c>
      <c r="AG300" s="125" t="str">
        <f t="shared" si="103"/>
        <v>ALTER TABLE TB_POPUP ALTER COLUMN ATCH_FILE_SN TYPE INTEGER;</v>
      </c>
      <c r="AH300" s="131" t="str">
        <f t="shared" si="124"/>
        <v>ALTER TABLE TB_POPUP ADD COLUMN ATCH_FILE_SN INTEGER NOT NULL;</v>
      </c>
      <c r="AI300" s="125" t="str">
        <f t="shared" si="104"/>
        <v>ALTER TABLE TB_POPUP DROP COLUMN ATCH_FILE_SN;</v>
      </c>
    </row>
    <row r="301" spans="2:35" ht="20.100000000000001" customHeight="1">
      <c r="B301" s="135">
        <v>293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8</v>
      </c>
      <c r="H301" s="104" t="s">
        <v>358</v>
      </c>
      <c r="I301" s="104" t="s">
        <v>349</v>
      </c>
      <c r="J301" s="85"/>
      <c r="K301" s="85"/>
      <c r="L301" s="85"/>
      <c r="M301" s="85"/>
      <c r="N301" s="85"/>
      <c r="O301" s="85"/>
      <c r="P301" s="85"/>
      <c r="Q301" s="104" t="s">
        <v>352</v>
      </c>
      <c r="R301" s="119" t="s">
        <v>530</v>
      </c>
      <c r="S301" s="85"/>
      <c r="T301" s="104" t="s">
        <v>353</v>
      </c>
      <c r="U301" s="123"/>
      <c r="V301" s="123"/>
      <c r="W301" s="104"/>
      <c r="X301" s="85"/>
      <c r="Y301" s="123"/>
      <c r="Z301" s="130" t="str">
        <f t="shared" si="125"/>
        <v>/* 테이블 : 팝업 */ CREATE TABLE TB_POPUP (</v>
      </c>
      <c r="AA301" s="125" t="str">
        <f t="shared" si="119"/>
        <v>MOVE_URL VARCHAR(2000),</v>
      </c>
      <c r="AB301" s="125" t="str">
        <f t="shared" si="117"/>
        <v/>
      </c>
      <c r="AC301" s="125" t="str">
        <f t="shared" si="118"/>
        <v/>
      </c>
      <c r="AD301" s="125" t="str">
        <f t="shared" si="128"/>
        <v/>
      </c>
      <c r="AE301" s="125" t="str">
        <f t="shared" si="126"/>
        <v/>
      </c>
      <c r="AF301" s="125" t="str">
        <f t="shared" si="127"/>
        <v>COMMENT ON COLUMN TB_POPUP.MOVE_URL IS '클릭시 이동 URL' ;</v>
      </c>
      <c r="AG301" s="125" t="str">
        <f t="shared" si="103"/>
        <v>ALTER TABLE TB_POPUP ALTER COLUMN MOVE_URL TYPE VARCHAR(2000);</v>
      </c>
      <c r="AH301" s="131" t="str">
        <f t="shared" si="124"/>
        <v>ALTER TABLE TB_POPUP ADD COLUMN MOVE_URL VARCHAR(2000);</v>
      </c>
      <c r="AI301" s="125" t="str">
        <f t="shared" si="104"/>
        <v>ALTER TABLE TB_POPUP DROP COLUMN MOVE_URL;</v>
      </c>
    </row>
    <row r="302" spans="2:35" ht="20.100000000000001" customHeight="1">
      <c r="B302" s="55">
        <v>294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9</v>
      </c>
      <c r="H302" s="97" t="s">
        <v>107</v>
      </c>
      <c r="I302" s="51" t="s">
        <v>76</v>
      </c>
      <c r="J302" s="73" t="s">
        <v>72</v>
      </c>
      <c r="K302" s="67"/>
      <c r="L302" s="67"/>
      <c r="M302" s="77"/>
      <c r="N302" s="77"/>
      <c r="O302" s="77"/>
      <c r="P302" s="77"/>
      <c r="Q302" s="100" t="s">
        <v>521</v>
      </c>
      <c r="R302" s="119" t="s">
        <v>526</v>
      </c>
      <c r="S302" s="80"/>
      <c r="T302" s="107" t="s">
        <v>219</v>
      </c>
      <c r="U302" s="123"/>
      <c r="V302" s="123"/>
      <c r="W302" s="116" t="s">
        <v>496</v>
      </c>
      <c r="X302" s="85"/>
      <c r="Y302" s="123"/>
      <c r="Z302" s="130" t="str">
        <f t="shared" si="125"/>
        <v>/* 테이블 : 팝업 */ CREATE TABLE TB_POPUP (</v>
      </c>
      <c r="AA302" s="125" t="str">
        <f t="shared" si="119"/>
        <v>REGISTER_ID VARCHAR(50) NOT NULL,</v>
      </c>
      <c r="AB302" s="125" t="str">
        <f t="shared" si="117"/>
        <v/>
      </c>
      <c r="AC302" s="125" t="str">
        <f t="shared" si="118"/>
        <v/>
      </c>
      <c r="AD302" s="125" t="str">
        <f t="shared" si="128"/>
        <v/>
      </c>
      <c r="AE302" s="125" t="str">
        <f t="shared" si="126"/>
        <v/>
      </c>
      <c r="AF302" s="125" t="str">
        <f t="shared" si="127"/>
        <v>COMMENT ON COLUMN TB_POPUP.REGISTER_ID IS '등록자 ID' ;</v>
      </c>
      <c r="AG302" s="125" t="str">
        <f t="shared" si="103"/>
        <v>ALTER TABLE TB_POPUP ALTER COLUMN REGISTER_ID TYPE VARCHAR(50);</v>
      </c>
      <c r="AH302" s="131" t="str">
        <f t="shared" si="124"/>
        <v>ALTER TABLE TB_POPUP ADD COLUMN REGISTER_ID VARCHAR(50) NOT NULL;</v>
      </c>
      <c r="AI302" s="125" t="str">
        <f t="shared" si="104"/>
        <v>ALTER TABLE TB_POPUP DROP COLUMN REGISTER_ID;</v>
      </c>
    </row>
    <row r="303" spans="2:35" ht="20.100000000000001" customHeight="1">
      <c r="B303" s="55">
        <v>295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10</v>
      </c>
      <c r="H303" s="97" t="s">
        <v>91</v>
      </c>
      <c r="I303" s="51" t="s">
        <v>77</v>
      </c>
      <c r="J303" s="73" t="s">
        <v>72</v>
      </c>
      <c r="K303" s="52"/>
      <c r="L303" s="52"/>
      <c r="M303" s="52"/>
      <c r="N303" s="52"/>
      <c r="O303" s="52"/>
      <c r="P303" s="52"/>
      <c r="Q303" s="56" t="s">
        <v>106</v>
      </c>
      <c r="R303" s="119" t="s">
        <v>527</v>
      </c>
      <c r="S303" s="80"/>
      <c r="T303" s="107" t="s">
        <v>218</v>
      </c>
      <c r="U303" s="123"/>
      <c r="V303" s="123"/>
      <c r="W303" s="104"/>
      <c r="X303" s="85"/>
      <c r="Y303" s="123"/>
      <c r="Z303" s="130" t="str">
        <f t="shared" si="125"/>
        <v>/* 테이블 : 팝업 */ CREATE TABLE TB_POPUP (</v>
      </c>
      <c r="AA303" s="125" t="str">
        <f t="shared" si="119"/>
        <v>REGISTER_IP VARCHAR(100) NOT NULL,</v>
      </c>
      <c r="AB303" s="125" t="str">
        <f t="shared" si="117"/>
        <v/>
      </c>
      <c r="AC303" s="125" t="str">
        <f t="shared" si="118"/>
        <v/>
      </c>
      <c r="AD303" s="125" t="str">
        <f t="shared" si="128"/>
        <v/>
      </c>
      <c r="AE303" s="125" t="str">
        <f t="shared" si="126"/>
        <v/>
      </c>
      <c r="AF303" s="125" t="str">
        <f t="shared" si="127"/>
        <v>COMMENT ON COLUMN TB_POPUP.REGISTER_IP IS '등록자 IP' ;</v>
      </c>
      <c r="AG303" s="125" t="str">
        <f t="shared" si="103"/>
        <v>ALTER TABLE TB_POPUP ALTER COLUMN REGISTER_IP TYPE VARCHAR(100);</v>
      </c>
      <c r="AH303" s="131" t="str">
        <f t="shared" si="124"/>
        <v>ALTER TABLE TB_POPUP ADD COLUMN REGISTER_IP VARCHAR(100) NOT NULL;</v>
      </c>
      <c r="AI303" s="125" t="str">
        <f t="shared" si="104"/>
        <v>ALTER TABLE TB_POPUP DROP COLUMN REGISTER_IP;</v>
      </c>
    </row>
    <row r="304" spans="2:35" ht="20.100000000000001" customHeight="1">
      <c r="B304" s="55">
        <v>296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11</v>
      </c>
      <c r="H304" s="97" t="s">
        <v>92</v>
      </c>
      <c r="I304" s="96" t="s">
        <v>78</v>
      </c>
      <c r="J304" s="73" t="s">
        <v>72</v>
      </c>
      <c r="K304" s="52"/>
      <c r="L304" s="52"/>
      <c r="M304" s="52"/>
      <c r="N304" s="52"/>
      <c r="O304" s="52"/>
      <c r="P304" s="52"/>
      <c r="Q304" s="51" t="s">
        <v>702</v>
      </c>
      <c r="R304" s="119"/>
      <c r="S304" s="80"/>
      <c r="T304" s="107" t="s">
        <v>217</v>
      </c>
      <c r="U304" s="123"/>
      <c r="V304" s="123"/>
      <c r="W304" s="104"/>
      <c r="X304" s="85"/>
      <c r="Y304" s="123"/>
      <c r="Z304" s="130" t="str">
        <f t="shared" si="125"/>
        <v>/* 테이블 : 팝업 */ CREATE TABLE TB_POPUP (</v>
      </c>
      <c r="AA304" s="125" t="str">
        <f t="shared" si="119"/>
        <v>REG_DT TIMESTAMP NOT NULL,</v>
      </c>
      <c r="AB304" s="125" t="str">
        <f t="shared" si="117"/>
        <v/>
      </c>
      <c r="AC304" s="125" t="str">
        <f t="shared" si="118"/>
        <v/>
      </c>
      <c r="AD304" s="125" t="str">
        <f t="shared" si="128"/>
        <v/>
      </c>
      <c r="AE304" s="125" t="str">
        <f t="shared" si="126"/>
        <v/>
      </c>
      <c r="AF304" s="125" t="str">
        <f t="shared" si="127"/>
        <v>COMMENT ON COLUMN TB_POPUP.REG_DT IS '등록 일시' ;</v>
      </c>
      <c r="AG304" s="125" t="str">
        <f t="shared" si="103"/>
        <v>ALTER TABLE TB_POPUP ALTER COLUMN REG_DT TYPE TIMESTAMP;</v>
      </c>
      <c r="AH304" s="131" t="str">
        <f t="shared" si="124"/>
        <v>ALTER TABLE TB_POPUP ADD COLUMN REG_DT TIMESTAMP NOT NULL;</v>
      </c>
      <c r="AI304" s="125" t="str">
        <f t="shared" si="104"/>
        <v>ALTER TABLE TB_POPUP DROP COLUMN REG_DT;</v>
      </c>
    </row>
    <row r="305" spans="2:35" ht="20.100000000000001" customHeight="1">
      <c r="B305" s="135">
        <v>297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12</v>
      </c>
      <c r="H305" s="97" t="s">
        <v>93</v>
      </c>
      <c r="I305" s="96" t="s">
        <v>80</v>
      </c>
      <c r="J305" s="52"/>
      <c r="K305" s="52"/>
      <c r="L305" s="52"/>
      <c r="M305" s="79"/>
      <c r="N305" s="79"/>
      <c r="O305" s="79"/>
      <c r="P305" s="79"/>
      <c r="Q305" s="100" t="s">
        <v>521</v>
      </c>
      <c r="R305" s="119" t="s">
        <v>526</v>
      </c>
      <c r="S305" s="80"/>
      <c r="T305" s="107" t="s">
        <v>216</v>
      </c>
      <c r="U305" s="123"/>
      <c r="V305" s="123"/>
      <c r="W305" s="116" t="s">
        <v>496</v>
      </c>
      <c r="X305" s="85"/>
      <c r="Y305" s="123"/>
      <c r="Z305" s="130" t="str">
        <f t="shared" si="125"/>
        <v>/* 테이블 : 팝업 */ CREATE TABLE TB_POPUP (</v>
      </c>
      <c r="AA305" s="125" t="str">
        <f t="shared" si="119"/>
        <v>UPDUSR_ID VARCHAR(50),</v>
      </c>
      <c r="AB305" s="125" t="str">
        <f t="shared" si="117"/>
        <v/>
      </c>
      <c r="AC305" s="125" t="str">
        <f t="shared" si="118"/>
        <v/>
      </c>
      <c r="AD305" s="125" t="str">
        <f t="shared" si="128"/>
        <v/>
      </c>
      <c r="AE305" s="125" t="str">
        <f t="shared" si="126"/>
        <v/>
      </c>
      <c r="AF305" s="125" t="str">
        <f t="shared" si="127"/>
        <v>COMMENT ON COLUMN TB_POPUP.UPDUSR_ID IS '수정자 ID' ;</v>
      </c>
      <c r="AG305" s="125" t="str">
        <f t="shared" si="103"/>
        <v>ALTER TABLE TB_POPUP ALTER COLUMN UPDUSR_ID TYPE VARCHAR(50);</v>
      </c>
      <c r="AH305" s="131" t="str">
        <f t="shared" si="124"/>
        <v>ALTER TABLE TB_POPUP ADD COLUMN UPDUSR_ID VARCHAR(50);</v>
      </c>
      <c r="AI305" s="125" t="str">
        <f t="shared" si="104"/>
        <v>ALTER TABLE TB_POPUP DROP COLUMN UPDUSR_ID;</v>
      </c>
    </row>
    <row r="306" spans="2:35" ht="20.100000000000001" customHeight="1">
      <c r="B306" s="55">
        <v>298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13</v>
      </c>
      <c r="H306" s="97" t="s">
        <v>94</v>
      </c>
      <c r="I306" s="96" t="s">
        <v>79</v>
      </c>
      <c r="J306" s="52"/>
      <c r="K306" s="52"/>
      <c r="L306" s="52"/>
      <c r="M306" s="52"/>
      <c r="N306" s="52"/>
      <c r="O306" s="52"/>
      <c r="P306" s="52"/>
      <c r="Q306" s="56" t="s">
        <v>106</v>
      </c>
      <c r="R306" s="119" t="s">
        <v>527</v>
      </c>
      <c r="S306" s="80"/>
      <c r="T306" s="107" t="s">
        <v>215</v>
      </c>
      <c r="U306" s="123"/>
      <c r="V306" s="123"/>
      <c r="W306" s="104"/>
      <c r="X306" s="85"/>
      <c r="Y306" s="123"/>
      <c r="Z306" s="130" t="str">
        <f t="shared" si="125"/>
        <v>/* 테이블 : 팝업 */ CREATE TABLE TB_POPUP (</v>
      </c>
      <c r="AA306" s="125" t="str">
        <f t="shared" si="119"/>
        <v>UPDUSR_IP VARCHAR(100),</v>
      </c>
      <c r="AB306" s="125" t="str">
        <f t="shared" si="117"/>
        <v/>
      </c>
      <c r="AC306" s="125" t="str">
        <f t="shared" si="118"/>
        <v/>
      </c>
      <c r="AD306" s="125" t="str">
        <f t="shared" si="128"/>
        <v/>
      </c>
      <c r="AE306" s="125" t="str">
        <f t="shared" si="126"/>
        <v/>
      </c>
      <c r="AF306" s="125" t="str">
        <f t="shared" si="127"/>
        <v>COMMENT ON COLUMN TB_POPUP.UPDUSR_IP IS '수정자 IP' ;</v>
      </c>
      <c r="AG306" s="125" t="str">
        <f t="shared" si="103"/>
        <v>ALTER TABLE TB_POPUP ALTER COLUMN UPDUSR_IP TYPE VARCHAR(100);</v>
      </c>
      <c r="AH306" s="131" t="str">
        <f t="shared" si="124"/>
        <v>ALTER TABLE TB_POPUP ADD COLUMN UPDUSR_IP VARCHAR(100);</v>
      </c>
      <c r="AI306" s="125" t="str">
        <f t="shared" si="104"/>
        <v>ALTER TABLE TB_POPUP DROP COLUMN UPDUSR_IP;</v>
      </c>
    </row>
    <row r="307" spans="2:35" ht="20.100000000000001" customHeight="1">
      <c r="B307" s="55">
        <v>299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14</v>
      </c>
      <c r="H307" s="98" t="s">
        <v>95</v>
      </c>
      <c r="I307" s="97" t="s">
        <v>81</v>
      </c>
      <c r="J307" s="61"/>
      <c r="K307" s="61"/>
      <c r="L307" s="61"/>
      <c r="M307" s="61"/>
      <c r="N307" s="61"/>
      <c r="O307" s="61"/>
      <c r="P307" s="61"/>
      <c r="Q307" s="51" t="s">
        <v>702</v>
      </c>
      <c r="R307" s="119"/>
      <c r="S307" s="77"/>
      <c r="T307" s="107" t="s">
        <v>214</v>
      </c>
      <c r="U307" s="123"/>
      <c r="V307" s="123"/>
      <c r="W307" s="104"/>
      <c r="X307" s="85"/>
      <c r="Y307" s="123"/>
      <c r="Z307" s="130" t="str">
        <f t="shared" si="125"/>
        <v>/* 테이블 : 팝업 */ CREATE TABLE TB_POPUP (</v>
      </c>
      <c r="AA307" s="125" t="str">
        <f t="shared" si="119"/>
        <v>UPDT_DT TIMESTAMP,</v>
      </c>
      <c r="AB307" s="125" t="str">
        <f t="shared" si="117"/>
        <v/>
      </c>
      <c r="AC307" s="125" t="str">
        <f t="shared" si="118"/>
        <v/>
      </c>
      <c r="AD307" s="125" t="str">
        <f t="shared" si="128"/>
        <v/>
      </c>
      <c r="AE307" s="125" t="str">
        <f t="shared" si="126"/>
        <v/>
      </c>
      <c r="AF307" s="125" t="str">
        <f t="shared" si="127"/>
        <v>COMMENT ON COLUMN TB_POPUP.UPDT_DT IS '수정 일시' ;</v>
      </c>
      <c r="AG307" s="125" t="str">
        <f t="shared" si="103"/>
        <v>ALTER TABLE TB_POPUP ALTER COLUMN UPDT_DT TYPE TIMESTAMP;</v>
      </c>
      <c r="AH307" s="131" t="str">
        <f t="shared" si="124"/>
        <v>ALTER TABLE TB_POPUP ADD COLUMN UPDT_DT TIMESTAMP;</v>
      </c>
      <c r="AI307" s="125" t="str">
        <f t="shared" si="104"/>
        <v>ALTER TABLE TB_POPUP DROP COLUMN UPDT_DT;</v>
      </c>
    </row>
    <row r="308" spans="2:35" ht="20.100000000000001" customHeight="1">
      <c r="B308" s="55">
        <v>300</v>
      </c>
      <c r="C308" s="26" t="s">
        <v>7</v>
      </c>
      <c r="D308" s="26" t="s">
        <v>17</v>
      </c>
      <c r="E308" s="10" t="s">
        <v>38</v>
      </c>
      <c r="F308" s="10" t="s">
        <v>17</v>
      </c>
      <c r="G308" s="87">
        <v>15</v>
      </c>
      <c r="H308" s="97" t="s">
        <v>96</v>
      </c>
      <c r="I308" s="97" t="s">
        <v>82</v>
      </c>
      <c r="J308" s="73" t="s">
        <v>72</v>
      </c>
      <c r="K308" s="61"/>
      <c r="L308" s="61"/>
      <c r="M308" s="61"/>
      <c r="N308" s="61"/>
      <c r="O308" s="61"/>
      <c r="P308" s="61"/>
      <c r="Q308" s="51" t="s">
        <v>800</v>
      </c>
      <c r="R308" s="119" t="s">
        <v>522</v>
      </c>
      <c r="S308" s="82" t="s">
        <v>799</v>
      </c>
      <c r="T308" s="107" t="s">
        <v>213</v>
      </c>
      <c r="U308" s="123"/>
      <c r="V308" s="123"/>
      <c r="W308" s="104"/>
      <c r="X308" s="85"/>
      <c r="Y308" s="123"/>
      <c r="Z308" s="130" t="str">
        <f t="shared" si="125"/>
        <v>/* 테이블 : 팝업 */ CREATE TABLE TB_POPUP (</v>
      </c>
      <c r="AA308" s="125" t="str">
        <f t="shared" si="119"/>
        <v>DEL_YN BPCHAR(1) NOT NULL,</v>
      </c>
      <c r="AB308" s="125" t="str">
        <f t="shared" si="117"/>
        <v/>
      </c>
      <c r="AC308" s="125" t="str">
        <f t="shared" si="118"/>
        <v/>
      </c>
      <c r="AD308" s="125" t="str">
        <f t="shared" si="128"/>
        <v/>
      </c>
      <c r="AE308" s="125" t="str">
        <f t="shared" si="126"/>
        <v>ALTER TABLE TB_POPUP ALTER COLUMN DEL_YN SET DEFAULT 'N'::bpchar;</v>
      </c>
      <c r="AF308" s="125" t="str">
        <f t="shared" si="127"/>
        <v>COMMENT ON COLUMN TB_POPUP.DEL_YN IS '삭제 여부' ;</v>
      </c>
      <c r="AG308" s="125" t="str">
        <f t="shared" ref="AG308:AG376" si="129">"ALTER TABLE "&amp;$E308&amp;" ALTER COLUMN "&amp;$H308&amp;" TYPE "&amp;$Q308&amp;IF(ISBLANK(R308),"",R308)&amp;";"</f>
        <v>ALTER TABLE TB_POPUP ALTER COLUMN DEL_YN TYPE BPCHAR(1);</v>
      </c>
      <c r="AH308" s="131" t="str">
        <f t="shared" si="124"/>
        <v>ALTER TABLE TB_POPUP ADD COLUMN DEL_YN BPCHAR(1) NOT NULL DEFAULT 'N'::bpchar;</v>
      </c>
      <c r="AI308" s="125" t="str">
        <f t="shared" ref="AI308:AI376" si="130">"ALTER TABLE "&amp;$E308&amp;" DROP COLUMN "&amp;$H308&amp;";"</f>
        <v>ALTER TABLE TB_POPUP DROP COLUMN DEL_YN;</v>
      </c>
    </row>
    <row r="309" spans="2:35" ht="20.100000000000001" customHeight="1">
      <c r="B309" s="135">
        <v>301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1</v>
      </c>
      <c r="H309" s="97" t="s">
        <v>638</v>
      </c>
      <c r="I309" s="97" t="s">
        <v>636</v>
      </c>
      <c r="J309" s="73" t="s">
        <v>72</v>
      </c>
      <c r="K309" s="69">
        <v>1</v>
      </c>
      <c r="L309" s="69"/>
      <c r="M309" s="69"/>
      <c r="N309" s="69"/>
      <c r="O309" s="69"/>
      <c r="P309" s="69"/>
      <c r="Q309" s="62" t="s">
        <v>644</v>
      </c>
      <c r="R309" s="119"/>
      <c r="S309" s="82"/>
      <c r="T309" s="97" t="s">
        <v>650</v>
      </c>
      <c r="U309" s="125" t="str">
        <f>"SEQ_"&amp;E309&amp;"_SN"</f>
        <v>SEQ_TB_QESTNAR_GROUP_SN</v>
      </c>
      <c r="V309" s="123"/>
      <c r="W309" s="104"/>
      <c r="X309" s="85"/>
      <c r="Y309" s="123"/>
      <c r="Z309" s="130" t="str">
        <f t="shared" si="125"/>
        <v>/* 테이블 : 설문조사그룹 */ CREATE TABLE TB_QESTNAR_GROUP (</v>
      </c>
      <c r="AA309" s="125" t="str">
        <f t="shared" si="119"/>
        <v>QESTNAR_GROUP_SN INTEGER PRIMARY KEY,</v>
      </c>
      <c r="AB309" s="125" t="str">
        <f t="shared" si="117"/>
        <v/>
      </c>
      <c r="AC309" s="125" t="str">
        <f t="shared" si="118"/>
        <v>CREATE SEQUENCE SEQ_TB_QESTNAR_GROUP_SN START 100000;</v>
      </c>
      <c r="AD309" s="125" t="str">
        <f t="shared" si="128"/>
        <v>ALTER TABLE TB_QESTNAR_GROUP ALTER COLUMN QESTNAR_GROUP_SN SET DEFAULT NEXTVAL('SEQ_TB_QESTNAR_GROUP_SN');</v>
      </c>
      <c r="AE309" s="125" t="str">
        <f t="shared" si="126"/>
        <v/>
      </c>
      <c r="AF309" s="125" t="str">
        <f t="shared" si="127"/>
        <v>COMMENT ON COLUMN TB_QESTNAR_GROUP.QESTNAR_GROUP_SN IS '설문조사 그룹 일련번호' ;</v>
      </c>
      <c r="AG309" s="125" t="str">
        <f t="shared" si="129"/>
        <v>ALTER TABLE TB_QESTNAR_GROUP ALTER COLUMN QESTNAR_GROUP_SN TYPE INTEGER;</v>
      </c>
      <c r="AH309" s="131" t="str">
        <f t="shared" si="124"/>
        <v>ALTER TABLE TB_QESTNAR_GROUP ADD COLUMN QESTNAR_GROUP_SN INTEGER NOT NULL;</v>
      </c>
      <c r="AI309" s="125" t="str">
        <f t="shared" si="130"/>
        <v>ALTER TABLE TB_QESTNAR_GROUP DROP COLUMN QESTNAR_GROUP_SN;</v>
      </c>
    </row>
    <row r="310" spans="2:35" ht="20.100000000000001" customHeight="1">
      <c r="B310" s="135">
        <v>301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1</v>
      </c>
      <c r="H310" s="97" t="s">
        <v>864</v>
      </c>
      <c r="I310" s="97" t="s">
        <v>865</v>
      </c>
      <c r="J310" s="73" t="s">
        <v>72</v>
      </c>
      <c r="K310" s="69"/>
      <c r="L310" s="69"/>
      <c r="M310" s="69"/>
      <c r="N310" s="69"/>
      <c r="O310" s="69"/>
      <c r="P310" s="69"/>
      <c r="Q310" s="62" t="s">
        <v>106</v>
      </c>
      <c r="R310" s="119" t="s">
        <v>527</v>
      </c>
      <c r="S310" s="82"/>
      <c r="T310" s="97" t="s">
        <v>866</v>
      </c>
      <c r="U310" s="125"/>
      <c r="V310" s="123"/>
      <c r="W310" s="104" t="s">
        <v>868</v>
      </c>
      <c r="X310" s="85"/>
      <c r="Y310" s="123" t="s">
        <v>867</v>
      </c>
      <c r="Z310" s="130" t="str">
        <f t="shared" si="125"/>
        <v>/* 테이블 : 설문조사그룹 */ CREATE TABLE TB_QESTNAR_GROUP (</v>
      </c>
      <c r="AA310" s="125" t="str">
        <f t="shared" ref="AA310" si="131">H310&amp;" "&amp;Q310&amp;R310&amp;IF(ISBLANK(K310),""," PRIMARY KEY")&amp;IF(AND(ISBLANK(K310),J310="Y")," NOT NULL","")&amp;","</f>
        <v>QESTNAR_GROUP_CD VARCHAR(100) NOT NULL,</v>
      </c>
      <c r="AB310" s="125" t="str">
        <f t="shared" ref="AB310" si="132">IF(ISBLANK(L310),"","ALTER TABLE " &amp; E310 &amp; " ADD CONSTRAINT " &amp; E310 &amp; "_FKEY" &amp; L310 &amp;  " FOREIGN KEY(" &amp;H310 &amp; ") REFERENCES " &amp; M310 &amp; "(" &amp; N310 &amp; ") "&amp;O310&amp;" "&amp;P310&amp;";")</f>
        <v/>
      </c>
      <c r="AC310" s="125" t="str">
        <f t="shared" ref="AC310" si="133">IF(ISBLANK(U310),"","CREATE SEQUENCE "&amp;U310&amp;" START 100000;")</f>
        <v/>
      </c>
      <c r="AD310" s="125" t="str">
        <f t="shared" ref="AD310" si="134">IF(ISBLANK(U310),"","ALTER TABLE "&amp;E310&amp;" ALTER COLUMN "&amp;H310&amp;" SET DEFAULT NEXTVAL('"&amp;U310&amp;"');")</f>
        <v/>
      </c>
      <c r="AE310" s="125" t="str">
        <f t="shared" si="126"/>
        <v/>
      </c>
      <c r="AF310" s="125" t="str">
        <f t="shared" si="127"/>
        <v>COMMENT ON COLUMN TB_QESTNAR_GROUP.QESTNAR_GROUP_CD IS '설문조사 그룹 코드' ;</v>
      </c>
      <c r="AG310" s="125" t="str">
        <f t="shared" ref="AG310" si="135">"ALTER TABLE "&amp;$E310&amp;" ALTER COLUMN "&amp;$H310&amp;" TYPE "&amp;$Q310&amp;IF(ISBLANK(R310),"",R310)&amp;";"</f>
        <v>ALTER TABLE TB_QESTNAR_GROUP ALTER COLUMN QESTNAR_GROUP_CD TYPE VARCHAR(100);</v>
      </c>
      <c r="AH310" s="131" t="str">
        <f t="shared" ref="AH310" si="136">"ALTER TABLE "&amp;$E310&amp;" ADD COLUMN "&amp;$H310&amp;" "&amp;$Q310&amp;IF(ISBLANK(R310),"",$R310)&amp;IF(ISBLANK($J310),""," NOT NULL")&amp;IF(ISBLANK($S310),""," DEFAULT " &amp; $S310 ) &amp; ";"</f>
        <v>ALTER TABLE TB_QESTNAR_GROUP ADD COLUMN QESTNAR_GROUP_CD VARCHAR(100) NOT NULL;</v>
      </c>
      <c r="AI310" s="125" t="str">
        <f t="shared" si="130"/>
        <v>ALTER TABLE TB_QESTNAR_GROUP DROP COLUMN QESTNAR_GROUP_CD;</v>
      </c>
    </row>
    <row r="311" spans="2:35" ht="20.100000000000001" customHeight="1">
      <c r="B311" s="55">
        <v>303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2</v>
      </c>
      <c r="H311" s="97" t="s">
        <v>642</v>
      </c>
      <c r="I311" s="97" t="s">
        <v>639</v>
      </c>
      <c r="J311" s="73"/>
      <c r="K311" s="69"/>
      <c r="L311" s="69"/>
      <c r="M311" s="69"/>
      <c r="N311" s="69"/>
      <c r="O311" s="69"/>
      <c r="P311" s="69"/>
      <c r="Q311" s="62" t="s">
        <v>645</v>
      </c>
      <c r="R311" s="119" t="s">
        <v>527</v>
      </c>
      <c r="S311" s="82"/>
      <c r="T311" s="97" t="s">
        <v>651</v>
      </c>
      <c r="U311" s="123"/>
      <c r="V311" s="123"/>
      <c r="W311" s="104"/>
      <c r="X311" s="85"/>
      <c r="Y311" s="123"/>
      <c r="Z311" s="130" t="str">
        <f t="shared" si="125"/>
        <v>/* 테이블 : 설문조사그룹 */ CREATE TABLE TB_QESTNAR_GROUP (</v>
      </c>
      <c r="AA311" s="125" t="str">
        <f t="shared" si="119"/>
        <v>QESTNAR_GROUP_NM VARCHAR(100),</v>
      </c>
      <c r="AB311" s="125" t="str">
        <f t="shared" si="117"/>
        <v/>
      </c>
      <c r="AC311" s="125" t="str">
        <f t="shared" si="118"/>
        <v/>
      </c>
      <c r="AD311" s="125" t="str">
        <f t="shared" si="128"/>
        <v/>
      </c>
      <c r="AE311" s="125" t="str">
        <f t="shared" si="126"/>
        <v/>
      </c>
      <c r="AF311" s="125" t="str">
        <f t="shared" si="127"/>
        <v>COMMENT ON COLUMN TB_QESTNAR_GROUP.QESTNAR_GROUP_NM IS '설문조사 그룹 이름' ;</v>
      </c>
      <c r="AG311" s="125" t="str">
        <f t="shared" si="129"/>
        <v>ALTER TABLE TB_QESTNAR_GROUP ALTER COLUMN QESTNAR_GROUP_NM TYPE VARCHAR(100);</v>
      </c>
      <c r="AH311" s="131" t="str">
        <f t="shared" si="124"/>
        <v>ALTER TABLE TB_QESTNAR_GROUP ADD COLUMN QESTNAR_GROUP_NM VARCHAR(100);</v>
      </c>
      <c r="AI311" s="125" t="str">
        <f t="shared" si="130"/>
        <v>ALTER TABLE TB_QESTNAR_GROUP DROP COLUMN QESTNAR_GROUP_NM;</v>
      </c>
    </row>
    <row r="312" spans="2:35" ht="20.100000000000001" customHeight="1">
      <c r="B312" s="55">
        <v>304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3</v>
      </c>
      <c r="H312" s="97" t="s">
        <v>643</v>
      </c>
      <c r="I312" s="97" t="s">
        <v>640</v>
      </c>
      <c r="J312" s="73"/>
      <c r="K312" s="69"/>
      <c r="L312" s="69"/>
      <c r="M312" s="69"/>
      <c r="N312" s="69"/>
      <c r="O312" s="69"/>
      <c r="P312" s="69"/>
      <c r="Q312" s="100" t="s">
        <v>106</v>
      </c>
      <c r="R312" s="119" t="s">
        <v>528</v>
      </c>
      <c r="S312" s="82"/>
      <c r="T312" s="97" t="s">
        <v>652</v>
      </c>
      <c r="U312" s="123"/>
      <c r="V312" s="123"/>
      <c r="W312" s="104"/>
      <c r="X312" s="85"/>
      <c r="Y312" s="123"/>
      <c r="Z312" s="130" t="str">
        <f t="shared" si="125"/>
        <v>/* 테이블 : 설문조사그룹 */ CREATE TABLE TB_QESTNAR_GROUP (</v>
      </c>
      <c r="AA312" s="125" t="str">
        <f t="shared" si="119"/>
        <v>QESTNAR_GROUP_DC VARCHAR(255),</v>
      </c>
      <c r="AB312" s="125" t="str">
        <f t="shared" si="117"/>
        <v/>
      </c>
      <c r="AC312" s="125" t="str">
        <f t="shared" si="118"/>
        <v/>
      </c>
      <c r="AD312" s="125" t="str">
        <f t="shared" si="128"/>
        <v/>
      </c>
      <c r="AE312" s="125" t="str">
        <f t="shared" si="126"/>
        <v/>
      </c>
      <c r="AF312" s="125" t="str">
        <f t="shared" si="127"/>
        <v>COMMENT ON COLUMN TB_QESTNAR_GROUP.QESTNAR_GROUP_DC IS '설문조사 그룹 설명' ;</v>
      </c>
      <c r="AG312" s="125" t="str">
        <f t="shared" si="129"/>
        <v>ALTER TABLE TB_QESTNAR_GROUP ALTER COLUMN QESTNAR_GROUP_DC TYPE VARCHAR(255);</v>
      </c>
      <c r="AH312" s="131" t="str">
        <f t="shared" si="124"/>
        <v>ALTER TABLE TB_QESTNAR_GROUP ADD COLUMN QESTNAR_GROUP_DC VARCHAR(255);</v>
      </c>
      <c r="AI312" s="125" t="str">
        <f t="shared" si="130"/>
        <v>ALTER TABLE TB_QESTNAR_GROUP DROP COLUMN QESTNAR_GROUP_DC;</v>
      </c>
    </row>
    <row r="313" spans="2:35" ht="20.100000000000001" customHeight="1">
      <c r="B313" s="55">
        <v>304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4</v>
      </c>
      <c r="H313" s="97" t="s">
        <v>856</v>
      </c>
      <c r="I313" s="97" t="s">
        <v>857</v>
      </c>
      <c r="J313" s="73"/>
      <c r="K313" s="69"/>
      <c r="L313" s="69"/>
      <c r="M313" s="69"/>
      <c r="N313" s="69"/>
      <c r="O313" s="69"/>
      <c r="P313" s="69"/>
      <c r="Q313" s="51" t="s">
        <v>800</v>
      </c>
      <c r="R313" s="119" t="s">
        <v>522</v>
      </c>
      <c r="S313" s="82"/>
      <c r="T313" s="97" t="s">
        <v>860</v>
      </c>
      <c r="U313" s="123"/>
      <c r="V313" s="123"/>
      <c r="W313" s="104" t="s">
        <v>862</v>
      </c>
      <c r="X313" s="85"/>
      <c r="Y313" s="123"/>
      <c r="Z313" s="130" t="str">
        <f t="shared" si="125"/>
        <v>/* 테이블 : 설문조사그룹 */ CREATE TABLE TB_QESTNAR_GROUP (</v>
      </c>
      <c r="AA313" s="125" t="str">
        <f t="shared" si="119"/>
        <v>UPEND_GDCC_SET_YN BPCHAR(1),</v>
      </c>
      <c r="AB313" s="125" t="str">
        <f t="shared" si="117"/>
        <v/>
      </c>
      <c r="AC313" s="125" t="str">
        <f t="shared" si="118"/>
        <v/>
      </c>
      <c r="AD313" s="125" t="str">
        <f t="shared" si="128"/>
        <v/>
      </c>
      <c r="AE313" s="125" t="str">
        <f t="shared" si="126"/>
        <v/>
      </c>
      <c r="AF313" s="125" t="str">
        <f t="shared" si="127"/>
        <v>COMMENT ON COLUMN TB_QESTNAR_GROUP.UPEND_GDCC_SET_YN IS '상단 안내문 설정 여부' ;</v>
      </c>
      <c r="AG313" s="125" t="str">
        <f t="shared" si="129"/>
        <v>ALTER TABLE TB_QESTNAR_GROUP ALTER COLUMN UPEND_GDCC_SET_YN TYPE BPCHAR(1);</v>
      </c>
      <c r="AH313" s="131" t="str">
        <f t="shared" si="124"/>
        <v>ALTER TABLE TB_QESTNAR_GROUP ADD COLUMN UPEND_GDCC_SET_YN BPCHAR(1);</v>
      </c>
      <c r="AI313" s="125" t="str">
        <f t="shared" si="130"/>
        <v>ALTER TABLE TB_QESTNAR_GROUP DROP COLUMN UPEND_GDCC_SET_YN;</v>
      </c>
    </row>
    <row r="314" spans="2:35" ht="20.100000000000001" customHeight="1">
      <c r="B314" s="55">
        <v>304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4</v>
      </c>
      <c r="H314" s="97" t="s">
        <v>848</v>
      </c>
      <c r="I314" s="97" t="s">
        <v>850</v>
      </c>
      <c r="J314" s="73"/>
      <c r="K314" s="69"/>
      <c r="L314" s="69"/>
      <c r="M314" s="69"/>
      <c r="N314" s="69"/>
      <c r="O314" s="69"/>
      <c r="P314" s="69"/>
      <c r="Q314" s="100" t="s">
        <v>171</v>
      </c>
      <c r="R314" s="119"/>
      <c r="S314" s="82"/>
      <c r="T314" s="97" t="s">
        <v>852</v>
      </c>
      <c r="U314" s="123"/>
      <c r="V314" s="123"/>
      <c r="W314" s="104" t="s">
        <v>854</v>
      </c>
      <c r="X314" s="85"/>
      <c r="Y314" s="123"/>
      <c r="Z314" s="130" t="str">
        <f t="shared" si="125"/>
        <v>/* 테이블 : 설문조사그룹 */ CREATE TABLE TB_QESTNAR_GROUP (</v>
      </c>
      <c r="AA314" s="125" t="str">
        <f t="shared" ref="AA314:AA316" si="137">H314&amp;" "&amp;Q314&amp;R314&amp;IF(ISBLANK(K314),""," PRIMARY KEY")&amp;IF(AND(ISBLANK(K314),J314="Y")," NOT NULL","")&amp;","</f>
        <v>UPEND_GDCC TEXT,</v>
      </c>
      <c r="AB314" s="125" t="str">
        <f t="shared" ref="AB314:AB316" si="138">IF(ISBLANK(L314),"","ALTER TABLE " &amp; E314 &amp; " ADD CONSTRAINT " &amp; E314 &amp; "_FKEY" &amp; L314 &amp;  " FOREIGN KEY(" &amp;H314 &amp; ") REFERENCES " &amp; M314 &amp; "(" &amp; N314 &amp; ") "&amp;O314&amp;" "&amp;P314&amp;";")</f>
        <v/>
      </c>
      <c r="AC314" s="125" t="str">
        <f t="shared" ref="AC314:AC316" si="139">IF(ISBLANK(U314),"","CREATE SEQUENCE "&amp;U314&amp;" START 100000;")</f>
        <v/>
      </c>
      <c r="AD314" s="125" t="str">
        <f t="shared" ref="AD314:AD316" si="140">IF(ISBLANK(U314),"","ALTER TABLE "&amp;E314&amp;" ALTER COLUMN "&amp;H314&amp;" SET DEFAULT NEXTVAL('"&amp;U314&amp;"');")</f>
        <v/>
      </c>
      <c r="AE314" s="125" t="str">
        <f t="shared" si="126"/>
        <v/>
      </c>
      <c r="AF314" s="125" t="str">
        <f t="shared" si="127"/>
        <v>COMMENT ON COLUMN TB_QESTNAR_GROUP.UPEND_GDCC IS '상단 안내문' ;</v>
      </c>
      <c r="AG314" s="125" t="str">
        <f t="shared" ref="AG314:AG316" si="141">"ALTER TABLE "&amp;$E314&amp;" ALTER COLUMN "&amp;$H314&amp;" TYPE "&amp;$Q314&amp;IF(ISBLANK(R314),"",R314)&amp;";"</f>
        <v>ALTER TABLE TB_QESTNAR_GROUP ALTER COLUMN UPEND_GDCC TYPE TEXT;</v>
      </c>
      <c r="AH314" s="131" t="str">
        <f t="shared" ref="AH314:AH316" si="142">"ALTER TABLE "&amp;$E314&amp;" ADD COLUMN "&amp;$H314&amp;" "&amp;$Q314&amp;IF(ISBLANK(R314),"",$R314)&amp;IF(ISBLANK($J314),""," NOT NULL")&amp;IF(ISBLANK($S314),""," DEFAULT " &amp; $S314 ) &amp; ";"</f>
        <v>ALTER TABLE TB_QESTNAR_GROUP ADD COLUMN UPEND_GDCC TEXT;</v>
      </c>
      <c r="AI314" s="125" t="str">
        <f t="shared" si="130"/>
        <v>ALTER TABLE TB_QESTNAR_GROUP DROP COLUMN UPEND_GDCC;</v>
      </c>
    </row>
    <row r="315" spans="2:35" ht="20.100000000000001" customHeight="1">
      <c r="B315" s="55">
        <v>304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5</v>
      </c>
      <c r="H315" s="97" t="s">
        <v>858</v>
      </c>
      <c r="I315" s="97" t="s">
        <v>859</v>
      </c>
      <c r="J315" s="73"/>
      <c r="K315" s="69"/>
      <c r="L315" s="69"/>
      <c r="M315" s="69"/>
      <c r="N315" s="69"/>
      <c r="O315" s="69"/>
      <c r="P315" s="69"/>
      <c r="Q315" s="51" t="s">
        <v>800</v>
      </c>
      <c r="R315" s="119" t="s">
        <v>522</v>
      </c>
      <c r="S315" s="82"/>
      <c r="T315" s="97" t="s">
        <v>861</v>
      </c>
      <c r="U315" s="123"/>
      <c r="V315" s="123"/>
      <c r="W315" s="104" t="s">
        <v>863</v>
      </c>
      <c r="X315" s="85"/>
      <c r="Y315" s="123"/>
      <c r="Z315" s="130" t="str">
        <f t="shared" si="125"/>
        <v>/* 테이블 : 설문조사그룹 */ CREATE TABLE TB_QESTNAR_GROUP (</v>
      </c>
      <c r="AA315" s="125" t="str">
        <f t="shared" ref="AA315" si="143">H315&amp;" "&amp;Q315&amp;R315&amp;IF(ISBLANK(K315),""," PRIMARY KEY")&amp;IF(AND(ISBLANK(K315),J315="Y")," NOT NULL","")&amp;","</f>
        <v>LPT_GDCC_SET_YN BPCHAR(1),</v>
      </c>
      <c r="AB315" s="125" t="str">
        <f t="shared" ref="AB315" si="144">IF(ISBLANK(L315),"","ALTER TABLE " &amp; E315 &amp; " ADD CONSTRAINT " &amp; E315 &amp; "_FKEY" &amp; L315 &amp;  " FOREIGN KEY(" &amp;H315 &amp; ") REFERENCES " &amp; M315 &amp; "(" &amp; N315 &amp; ") "&amp;O315&amp;" "&amp;P315&amp;";")</f>
        <v/>
      </c>
      <c r="AC315" s="125" t="str">
        <f t="shared" ref="AC315" si="145">IF(ISBLANK(U315),"","CREATE SEQUENCE "&amp;U315&amp;" START 100000;")</f>
        <v/>
      </c>
      <c r="AD315" s="125" t="str">
        <f t="shared" ref="AD315" si="146">IF(ISBLANK(U315),"","ALTER TABLE "&amp;E315&amp;" ALTER COLUMN "&amp;H315&amp;" SET DEFAULT NEXTVAL('"&amp;U315&amp;"');")</f>
        <v/>
      </c>
      <c r="AE315" s="125" t="str">
        <f t="shared" si="126"/>
        <v/>
      </c>
      <c r="AF315" s="125" t="str">
        <f t="shared" si="127"/>
        <v>COMMENT ON COLUMN TB_QESTNAR_GROUP.LPT_GDCC_SET_YN IS '하단 안내문 설정 여부' ;</v>
      </c>
      <c r="AG315" s="125" t="str">
        <f t="shared" ref="AG315" si="147">"ALTER TABLE "&amp;$E315&amp;" ALTER COLUMN "&amp;$H315&amp;" TYPE "&amp;$Q315&amp;IF(ISBLANK(R315),"",R315)&amp;";"</f>
        <v>ALTER TABLE TB_QESTNAR_GROUP ALTER COLUMN LPT_GDCC_SET_YN TYPE BPCHAR(1);</v>
      </c>
      <c r="AH315" s="131" t="str">
        <f t="shared" ref="AH315" si="148">"ALTER TABLE "&amp;$E315&amp;" ADD COLUMN "&amp;$H315&amp;" "&amp;$Q315&amp;IF(ISBLANK(R315),"",$R315)&amp;IF(ISBLANK($J315),""," NOT NULL")&amp;IF(ISBLANK($S315),""," DEFAULT " &amp; $S315 ) &amp; ";"</f>
        <v>ALTER TABLE TB_QESTNAR_GROUP ADD COLUMN LPT_GDCC_SET_YN BPCHAR(1);</v>
      </c>
      <c r="AI315" s="125" t="str">
        <f t="shared" si="130"/>
        <v>ALTER TABLE TB_QESTNAR_GROUP DROP COLUMN LPT_GDCC_SET_YN;</v>
      </c>
    </row>
    <row r="316" spans="2:35" ht="20.100000000000001" customHeight="1">
      <c r="B316" s="55">
        <v>304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5</v>
      </c>
      <c r="H316" s="97" t="s">
        <v>849</v>
      </c>
      <c r="I316" s="97" t="s">
        <v>851</v>
      </c>
      <c r="J316" s="73"/>
      <c r="K316" s="69"/>
      <c r="L316" s="69"/>
      <c r="M316" s="69"/>
      <c r="N316" s="69"/>
      <c r="O316" s="69"/>
      <c r="P316" s="69"/>
      <c r="Q316" s="100" t="s">
        <v>171</v>
      </c>
      <c r="R316" s="119"/>
      <c r="S316" s="82"/>
      <c r="T316" s="97" t="s">
        <v>853</v>
      </c>
      <c r="U316" s="123"/>
      <c r="V316" s="123"/>
      <c r="W316" s="104" t="s">
        <v>855</v>
      </c>
      <c r="X316" s="85"/>
      <c r="Y316" s="123"/>
      <c r="Z316" s="130" t="str">
        <f t="shared" si="125"/>
        <v>/* 테이블 : 설문조사그룹 */ CREATE TABLE TB_QESTNAR_GROUP (</v>
      </c>
      <c r="AA316" s="125" t="str">
        <f t="shared" si="137"/>
        <v>LPT_GDCC TEXT,</v>
      </c>
      <c r="AB316" s="125" t="str">
        <f t="shared" si="138"/>
        <v/>
      </c>
      <c r="AC316" s="125" t="str">
        <f t="shared" si="139"/>
        <v/>
      </c>
      <c r="AD316" s="125" t="str">
        <f t="shared" si="140"/>
        <v/>
      </c>
      <c r="AE316" s="125" t="str">
        <f t="shared" si="126"/>
        <v/>
      </c>
      <c r="AF316" s="125" t="str">
        <f t="shared" si="127"/>
        <v>COMMENT ON COLUMN TB_QESTNAR_GROUP.LPT_GDCC IS '하단 안내문' ;</v>
      </c>
      <c r="AG316" s="125" t="str">
        <f t="shared" si="141"/>
        <v>ALTER TABLE TB_QESTNAR_GROUP ALTER COLUMN LPT_GDCC TYPE TEXT;</v>
      </c>
      <c r="AH316" s="131" t="str">
        <f t="shared" si="142"/>
        <v>ALTER TABLE TB_QESTNAR_GROUP ADD COLUMN LPT_GDCC TEXT;</v>
      </c>
      <c r="AI316" s="125" t="str">
        <f t="shared" si="130"/>
        <v>ALTER TABLE TB_QESTNAR_GROUP DROP COLUMN LPT_GDCC;</v>
      </c>
    </row>
    <row r="317" spans="2:35" ht="20.100000000000001" customHeight="1">
      <c r="B317" s="135">
        <v>305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6</v>
      </c>
      <c r="H317" s="97" t="s">
        <v>646</v>
      </c>
      <c r="I317" s="97" t="s">
        <v>844</v>
      </c>
      <c r="J317" s="73" t="s">
        <v>72</v>
      </c>
      <c r="K317" s="69"/>
      <c r="L317" s="69"/>
      <c r="M317" s="69"/>
      <c r="N317" s="69"/>
      <c r="O317" s="69"/>
      <c r="P317" s="69"/>
      <c r="Q317" s="51" t="s">
        <v>800</v>
      </c>
      <c r="R317" s="119" t="s">
        <v>522</v>
      </c>
      <c r="S317" s="82"/>
      <c r="T317" s="107" t="s">
        <v>647</v>
      </c>
      <c r="U317" s="123"/>
      <c r="V317" s="123" t="s">
        <v>648</v>
      </c>
      <c r="W317" s="104"/>
      <c r="X317" s="85"/>
      <c r="Y317" s="123"/>
      <c r="Z317" s="130" t="str">
        <f t="shared" si="125"/>
        <v>/* 테이블 : 설문조사그룹 */ CREATE TABLE TB_QESTNAR_GROUP (</v>
      </c>
      <c r="AA317" s="125" t="str">
        <f t="shared" si="119"/>
        <v>PRIVCY_YN BPCHAR(1) NOT NULL,</v>
      </c>
      <c r="AB317" s="125" t="str">
        <f t="shared" si="117"/>
        <v/>
      </c>
      <c r="AC317" s="125" t="str">
        <f t="shared" si="118"/>
        <v/>
      </c>
      <c r="AD317" s="125" t="str">
        <f t="shared" si="128"/>
        <v/>
      </c>
      <c r="AE317" s="125" t="str">
        <f t="shared" si="126"/>
        <v/>
      </c>
      <c r="AF317" s="125" t="str">
        <f t="shared" si="127"/>
        <v>COMMENT ON COLUMN TB_QESTNAR_GROUP.PRIVCY_YN IS '프라이버시 여부' ;</v>
      </c>
      <c r="AG317" s="125" t="str">
        <f t="shared" si="129"/>
        <v>ALTER TABLE TB_QESTNAR_GROUP ALTER COLUMN PRIVCY_YN TYPE BPCHAR(1);</v>
      </c>
      <c r="AH317" s="131" t="str">
        <f t="shared" si="124"/>
        <v>ALTER TABLE TB_QESTNAR_GROUP ADD COLUMN PRIVCY_YN BPCHAR(1) NOT NULL;</v>
      </c>
      <c r="AI317" s="125" t="str">
        <f t="shared" si="130"/>
        <v>ALTER TABLE TB_QESTNAR_GROUP DROP COLUMN PRIVCY_YN;</v>
      </c>
    </row>
    <row r="318" spans="2:35" ht="20.100000000000001" customHeight="1">
      <c r="B318" s="55">
        <v>306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7</v>
      </c>
      <c r="H318" s="97" t="s">
        <v>408</v>
      </c>
      <c r="I318" s="97" t="s">
        <v>641</v>
      </c>
      <c r="J318" s="73" t="s">
        <v>72</v>
      </c>
      <c r="K318" s="69"/>
      <c r="L318" s="69"/>
      <c r="M318" s="69"/>
      <c r="N318" s="69"/>
      <c r="O318" s="69"/>
      <c r="P318" s="69"/>
      <c r="Q318" s="51" t="s">
        <v>800</v>
      </c>
      <c r="R318" s="119" t="s">
        <v>522</v>
      </c>
      <c r="S318" s="82"/>
      <c r="T318" s="107" t="s">
        <v>649</v>
      </c>
      <c r="U318" s="123"/>
      <c r="V318" s="123"/>
      <c r="W318" s="104"/>
      <c r="X318" s="85"/>
      <c r="Y318" s="123"/>
      <c r="Z318" s="130" t="str">
        <f t="shared" si="125"/>
        <v>/* 테이블 : 설문조사그룹 */ CREATE TABLE TB_QESTNAR_GROUP (</v>
      </c>
      <c r="AA318" s="125" t="str">
        <f t="shared" si="119"/>
        <v>USE_YN BPCHAR(1) NOT NULL,</v>
      </c>
      <c r="AB318" s="125" t="str">
        <f t="shared" si="117"/>
        <v/>
      </c>
      <c r="AC318" s="125" t="str">
        <f t="shared" si="118"/>
        <v/>
      </c>
      <c r="AD318" s="125" t="str">
        <f t="shared" si="128"/>
        <v/>
      </c>
      <c r="AE318" s="125" t="str">
        <f t="shared" si="126"/>
        <v/>
      </c>
      <c r="AF318" s="125" t="str">
        <f t="shared" si="127"/>
        <v>COMMENT ON COLUMN TB_QESTNAR_GROUP.USE_YN IS '사용 여부' ;</v>
      </c>
      <c r="AG318" s="125" t="str">
        <f t="shared" si="129"/>
        <v>ALTER TABLE TB_QESTNAR_GROUP ALTER COLUMN USE_YN TYPE BPCHAR(1);</v>
      </c>
      <c r="AH318" s="131" t="str">
        <f t="shared" si="124"/>
        <v>ALTER TABLE TB_QESTNAR_GROUP ADD COLUMN USE_YN BPCHAR(1) NOT NULL;</v>
      </c>
      <c r="AI318" s="125" t="str">
        <f t="shared" si="130"/>
        <v>ALTER TABLE TB_QESTNAR_GROUP DROP COLUMN USE_YN;</v>
      </c>
    </row>
    <row r="319" spans="2:35" ht="20.100000000000001" customHeight="1">
      <c r="B319" s="55">
        <v>307</v>
      </c>
      <c r="C319" s="26" t="s">
        <v>7</v>
      </c>
      <c r="D319" s="26" t="s">
        <v>634</v>
      </c>
      <c r="E319" s="11" t="s">
        <v>637</v>
      </c>
      <c r="F319" s="10" t="s">
        <v>635</v>
      </c>
      <c r="G319" s="87">
        <v>8</v>
      </c>
      <c r="H319" s="97" t="s">
        <v>107</v>
      </c>
      <c r="I319" s="51" t="s">
        <v>76</v>
      </c>
      <c r="J319" s="73" t="s">
        <v>72</v>
      </c>
      <c r="K319" s="67"/>
      <c r="L319" s="67"/>
      <c r="M319" s="77"/>
      <c r="N319" s="77"/>
      <c r="O319" s="77"/>
      <c r="P319" s="77"/>
      <c r="Q319" s="100" t="s">
        <v>521</v>
      </c>
      <c r="R319" s="119" t="s">
        <v>526</v>
      </c>
      <c r="S319" s="80"/>
      <c r="T319" s="107" t="s">
        <v>219</v>
      </c>
      <c r="U319" s="123"/>
      <c r="V319" s="123"/>
      <c r="W319" s="116" t="s">
        <v>496</v>
      </c>
      <c r="X319" s="85"/>
      <c r="Y319" s="123"/>
      <c r="Z319" s="130" t="str">
        <f t="shared" si="125"/>
        <v>/* 테이블 : 설문조사그룹 */ CREATE TABLE TB_QESTNAR_GROUP (</v>
      </c>
      <c r="AA319" s="125" t="str">
        <f t="shared" si="119"/>
        <v>REGISTER_ID VARCHAR(50) NOT NULL,</v>
      </c>
      <c r="AB319" s="125" t="str">
        <f t="shared" si="117"/>
        <v/>
      </c>
      <c r="AC319" s="125" t="str">
        <f t="shared" si="118"/>
        <v/>
      </c>
      <c r="AD319" s="125" t="str">
        <f t="shared" si="128"/>
        <v/>
      </c>
      <c r="AE319" s="125" t="str">
        <f t="shared" si="126"/>
        <v/>
      </c>
      <c r="AF319" s="125" t="str">
        <f t="shared" si="127"/>
        <v>COMMENT ON COLUMN TB_QESTNAR_GROUP.REGISTER_ID IS '등록자 ID' ;</v>
      </c>
      <c r="AG319" s="125" t="str">
        <f t="shared" si="129"/>
        <v>ALTER TABLE TB_QESTNAR_GROUP ALTER COLUMN REGISTER_ID TYPE VARCHAR(50);</v>
      </c>
      <c r="AH319" s="131" t="str">
        <f t="shared" si="124"/>
        <v>ALTER TABLE TB_QESTNAR_GROUP ADD COLUMN REGISTER_ID VARCHAR(50) NOT NULL;</v>
      </c>
      <c r="AI319" s="125" t="str">
        <f t="shared" si="130"/>
        <v>ALTER TABLE TB_QESTNAR_GROUP DROP COLUMN REGISTER_ID;</v>
      </c>
    </row>
    <row r="320" spans="2:35" ht="20.100000000000001" customHeight="1">
      <c r="B320" s="55">
        <v>308</v>
      </c>
      <c r="C320" s="26" t="s">
        <v>7</v>
      </c>
      <c r="D320" s="26" t="s">
        <v>634</v>
      </c>
      <c r="E320" s="11" t="s">
        <v>637</v>
      </c>
      <c r="F320" s="10" t="s">
        <v>635</v>
      </c>
      <c r="G320" s="87">
        <v>9</v>
      </c>
      <c r="H320" s="97" t="s">
        <v>91</v>
      </c>
      <c r="I320" s="51" t="s">
        <v>77</v>
      </c>
      <c r="J320" s="73" t="s">
        <v>72</v>
      </c>
      <c r="K320" s="52"/>
      <c r="L320" s="52"/>
      <c r="M320" s="52"/>
      <c r="N320" s="52"/>
      <c r="O320" s="52"/>
      <c r="P320" s="52"/>
      <c r="Q320" s="56" t="s">
        <v>106</v>
      </c>
      <c r="R320" s="119" t="s">
        <v>527</v>
      </c>
      <c r="S320" s="80"/>
      <c r="T320" s="107" t="s">
        <v>218</v>
      </c>
      <c r="U320" s="123"/>
      <c r="V320" s="123"/>
      <c r="W320" s="104"/>
      <c r="X320" s="85"/>
      <c r="Y320" s="123"/>
      <c r="Z320" s="130" t="str">
        <f t="shared" si="125"/>
        <v>/* 테이블 : 설문조사그룹 */ CREATE TABLE TB_QESTNAR_GROUP (</v>
      </c>
      <c r="AA320" s="125" t="str">
        <f t="shared" si="119"/>
        <v>REGISTER_IP VARCHAR(100) NOT NULL,</v>
      </c>
      <c r="AB320" s="125" t="str">
        <f t="shared" si="117"/>
        <v/>
      </c>
      <c r="AC320" s="125" t="str">
        <f t="shared" si="118"/>
        <v/>
      </c>
      <c r="AD320" s="125" t="str">
        <f t="shared" si="128"/>
        <v/>
      </c>
      <c r="AE320" s="125" t="str">
        <f t="shared" si="126"/>
        <v/>
      </c>
      <c r="AF320" s="125" t="str">
        <f t="shared" si="127"/>
        <v>COMMENT ON COLUMN TB_QESTNAR_GROUP.REGISTER_IP IS '등록자 IP' ;</v>
      </c>
      <c r="AG320" s="125" t="str">
        <f t="shared" si="129"/>
        <v>ALTER TABLE TB_QESTNAR_GROUP ALTER COLUMN REGISTER_IP TYPE VARCHAR(100);</v>
      </c>
      <c r="AH320" s="131" t="str">
        <f t="shared" si="124"/>
        <v>ALTER TABLE TB_QESTNAR_GROUP ADD COLUMN REGISTER_IP VARCHAR(100) NOT NULL;</v>
      </c>
      <c r="AI320" s="125" t="str">
        <f t="shared" si="130"/>
        <v>ALTER TABLE TB_QESTNAR_GROUP DROP COLUMN REGISTER_IP;</v>
      </c>
    </row>
    <row r="321" spans="2:35" ht="20.100000000000001" customHeight="1">
      <c r="B321" s="135">
        <v>309</v>
      </c>
      <c r="C321" s="26" t="s">
        <v>7</v>
      </c>
      <c r="D321" s="26" t="s">
        <v>634</v>
      </c>
      <c r="E321" s="11" t="s">
        <v>637</v>
      </c>
      <c r="F321" s="10" t="s">
        <v>635</v>
      </c>
      <c r="G321" s="87">
        <v>10</v>
      </c>
      <c r="H321" s="97" t="s">
        <v>92</v>
      </c>
      <c r="I321" s="96" t="s">
        <v>78</v>
      </c>
      <c r="J321" s="73" t="s">
        <v>72</v>
      </c>
      <c r="K321" s="52"/>
      <c r="L321" s="52"/>
      <c r="M321" s="52"/>
      <c r="N321" s="52"/>
      <c r="O321" s="52"/>
      <c r="P321" s="52"/>
      <c r="Q321" s="51" t="s">
        <v>702</v>
      </c>
      <c r="R321" s="119"/>
      <c r="S321" s="80"/>
      <c r="T321" s="107" t="s">
        <v>217</v>
      </c>
      <c r="U321" s="123"/>
      <c r="V321" s="123"/>
      <c r="W321" s="104"/>
      <c r="X321" s="85"/>
      <c r="Y321" s="123"/>
      <c r="Z321" s="130" t="str">
        <f t="shared" si="125"/>
        <v>/* 테이블 : 설문조사그룹 */ CREATE TABLE TB_QESTNAR_GROUP (</v>
      </c>
      <c r="AA321" s="125" t="str">
        <f t="shared" si="119"/>
        <v>REG_DT TIMESTAMP NOT NULL,</v>
      </c>
      <c r="AB321" s="125" t="str">
        <f t="shared" si="117"/>
        <v/>
      </c>
      <c r="AC321" s="125" t="str">
        <f t="shared" si="118"/>
        <v/>
      </c>
      <c r="AD321" s="125" t="str">
        <f t="shared" si="128"/>
        <v/>
      </c>
      <c r="AE321" s="125" t="str">
        <f t="shared" si="126"/>
        <v/>
      </c>
      <c r="AF321" s="125" t="str">
        <f t="shared" si="127"/>
        <v>COMMENT ON COLUMN TB_QESTNAR_GROUP.REG_DT IS '등록 일시' ;</v>
      </c>
      <c r="AG321" s="125" t="str">
        <f t="shared" si="129"/>
        <v>ALTER TABLE TB_QESTNAR_GROUP ALTER COLUMN REG_DT TYPE TIMESTAMP;</v>
      </c>
      <c r="AH321" s="131" t="str">
        <f t="shared" si="124"/>
        <v>ALTER TABLE TB_QESTNAR_GROUP ADD COLUMN REG_DT TIMESTAMP NOT NULL;</v>
      </c>
      <c r="AI321" s="125" t="str">
        <f t="shared" si="130"/>
        <v>ALTER TABLE TB_QESTNAR_GROUP DROP COLUMN REG_DT;</v>
      </c>
    </row>
    <row r="322" spans="2:35" ht="20.100000000000001" customHeight="1">
      <c r="B322" s="55">
        <v>310</v>
      </c>
      <c r="C322" s="26" t="s">
        <v>7</v>
      </c>
      <c r="D322" s="26" t="s">
        <v>634</v>
      </c>
      <c r="E322" s="11" t="s">
        <v>637</v>
      </c>
      <c r="F322" s="10" t="s">
        <v>635</v>
      </c>
      <c r="G322" s="87">
        <v>11</v>
      </c>
      <c r="H322" s="97" t="s">
        <v>93</v>
      </c>
      <c r="I322" s="96" t="s">
        <v>80</v>
      </c>
      <c r="J322" s="52"/>
      <c r="K322" s="52"/>
      <c r="L322" s="52"/>
      <c r="M322" s="79"/>
      <c r="N322" s="79"/>
      <c r="O322" s="79"/>
      <c r="P322" s="79"/>
      <c r="Q322" s="100" t="s">
        <v>521</v>
      </c>
      <c r="R322" s="119" t="s">
        <v>526</v>
      </c>
      <c r="S322" s="80"/>
      <c r="T322" s="107" t="s">
        <v>216</v>
      </c>
      <c r="U322" s="123"/>
      <c r="V322" s="123"/>
      <c r="W322" s="116" t="s">
        <v>496</v>
      </c>
      <c r="X322" s="85"/>
      <c r="Y322" s="123"/>
      <c r="Z322" s="130" t="str">
        <f t="shared" si="125"/>
        <v>/* 테이블 : 설문조사그룹 */ CREATE TABLE TB_QESTNAR_GROUP (</v>
      </c>
      <c r="AA322" s="125" t="str">
        <f t="shared" si="119"/>
        <v>UPDUSR_ID VARCHAR(50),</v>
      </c>
      <c r="AB322" s="125" t="str">
        <f t="shared" si="117"/>
        <v/>
      </c>
      <c r="AC322" s="125" t="str">
        <f t="shared" si="118"/>
        <v/>
      </c>
      <c r="AD322" s="125" t="str">
        <f t="shared" si="128"/>
        <v/>
      </c>
      <c r="AE322" s="125" t="str">
        <f t="shared" si="126"/>
        <v/>
      </c>
      <c r="AF322" s="125" t="str">
        <f t="shared" si="127"/>
        <v>COMMENT ON COLUMN TB_QESTNAR_GROUP.UPDUSR_ID IS '수정자 ID' ;</v>
      </c>
      <c r="AG322" s="125" t="str">
        <f t="shared" si="129"/>
        <v>ALTER TABLE TB_QESTNAR_GROUP ALTER COLUMN UPDUSR_ID TYPE VARCHAR(50);</v>
      </c>
      <c r="AH322" s="131" t="str">
        <f t="shared" si="124"/>
        <v>ALTER TABLE TB_QESTNAR_GROUP ADD COLUMN UPDUSR_ID VARCHAR(50);</v>
      </c>
      <c r="AI322" s="125" t="str">
        <f t="shared" si="130"/>
        <v>ALTER TABLE TB_QESTNAR_GROUP DROP COLUMN UPDUSR_ID;</v>
      </c>
    </row>
    <row r="323" spans="2:35" ht="20.100000000000001" customHeight="1">
      <c r="B323" s="55">
        <v>311</v>
      </c>
      <c r="C323" s="26" t="s">
        <v>7</v>
      </c>
      <c r="D323" s="26" t="s">
        <v>634</v>
      </c>
      <c r="E323" s="11" t="s">
        <v>637</v>
      </c>
      <c r="F323" s="10" t="s">
        <v>635</v>
      </c>
      <c r="G323" s="87">
        <v>12</v>
      </c>
      <c r="H323" s="97" t="s">
        <v>94</v>
      </c>
      <c r="I323" s="96" t="s">
        <v>79</v>
      </c>
      <c r="J323" s="52"/>
      <c r="K323" s="52"/>
      <c r="L323" s="52"/>
      <c r="M323" s="52"/>
      <c r="N323" s="52"/>
      <c r="O323" s="52"/>
      <c r="P323" s="52"/>
      <c r="Q323" s="56" t="s">
        <v>106</v>
      </c>
      <c r="R323" s="119" t="s">
        <v>527</v>
      </c>
      <c r="S323" s="80"/>
      <c r="T323" s="107" t="s">
        <v>215</v>
      </c>
      <c r="U323" s="123"/>
      <c r="V323" s="123"/>
      <c r="W323" s="104"/>
      <c r="X323" s="85"/>
      <c r="Y323" s="123"/>
      <c r="Z323" s="130" t="str">
        <f t="shared" si="125"/>
        <v>/* 테이블 : 설문조사그룹 */ CREATE TABLE TB_QESTNAR_GROUP (</v>
      </c>
      <c r="AA323" s="125" t="str">
        <f t="shared" si="119"/>
        <v>UPDUSR_IP VARCHAR(100),</v>
      </c>
      <c r="AB323" s="125" t="str">
        <f t="shared" si="117"/>
        <v/>
      </c>
      <c r="AC323" s="125" t="str">
        <f t="shared" si="118"/>
        <v/>
      </c>
      <c r="AD323" s="125" t="str">
        <f t="shared" si="128"/>
        <v/>
      </c>
      <c r="AE323" s="125" t="str">
        <f t="shared" si="126"/>
        <v/>
      </c>
      <c r="AF323" s="125" t="str">
        <f t="shared" si="127"/>
        <v>COMMENT ON COLUMN TB_QESTNAR_GROUP.UPDUSR_IP IS '수정자 IP' ;</v>
      </c>
      <c r="AG323" s="125" t="str">
        <f t="shared" si="129"/>
        <v>ALTER TABLE TB_QESTNAR_GROUP ALTER COLUMN UPDUSR_IP TYPE VARCHAR(100);</v>
      </c>
      <c r="AH323" s="131" t="str">
        <f t="shared" si="124"/>
        <v>ALTER TABLE TB_QESTNAR_GROUP ADD COLUMN UPDUSR_IP VARCHAR(100);</v>
      </c>
      <c r="AI323" s="125" t="str">
        <f t="shared" si="130"/>
        <v>ALTER TABLE TB_QESTNAR_GROUP DROP COLUMN UPDUSR_IP;</v>
      </c>
    </row>
    <row r="324" spans="2:35" ht="20.100000000000001" customHeight="1">
      <c r="B324" s="55">
        <v>312</v>
      </c>
      <c r="C324" s="26" t="s">
        <v>7</v>
      </c>
      <c r="D324" s="26" t="s">
        <v>634</v>
      </c>
      <c r="E324" s="11" t="s">
        <v>637</v>
      </c>
      <c r="F324" s="10" t="s">
        <v>635</v>
      </c>
      <c r="G324" s="87">
        <v>13</v>
      </c>
      <c r="H324" s="98" t="s">
        <v>95</v>
      </c>
      <c r="I324" s="97" t="s">
        <v>81</v>
      </c>
      <c r="J324" s="61"/>
      <c r="K324" s="61"/>
      <c r="L324" s="61"/>
      <c r="M324" s="61"/>
      <c r="N324" s="61"/>
      <c r="O324" s="61"/>
      <c r="P324" s="61"/>
      <c r="Q324" s="51" t="s">
        <v>702</v>
      </c>
      <c r="R324" s="119"/>
      <c r="S324" s="77"/>
      <c r="T324" s="107" t="s">
        <v>214</v>
      </c>
      <c r="U324" s="123"/>
      <c r="V324" s="123"/>
      <c r="W324" s="104"/>
      <c r="X324" s="85"/>
      <c r="Y324" s="123"/>
      <c r="Z324" s="130" t="str">
        <f t="shared" si="125"/>
        <v>/* 테이블 : 설문조사그룹 */ CREATE TABLE TB_QESTNAR_GROUP (</v>
      </c>
      <c r="AA324" s="125" t="str">
        <f t="shared" si="119"/>
        <v>UPDT_DT TIMESTAMP,</v>
      </c>
      <c r="AB324" s="125" t="str">
        <f t="shared" si="117"/>
        <v/>
      </c>
      <c r="AC324" s="125" t="str">
        <f t="shared" si="118"/>
        <v/>
      </c>
      <c r="AD324" s="125" t="str">
        <f t="shared" si="128"/>
        <v/>
      </c>
      <c r="AE324" s="125" t="str">
        <f t="shared" si="126"/>
        <v/>
      </c>
      <c r="AF324" s="125" t="str">
        <f t="shared" si="127"/>
        <v>COMMENT ON COLUMN TB_QESTNAR_GROUP.UPDT_DT IS '수정 일시' ;</v>
      </c>
      <c r="AG324" s="125" t="str">
        <f t="shared" si="129"/>
        <v>ALTER TABLE TB_QESTNAR_GROUP ALTER COLUMN UPDT_DT TYPE TIMESTAMP;</v>
      </c>
      <c r="AH324" s="131" t="str">
        <f t="shared" si="124"/>
        <v>ALTER TABLE TB_QESTNAR_GROUP ADD COLUMN UPDT_DT TIMESTAMP;</v>
      </c>
      <c r="AI324" s="125" t="str">
        <f t="shared" si="130"/>
        <v>ALTER TABLE TB_QESTNAR_GROUP DROP COLUMN UPDT_DT;</v>
      </c>
    </row>
    <row r="325" spans="2:35" ht="20.100000000000001" customHeight="1">
      <c r="B325" s="135">
        <v>313</v>
      </c>
      <c r="C325" s="26" t="s">
        <v>7</v>
      </c>
      <c r="D325" s="26" t="s">
        <v>634</v>
      </c>
      <c r="E325" s="11" t="s">
        <v>637</v>
      </c>
      <c r="F325" s="10" t="s">
        <v>635</v>
      </c>
      <c r="G325" s="87">
        <v>14</v>
      </c>
      <c r="H325" s="97" t="s">
        <v>96</v>
      </c>
      <c r="I325" s="97" t="s">
        <v>82</v>
      </c>
      <c r="J325" s="73" t="s">
        <v>72</v>
      </c>
      <c r="K325" s="61"/>
      <c r="L325" s="61"/>
      <c r="M325" s="61"/>
      <c r="N325" s="61"/>
      <c r="O325" s="61"/>
      <c r="P325" s="61"/>
      <c r="Q325" s="51" t="s">
        <v>800</v>
      </c>
      <c r="R325" s="119" t="s">
        <v>522</v>
      </c>
      <c r="S325" s="82" t="s">
        <v>799</v>
      </c>
      <c r="T325" s="107" t="s">
        <v>213</v>
      </c>
      <c r="U325" s="123"/>
      <c r="V325" s="123"/>
      <c r="W325" s="104"/>
      <c r="X325" s="85"/>
      <c r="Y325" s="123"/>
      <c r="Z325" s="130" t="str">
        <f t="shared" si="125"/>
        <v>/* 테이블 : 설문조사그룹 */ CREATE TABLE TB_QESTNAR_GROUP (</v>
      </c>
      <c r="AA325" s="125" t="str">
        <f t="shared" si="119"/>
        <v>DEL_YN BPCHAR(1) NOT NULL,</v>
      </c>
      <c r="AB325" s="125" t="str">
        <f t="shared" si="117"/>
        <v/>
      </c>
      <c r="AC325" s="125" t="str">
        <f t="shared" si="118"/>
        <v/>
      </c>
      <c r="AD325" s="125" t="str">
        <f t="shared" si="128"/>
        <v/>
      </c>
      <c r="AE325" s="125" t="str">
        <f t="shared" si="126"/>
        <v>ALTER TABLE TB_QESTNAR_GROUP ALTER COLUMN DEL_YN SET DEFAULT 'N'::bpchar;</v>
      </c>
      <c r="AF325" s="125" t="str">
        <f t="shared" si="127"/>
        <v>COMMENT ON COLUMN TB_QESTNAR_GROUP.DEL_YN IS '삭제 여부' ;</v>
      </c>
      <c r="AG325" s="125" t="str">
        <f t="shared" si="129"/>
        <v>ALTER TABLE TB_QESTNAR_GROUP ALTER COLUMN DEL_YN TYPE BPCHAR(1);</v>
      </c>
      <c r="AH325" s="131" t="str">
        <f t="shared" si="124"/>
        <v>ALTER TABLE TB_QESTNAR_GROUP ADD COLUMN DEL_YN BPCHAR(1) NOT NULL DEFAULT 'N'::bpchar;</v>
      </c>
      <c r="AI325" s="125" t="str">
        <f t="shared" si="130"/>
        <v>ALTER TABLE TB_QESTNAR_GROUP DROP COLUMN DEL_YN;</v>
      </c>
    </row>
    <row r="326" spans="2:35" ht="20.100000000000001" customHeight="1">
      <c r="B326" s="55">
        <v>314</v>
      </c>
      <c r="C326" s="26" t="s">
        <v>7</v>
      </c>
      <c r="D326" s="26" t="s">
        <v>634</v>
      </c>
      <c r="E326" s="11" t="s">
        <v>655</v>
      </c>
      <c r="F326" s="10" t="s">
        <v>653</v>
      </c>
      <c r="G326" s="87">
        <v>1</v>
      </c>
      <c r="H326" s="97" t="s">
        <v>656</v>
      </c>
      <c r="I326" s="97" t="s">
        <v>654</v>
      </c>
      <c r="J326" s="73" t="s">
        <v>669</v>
      </c>
      <c r="K326" s="69">
        <v>1</v>
      </c>
      <c r="L326" s="69"/>
      <c r="M326" s="69"/>
      <c r="N326" s="69"/>
      <c r="O326" s="69"/>
      <c r="P326" s="69"/>
      <c r="Q326" s="62" t="s">
        <v>644</v>
      </c>
      <c r="R326" s="119"/>
      <c r="S326" s="82"/>
      <c r="T326" s="97" t="s">
        <v>699</v>
      </c>
      <c r="U326" s="125" t="str">
        <f>"SEQ_"&amp;E326&amp;"_SN"</f>
        <v>SEQ_TB_QESTNAR_QESTN_SN</v>
      </c>
      <c r="V326" s="123"/>
      <c r="W326" s="104"/>
      <c r="X326" s="85"/>
      <c r="Y326" s="123"/>
      <c r="Z326" s="130" t="str">
        <f t="shared" si="125"/>
        <v>/* 테이블 : 설문조사질문 */ CREATE TABLE TB_QESTNAR_QESTN (</v>
      </c>
      <c r="AA326" s="125" t="str">
        <f t="shared" si="119"/>
        <v>QESTNAR_QESTN_SN INTEGER PRIMARY KEY,</v>
      </c>
      <c r="AB326" s="125" t="str">
        <f t="shared" si="117"/>
        <v/>
      </c>
      <c r="AC326" s="125" t="str">
        <f t="shared" si="118"/>
        <v>CREATE SEQUENCE SEQ_TB_QESTNAR_QESTN_SN START 100000;</v>
      </c>
      <c r="AD326" s="125" t="str">
        <f t="shared" si="128"/>
        <v>ALTER TABLE TB_QESTNAR_QESTN ALTER COLUMN QESTNAR_QESTN_SN SET DEFAULT NEXTVAL('SEQ_TB_QESTNAR_QESTN_SN');</v>
      </c>
      <c r="AE326" s="125" t="str">
        <f t="shared" si="126"/>
        <v/>
      </c>
      <c r="AF326" s="125" t="str">
        <f t="shared" si="127"/>
        <v>COMMENT ON COLUMN TB_QESTNAR_QESTN.QESTNAR_QESTN_SN IS '설문조사 질문 일련번호' ;</v>
      </c>
      <c r="AG326" s="125" t="str">
        <f t="shared" si="129"/>
        <v>ALTER TABLE TB_QESTNAR_QESTN ALTER COLUMN QESTNAR_QESTN_SN TYPE INTEGER;</v>
      </c>
      <c r="AH326" s="131" t="str">
        <f t="shared" si="124"/>
        <v>ALTER TABLE TB_QESTNAR_QESTN ADD COLUMN QESTNAR_QESTN_SN INTEGER NOT NULL;</v>
      </c>
      <c r="AI326" s="125" t="str">
        <f t="shared" si="130"/>
        <v>ALTER TABLE TB_QESTNAR_QESTN DROP COLUMN QESTNAR_QESTN_SN;</v>
      </c>
    </row>
    <row r="327" spans="2:35" ht="20.100000000000001" customHeight="1">
      <c r="B327" s="55">
        <v>315</v>
      </c>
      <c r="C327" s="26" t="s">
        <v>7</v>
      </c>
      <c r="D327" s="26" t="s">
        <v>634</v>
      </c>
      <c r="E327" s="11" t="s">
        <v>655</v>
      </c>
      <c r="F327" s="10" t="s">
        <v>653</v>
      </c>
      <c r="G327" s="87">
        <v>2</v>
      </c>
      <c r="H327" s="97" t="s">
        <v>638</v>
      </c>
      <c r="I327" s="97" t="s">
        <v>636</v>
      </c>
      <c r="J327" s="73" t="s">
        <v>669</v>
      </c>
      <c r="K327" s="69"/>
      <c r="L327" s="69">
        <v>1</v>
      </c>
      <c r="M327" s="11" t="s">
        <v>637</v>
      </c>
      <c r="N327" s="97" t="s">
        <v>638</v>
      </c>
      <c r="O327" s="96" t="s">
        <v>539</v>
      </c>
      <c r="P327" s="96" t="s">
        <v>540</v>
      </c>
      <c r="Q327" s="62" t="s">
        <v>644</v>
      </c>
      <c r="R327" s="119"/>
      <c r="S327" s="82"/>
      <c r="T327" s="97" t="s">
        <v>650</v>
      </c>
      <c r="U327" s="123"/>
      <c r="V327" s="123"/>
      <c r="W327" s="104"/>
      <c r="X327" s="85"/>
      <c r="Y327" s="123"/>
      <c r="Z327" s="130" t="str">
        <f t="shared" si="125"/>
        <v>/* 테이블 : 설문조사질문 */ CREATE TABLE TB_QESTNAR_QESTN (</v>
      </c>
      <c r="AA327" s="125" t="str">
        <f t="shared" si="119"/>
        <v>QESTNAR_GROUP_SN INTEGER NOT NULL,</v>
      </c>
      <c r="AB327" s="125" t="str">
        <f t="shared" si="117"/>
        <v>ALTER TABLE TB_QESTNAR_QESTN ADD CONSTRAINT TB_QESTNAR_QESTN_FKEY1 FOREIGN KEY(QESTNAR_GROUP_SN) REFERENCES TB_QESTNAR_GROUP(QESTNAR_GROUP_SN) ON UPDATE CASCADE ON DELETE SET NULL;</v>
      </c>
      <c r="AC327" s="125" t="str">
        <f t="shared" si="118"/>
        <v/>
      </c>
      <c r="AD327" s="125" t="str">
        <f t="shared" si="128"/>
        <v/>
      </c>
      <c r="AE327" s="125" t="str">
        <f t="shared" si="126"/>
        <v/>
      </c>
      <c r="AF327" s="125" t="str">
        <f t="shared" si="127"/>
        <v>COMMENT ON COLUMN TB_QESTNAR_QESTN.QESTNAR_GROUP_SN IS '설문조사 그룹 일련번호' ;</v>
      </c>
      <c r="AG327" s="125" t="str">
        <f t="shared" si="129"/>
        <v>ALTER TABLE TB_QESTNAR_QESTN ALTER COLUMN QESTNAR_GROUP_SN TYPE INTEGER;</v>
      </c>
      <c r="AH327" s="131" t="str">
        <f t="shared" si="124"/>
        <v>ALTER TABLE TB_QESTNAR_QESTN ADD COLUMN QESTNAR_GROUP_SN INTEGER NOT NULL;</v>
      </c>
      <c r="AI327" s="125" t="str">
        <f t="shared" si="130"/>
        <v>ALTER TABLE TB_QESTNAR_QESTN DROP COLUMN QESTNAR_GROUP_SN;</v>
      </c>
    </row>
    <row r="328" spans="2:35" ht="20.100000000000001" customHeight="1">
      <c r="B328" s="55">
        <v>316</v>
      </c>
      <c r="C328" s="26" t="s">
        <v>7</v>
      </c>
      <c r="D328" s="26" t="s">
        <v>634</v>
      </c>
      <c r="E328" s="11" t="s">
        <v>655</v>
      </c>
      <c r="F328" s="10" t="s">
        <v>653</v>
      </c>
      <c r="G328" s="87">
        <v>3</v>
      </c>
      <c r="H328" s="101" t="s">
        <v>657</v>
      </c>
      <c r="I328" s="101" t="s">
        <v>661</v>
      </c>
      <c r="J328" s="73" t="s">
        <v>72</v>
      </c>
      <c r="K328" s="45"/>
      <c r="L328" s="45"/>
      <c r="M328" s="45"/>
      <c r="N328" s="45"/>
      <c r="O328" s="45"/>
      <c r="P328" s="45"/>
      <c r="Q328" s="104" t="s">
        <v>229</v>
      </c>
      <c r="R328" s="47"/>
      <c r="S328" s="45"/>
      <c r="T328" s="101" t="s">
        <v>665</v>
      </c>
      <c r="U328" s="125"/>
      <c r="V328" s="125"/>
      <c r="W328" s="101"/>
      <c r="X328" s="45"/>
      <c r="Y328" s="78"/>
      <c r="Z328" s="130" t="str">
        <f t="shared" si="125"/>
        <v>/* 테이블 : 설문조사질문 */ CREATE TABLE TB_QESTNAR_QESTN (</v>
      </c>
      <c r="AA328" s="125" t="str">
        <f t="shared" si="119"/>
        <v>QESTNAR_QESTN_SEQ INTEGER NOT NULL,</v>
      </c>
      <c r="AB328" s="125" t="str">
        <f t="shared" si="117"/>
        <v/>
      </c>
      <c r="AC328" s="125" t="str">
        <f t="shared" si="118"/>
        <v/>
      </c>
      <c r="AD328" s="125" t="str">
        <f t="shared" si="128"/>
        <v/>
      </c>
      <c r="AE328" s="125" t="str">
        <f t="shared" si="126"/>
        <v/>
      </c>
      <c r="AF328" s="125" t="str">
        <f t="shared" si="127"/>
        <v>COMMENT ON COLUMN TB_QESTNAR_QESTN.QESTNAR_QESTN_SEQ IS '설문조사 질문 순번' ;</v>
      </c>
      <c r="AG328" s="125" t="str">
        <f t="shared" si="129"/>
        <v>ALTER TABLE TB_QESTNAR_QESTN ALTER COLUMN QESTNAR_QESTN_SEQ TYPE INTEGER;</v>
      </c>
      <c r="AH328" s="131" t="str">
        <f t="shared" si="124"/>
        <v>ALTER TABLE TB_QESTNAR_QESTN ADD COLUMN QESTNAR_QESTN_SEQ INTEGER NOT NULL;</v>
      </c>
      <c r="AI328" s="125" t="str">
        <f t="shared" si="130"/>
        <v>ALTER TABLE TB_QESTNAR_QESTN DROP COLUMN QESTNAR_QESTN_SEQ;</v>
      </c>
    </row>
    <row r="329" spans="2:35" ht="20.100000000000001" customHeight="1">
      <c r="B329" s="135">
        <v>317</v>
      </c>
      <c r="C329" s="26" t="s">
        <v>7</v>
      </c>
      <c r="D329" s="26" t="s">
        <v>634</v>
      </c>
      <c r="E329" s="11" t="s">
        <v>655</v>
      </c>
      <c r="F329" s="10" t="s">
        <v>653</v>
      </c>
      <c r="G329" s="87">
        <v>4</v>
      </c>
      <c r="H329" s="101" t="s">
        <v>658</v>
      </c>
      <c r="I329" s="101" t="s">
        <v>662</v>
      </c>
      <c r="J329" s="73" t="s">
        <v>72</v>
      </c>
      <c r="K329" s="45"/>
      <c r="L329" s="45"/>
      <c r="M329" s="45"/>
      <c r="N329" s="45"/>
      <c r="O329" s="45"/>
      <c r="P329" s="45"/>
      <c r="Q329" s="101" t="s">
        <v>106</v>
      </c>
      <c r="R329" s="119" t="s">
        <v>526</v>
      </c>
      <c r="S329" s="45"/>
      <c r="T329" s="101" t="s">
        <v>666</v>
      </c>
      <c r="U329" s="78"/>
      <c r="V329" s="78"/>
      <c r="W329" s="101" t="s">
        <v>208</v>
      </c>
      <c r="X329" s="45"/>
      <c r="Y329" s="78" t="s">
        <v>846</v>
      </c>
      <c r="Z329" s="130" t="str">
        <f t="shared" si="125"/>
        <v>/* 테이블 : 설문조사질문 */ CREATE TABLE TB_QESTNAR_QESTN (</v>
      </c>
      <c r="AA329" s="125" t="str">
        <f t="shared" si="119"/>
        <v>QESTNAR_QESTN_ITEM_TY_CD VARCHAR(50) NOT NULL,</v>
      </c>
      <c r="AB329" s="125" t="str">
        <f t="shared" si="117"/>
        <v/>
      </c>
      <c r="AC329" s="125" t="str">
        <f t="shared" si="118"/>
        <v/>
      </c>
      <c r="AD329" s="125" t="str">
        <f t="shared" si="128"/>
        <v/>
      </c>
      <c r="AE329" s="125" t="str">
        <f t="shared" si="126"/>
        <v/>
      </c>
      <c r="AF329" s="125" t="str">
        <f t="shared" si="127"/>
        <v>COMMENT ON COLUMN TB_QESTNAR_QESTN.QESTNAR_QESTN_ITEM_TY_CD IS '설문조사 질문 항목 유형 코드' ;</v>
      </c>
      <c r="AG329" s="125" t="str">
        <f t="shared" si="129"/>
        <v>ALTER TABLE TB_QESTNAR_QESTN ALTER COLUMN QESTNAR_QESTN_ITEM_TY_CD TYPE VARCHAR(50);</v>
      </c>
      <c r="AH329" s="131" t="str">
        <f t="shared" si="124"/>
        <v>ALTER TABLE TB_QESTNAR_QESTN ADD COLUMN QESTNAR_QESTN_ITEM_TY_CD VARCHAR(50) NOT NULL;</v>
      </c>
      <c r="AI329" s="125" t="str">
        <f t="shared" si="130"/>
        <v>ALTER TABLE TB_QESTNAR_QESTN DROP COLUMN QESTNAR_QESTN_ITEM_TY_CD;</v>
      </c>
    </row>
    <row r="330" spans="2:35" ht="20.100000000000001" customHeight="1">
      <c r="B330" s="55">
        <v>318</v>
      </c>
      <c r="C330" s="26" t="s">
        <v>7</v>
      </c>
      <c r="D330" s="26" t="s">
        <v>634</v>
      </c>
      <c r="E330" s="11" t="s">
        <v>655</v>
      </c>
      <c r="F330" s="10" t="s">
        <v>653</v>
      </c>
      <c r="G330" s="87">
        <v>5</v>
      </c>
      <c r="H330" s="101" t="s">
        <v>659</v>
      </c>
      <c r="I330" s="101" t="s">
        <v>663</v>
      </c>
      <c r="J330" s="45"/>
      <c r="K330" s="45"/>
      <c r="L330" s="45"/>
      <c r="M330" s="45"/>
      <c r="N330" s="45"/>
      <c r="O330" s="45"/>
      <c r="P330" s="45"/>
      <c r="Q330" s="101" t="s">
        <v>106</v>
      </c>
      <c r="R330" s="119" t="s">
        <v>530</v>
      </c>
      <c r="S330" s="45"/>
      <c r="T330" s="101" t="s">
        <v>667</v>
      </c>
      <c r="U330" s="78"/>
      <c r="V330" s="78"/>
      <c r="W330" s="101"/>
      <c r="X330" s="45"/>
      <c r="Y330" s="78"/>
      <c r="Z330" s="130" t="str">
        <f t="shared" si="125"/>
        <v>/* 테이블 : 설문조사질문 */ CREATE TABLE TB_QESTNAR_QESTN (</v>
      </c>
      <c r="AA330" s="125" t="str">
        <f t="shared" si="119"/>
        <v>QESTNAR_QESTN_ITEM_CN VARCHAR(2000),</v>
      </c>
      <c r="AB330" s="125" t="str">
        <f t="shared" si="117"/>
        <v/>
      </c>
      <c r="AC330" s="125" t="str">
        <f t="shared" si="118"/>
        <v/>
      </c>
      <c r="AD330" s="125" t="str">
        <f t="shared" si="128"/>
        <v/>
      </c>
      <c r="AE330" s="125" t="str">
        <f t="shared" si="126"/>
        <v/>
      </c>
      <c r="AF330" s="125" t="str">
        <f t="shared" si="127"/>
        <v>COMMENT ON COLUMN TB_QESTNAR_QESTN.QESTNAR_QESTN_ITEM_CN IS '설문조사 질문 항목' ;</v>
      </c>
      <c r="AG330" s="125" t="str">
        <f t="shared" si="129"/>
        <v>ALTER TABLE TB_QESTNAR_QESTN ALTER COLUMN QESTNAR_QESTN_ITEM_CN TYPE VARCHAR(2000);</v>
      </c>
      <c r="AH330" s="131" t="str">
        <f t="shared" si="124"/>
        <v>ALTER TABLE TB_QESTNAR_QESTN ADD COLUMN QESTNAR_QESTN_ITEM_CN VARCHAR(2000);</v>
      </c>
      <c r="AI330" s="125" t="str">
        <f t="shared" si="130"/>
        <v>ALTER TABLE TB_QESTNAR_QESTN DROP COLUMN QESTNAR_QESTN_ITEM_CN;</v>
      </c>
    </row>
    <row r="331" spans="2:35" ht="20.100000000000001" customHeight="1">
      <c r="B331" s="55">
        <v>319</v>
      </c>
      <c r="C331" s="26" t="s">
        <v>7</v>
      </c>
      <c r="D331" s="26" t="s">
        <v>634</v>
      </c>
      <c r="E331" s="11" t="s">
        <v>655</v>
      </c>
      <c r="F331" s="10" t="s">
        <v>653</v>
      </c>
      <c r="G331" s="87">
        <v>6</v>
      </c>
      <c r="H331" s="101" t="s">
        <v>660</v>
      </c>
      <c r="I331" s="101" t="s">
        <v>664</v>
      </c>
      <c r="J331" s="45" t="s">
        <v>131</v>
      </c>
      <c r="K331" s="45"/>
      <c r="L331" s="45"/>
      <c r="M331" s="45"/>
      <c r="N331" s="45"/>
      <c r="O331" s="45"/>
      <c r="P331" s="45"/>
      <c r="Q331" s="51" t="s">
        <v>800</v>
      </c>
      <c r="R331" s="119" t="s">
        <v>522</v>
      </c>
      <c r="S331" s="81"/>
      <c r="T331" s="107" t="s">
        <v>668</v>
      </c>
      <c r="U331" s="123"/>
      <c r="V331" s="123"/>
      <c r="W331" s="101" t="s">
        <v>312</v>
      </c>
      <c r="X331" s="45"/>
      <c r="Y331" s="78"/>
      <c r="Z331" s="130" t="str">
        <f t="shared" si="125"/>
        <v>/* 테이블 : 설문조사질문 */ CREATE TABLE TB_QESTNAR_QESTN (</v>
      </c>
      <c r="AA331" s="125" t="str">
        <f t="shared" si="119"/>
        <v>QESTNAR_QESTN_ESSNTL_YN BPCHAR(1) NOT NULL,</v>
      </c>
      <c r="AB331" s="125" t="str">
        <f t="shared" si="117"/>
        <v/>
      </c>
      <c r="AC331" s="125" t="str">
        <f t="shared" si="118"/>
        <v/>
      </c>
      <c r="AD331" s="125" t="str">
        <f t="shared" si="128"/>
        <v/>
      </c>
      <c r="AE331" s="125" t="str">
        <f t="shared" si="126"/>
        <v/>
      </c>
      <c r="AF331" s="125" t="str">
        <f t="shared" si="127"/>
        <v>COMMENT ON COLUMN TB_QESTNAR_QESTN.QESTNAR_QESTN_ESSNTL_YN IS '설문조사 질문 필수 여부' ;</v>
      </c>
      <c r="AG331" s="125" t="str">
        <f t="shared" si="129"/>
        <v>ALTER TABLE TB_QESTNAR_QESTN ALTER COLUMN QESTNAR_QESTN_ESSNTL_YN TYPE BPCHAR(1);</v>
      </c>
      <c r="AH331" s="131" t="str">
        <f t="shared" ref="AH331:AH395" si="149">"ALTER TABLE "&amp;$E331&amp;" ADD COLUMN "&amp;$H331&amp;" "&amp;$Q331&amp;IF(ISBLANK(R331),"",$R331)&amp;IF(ISBLANK($J331),""," NOT NULL")&amp;IF(ISBLANK($S331),""," DEFAULT " &amp; $S331 ) &amp; ";"</f>
        <v>ALTER TABLE TB_QESTNAR_QESTN ADD COLUMN QESTNAR_QESTN_ESSNTL_YN BPCHAR(1) NOT NULL;</v>
      </c>
      <c r="AI331" s="125" t="str">
        <f t="shared" si="130"/>
        <v>ALTER TABLE TB_QESTNAR_QESTN DROP COLUMN QESTNAR_QESTN_ESSNTL_YN;</v>
      </c>
    </row>
    <row r="332" spans="2:35" ht="20.100000000000001" customHeight="1">
      <c r="B332" s="55">
        <v>319</v>
      </c>
      <c r="C332" s="26" t="s">
        <v>7</v>
      </c>
      <c r="D332" s="26" t="s">
        <v>634</v>
      </c>
      <c r="E332" s="11" t="s">
        <v>655</v>
      </c>
      <c r="F332" s="10" t="s">
        <v>653</v>
      </c>
      <c r="G332" s="87">
        <v>6</v>
      </c>
      <c r="H332" s="104" t="s">
        <v>365</v>
      </c>
      <c r="I332" s="104" t="s">
        <v>367</v>
      </c>
      <c r="J332" s="85"/>
      <c r="K332" s="85"/>
      <c r="L332" s="85">
        <v>2</v>
      </c>
      <c r="M332" s="10" t="s">
        <v>364</v>
      </c>
      <c r="N332" s="96" t="s">
        <v>365</v>
      </c>
      <c r="O332" s="96" t="s">
        <v>539</v>
      </c>
      <c r="P332" s="96" t="s">
        <v>540</v>
      </c>
      <c r="Q332" s="51" t="s">
        <v>229</v>
      </c>
      <c r="R332" s="117"/>
      <c r="S332" s="81"/>
      <c r="T332" s="107" t="s">
        <v>847</v>
      </c>
      <c r="U332" s="123"/>
      <c r="V332" s="123"/>
      <c r="W332" s="101"/>
      <c r="X332" s="45"/>
      <c r="Y332" s="78"/>
      <c r="Z332" s="130" t="str">
        <f t="shared" si="125"/>
        <v>/* 테이블 : 설문조사질문 */ CREATE TABLE TB_QESTNAR_QESTN (</v>
      </c>
      <c r="AA332" s="125" t="str">
        <f t="shared" ref="AA332" si="150">H332&amp;" "&amp;Q332&amp;R332&amp;IF(ISBLANK(K332),""," PRIMARY KEY")&amp;IF(AND(ISBLANK(K332),J332="Y")," NOT NULL","")&amp;","</f>
        <v>ATCH_FILE_SN INTEGER,</v>
      </c>
      <c r="AB332" s="125" t="str">
        <f t="shared" ref="AB332" si="151">IF(ISBLANK(L332),"","ALTER TABLE " &amp; E332 &amp; " ADD CONSTRAINT " &amp; E332 &amp; "_FKEY" &amp; L332 &amp;  " FOREIGN KEY(" &amp;H332 &amp; ") REFERENCES " &amp; M332 &amp; "(" &amp; N332 &amp; ") "&amp;O332&amp;" "&amp;P332&amp;";")</f>
        <v>ALTER TABLE TB_QESTNAR_QESTN ADD CONSTRAINT TB_QESTNAR_QESTN_FKEY2 FOREIGN KEY(ATCH_FILE_SN) REFERENCES TB_ATCH_FILE(ATCH_FILE_SN) ON UPDATE CASCADE ON DELETE SET NULL;</v>
      </c>
      <c r="AC332" s="125" t="str">
        <f t="shared" ref="AC332" si="152">IF(ISBLANK(U332),"","CREATE SEQUENCE "&amp;U332&amp;" START 100000;")</f>
        <v/>
      </c>
      <c r="AD332" s="125" t="str">
        <f t="shared" ref="AD332" si="153">IF(ISBLANK(U332),"","ALTER TABLE "&amp;E332&amp;" ALTER COLUMN "&amp;H332&amp;" SET DEFAULT NEXTVAL('"&amp;U332&amp;"');")</f>
        <v/>
      </c>
      <c r="AE332" s="125" t="str">
        <f t="shared" si="126"/>
        <v/>
      </c>
      <c r="AF332" s="125" t="str">
        <f t="shared" si="127"/>
        <v>COMMENT ON COLUMN TB_QESTNAR_QESTN.ATCH_FILE_SN IS '첨부파일 일련 번호' ;</v>
      </c>
      <c r="AG332" s="125" t="str">
        <f t="shared" ref="AG332" si="154">"ALTER TABLE "&amp;$E332&amp;" ALTER COLUMN "&amp;$H332&amp;" TYPE "&amp;$Q332&amp;IF(ISBLANK(R332),"",R332)&amp;";"</f>
        <v>ALTER TABLE TB_QESTNAR_QESTN ALTER COLUMN ATCH_FILE_SN TYPE INTEGER;</v>
      </c>
      <c r="AH332" s="131" t="str">
        <f t="shared" ref="AH332" si="155">"ALTER TABLE "&amp;$E332&amp;" ADD COLUMN "&amp;$H332&amp;" "&amp;$Q332&amp;IF(ISBLANK(R332),"",$R332)&amp;IF(ISBLANK($J332),""," NOT NULL")&amp;IF(ISBLANK($S332),""," DEFAULT " &amp; $S332 ) &amp; ";"</f>
        <v>ALTER TABLE TB_QESTNAR_QESTN ADD COLUMN ATCH_FILE_SN INTEGER;</v>
      </c>
      <c r="AI332" s="125" t="str">
        <f t="shared" si="130"/>
        <v>ALTER TABLE TB_QESTNAR_QESTN DROP COLUMN ATCH_FILE_SN;</v>
      </c>
    </row>
    <row r="333" spans="2:35" ht="20.100000000000001" customHeight="1">
      <c r="B333" s="55">
        <v>320</v>
      </c>
      <c r="C333" s="26" t="s">
        <v>7</v>
      </c>
      <c r="D333" s="26" t="s">
        <v>634</v>
      </c>
      <c r="E333" s="11" t="s">
        <v>655</v>
      </c>
      <c r="F333" s="10" t="s">
        <v>653</v>
      </c>
      <c r="G333" s="87">
        <v>7</v>
      </c>
      <c r="H333" s="97" t="s">
        <v>107</v>
      </c>
      <c r="I333" s="51" t="s">
        <v>76</v>
      </c>
      <c r="J333" s="73" t="s">
        <v>72</v>
      </c>
      <c r="K333" s="67"/>
      <c r="L333" s="67"/>
      <c r="M333" s="77"/>
      <c r="N333" s="77"/>
      <c r="O333" s="77"/>
      <c r="P333" s="77"/>
      <c r="Q333" s="100" t="s">
        <v>521</v>
      </c>
      <c r="R333" s="119" t="s">
        <v>526</v>
      </c>
      <c r="S333" s="80"/>
      <c r="T333" s="107" t="s">
        <v>219</v>
      </c>
      <c r="U333" s="123"/>
      <c r="V333" s="123"/>
      <c r="W333" s="116" t="s">
        <v>496</v>
      </c>
      <c r="X333" s="85"/>
      <c r="Y333" s="123"/>
      <c r="Z333" s="130" t="str">
        <f t="shared" si="125"/>
        <v>/* 테이블 : 설문조사질문 */ CREATE TABLE TB_QESTNAR_QESTN (</v>
      </c>
      <c r="AA333" s="125" t="str">
        <f t="shared" si="119"/>
        <v>REGISTER_ID VARCHAR(50) NOT NULL,</v>
      </c>
      <c r="AB333" s="125" t="str">
        <f t="shared" si="117"/>
        <v/>
      </c>
      <c r="AC333" s="125" t="str">
        <f t="shared" si="118"/>
        <v/>
      </c>
      <c r="AD333" s="125" t="str">
        <f t="shared" si="128"/>
        <v/>
      </c>
      <c r="AE333" s="125" t="str">
        <f t="shared" si="126"/>
        <v/>
      </c>
      <c r="AF333" s="125" t="str">
        <f t="shared" si="127"/>
        <v>COMMENT ON COLUMN TB_QESTNAR_QESTN.REGISTER_ID IS '등록자 ID' ;</v>
      </c>
      <c r="AG333" s="125" t="str">
        <f t="shared" si="129"/>
        <v>ALTER TABLE TB_QESTNAR_QESTN ALTER COLUMN REGISTER_ID TYPE VARCHAR(50);</v>
      </c>
      <c r="AH333" s="131" t="str">
        <f t="shared" si="149"/>
        <v>ALTER TABLE TB_QESTNAR_QESTN ADD COLUMN REGISTER_ID VARCHAR(50) NOT NULL;</v>
      </c>
      <c r="AI333" s="125" t="str">
        <f t="shared" si="130"/>
        <v>ALTER TABLE TB_QESTNAR_QESTN DROP COLUMN REGISTER_ID;</v>
      </c>
    </row>
    <row r="334" spans="2:35" ht="20.100000000000001" customHeight="1">
      <c r="B334" s="135">
        <v>321</v>
      </c>
      <c r="C334" s="26" t="s">
        <v>7</v>
      </c>
      <c r="D334" s="26" t="s">
        <v>634</v>
      </c>
      <c r="E334" s="11" t="s">
        <v>655</v>
      </c>
      <c r="F334" s="10" t="s">
        <v>653</v>
      </c>
      <c r="G334" s="87">
        <v>8</v>
      </c>
      <c r="H334" s="97" t="s">
        <v>91</v>
      </c>
      <c r="I334" s="51" t="s">
        <v>77</v>
      </c>
      <c r="J334" s="73" t="s">
        <v>72</v>
      </c>
      <c r="K334" s="52"/>
      <c r="L334" s="52"/>
      <c r="M334" s="52"/>
      <c r="N334" s="52"/>
      <c r="O334" s="52"/>
      <c r="P334" s="52"/>
      <c r="Q334" s="56" t="s">
        <v>106</v>
      </c>
      <c r="R334" s="119" t="s">
        <v>527</v>
      </c>
      <c r="S334" s="80"/>
      <c r="T334" s="107" t="s">
        <v>218</v>
      </c>
      <c r="U334" s="123"/>
      <c r="V334" s="123"/>
      <c r="W334" s="104"/>
      <c r="X334" s="85"/>
      <c r="Y334" s="123"/>
      <c r="Z334" s="130" t="str">
        <f t="shared" si="125"/>
        <v>/* 테이블 : 설문조사질문 */ CREATE TABLE TB_QESTNAR_QESTN (</v>
      </c>
      <c r="AA334" s="125" t="str">
        <f t="shared" si="119"/>
        <v>REGISTER_IP VARCHAR(100) NOT NULL,</v>
      </c>
      <c r="AB334" s="125" t="str">
        <f t="shared" si="117"/>
        <v/>
      </c>
      <c r="AC334" s="125" t="str">
        <f t="shared" si="118"/>
        <v/>
      </c>
      <c r="AD334" s="125" t="str">
        <f t="shared" si="128"/>
        <v/>
      </c>
      <c r="AE334" s="125" t="str">
        <f t="shared" si="126"/>
        <v/>
      </c>
      <c r="AF334" s="125" t="str">
        <f t="shared" si="127"/>
        <v>COMMENT ON COLUMN TB_QESTNAR_QESTN.REGISTER_IP IS '등록자 IP' ;</v>
      </c>
      <c r="AG334" s="125" t="str">
        <f t="shared" si="129"/>
        <v>ALTER TABLE TB_QESTNAR_QESTN ALTER COLUMN REGISTER_IP TYPE VARCHAR(100);</v>
      </c>
      <c r="AH334" s="131" t="str">
        <f t="shared" si="149"/>
        <v>ALTER TABLE TB_QESTNAR_QESTN ADD COLUMN REGISTER_IP VARCHAR(100) NOT NULL;</v>
      </c>
      <c r="AI334" s="125" t="str">
        <f t="shared" si="130"/>
        <v>ALTER TABLE TB_QESTNAR_QESTN DROP COLUMN REGISTER_IP;</v>
      </c>
    </row>
    <row r="335" spans="2:35" ht="20.100000000000001" customHeight="1">
      <c r="B335" s="55">
        <v>322</v>
      </c>
      <c r="C335" s="26" t="s">
        <v>7</v>
      </c>
      <c r="D335" s="26" t="s">
        <v>634</v>
      </c>
      <c r="E335" s="11" t="s">
        <v>655</v>
      </c>
      <c r="F335" s="10" t="s">
        <v>653</v>
      </c>
      <c r="G335" s="87">
        <v>9</v>
      </c>
      <c r="H335" s="97" t="s">
        <v>92</v>
      </c>
      <c r="I335" s="96" t="s">
        <v>78</v>
      </c>
      <c r="J335" s="73" t="s">
        <v>72</v>
      </c>
      <c r="K335" s="52"/>
      <c r="L335" s="52"/>
      <c r="M335" s="52"/>
      <c r="N335" s="52"/>
      <c r="O335" s="52"/>
      <c r="P335" s="52"/>
      <c r="Q335" s="51" t="s">
        <v>702</v>
      </c>
      <c r="R335" s="119"/>
      <c r="S335" s="80"/>
      <c r="T335" s="107" t="s">
        <v>217</v>
      </c>
      <c r="U335" s="123"/>
      <c r="V335" s="123"/>
      <c r="W335" s="104"/>
      <c r="X335" s="85"/>
      <c r="Y335" s="123"/>
      <c r="Z335" s="130" t="str">
        <f t="shared" si="125"/>
        <v>/* 테이블 : 설문조사질문 */ CREATE TABLE TB_QESTNAR_QESTN (</v>
      </c>
      <c r="AA335" s="125" t="str">
        <f t="shared" si="119"/>
        <v>REG_DT TIMESTAMP NOT NULL,</v>
      </c>
      <c r="AB335" s="125" t="str">
        <f t="shared" si="117"/>
        <v/>
      </c>
      <c r="AC335" s="125" t="str">
        <f t="shared" si="118"/>
        <v/>
      </c>
      <c r="AD335" s="125" t="str">
        <f t="shared" si="128"/>
        <v/>
      </c>
      <c r="AE335" s="125" t="str">
        <f t="shared" si="126"/>
        <v/>
      </c>
      <c r="AF335" s="125" t="str">
        <f t="shared" si="127"/>
        <v>COMMENT ON COLUMN TB_QESTNAR_QESTN.REG_DT IS '등록 일시' ;</v>
      </c>
      <c r="AG335" s="125" t="str">
        <f t="shared" si="129"/>
        <v>ALTER TABLE TB_QESTNAR_QESTN ALTER COLUMN REG_DT TYPE TIMESTAMP;</v>
      </c>
      <c r="AH335" s="131" t="str">
        <f t="shared" si="149"/>
        <v>ALTER TABLE TB_QESTNAR_QESTN ADD COLUMN REG_DT TIMESTAMP NOT NULL;</v>
      </c>
      <c r="AI335" s="125" t="str">
        <f t="shared" si="130"/>
        <v>ALTER TABLE TB_QESTNAR_QESTN DROP COLUMN REG_DT;</v>
      </c>
    </row>
    <row r="336" spans="2:35" ht="20.100000000000001" customHeight="1">
      <c r="B336" s="55">
        <v>323</v>
      </c>
      <c r="C336" s="26" t="s">
        <v>7</v>
      </c>
      <c r="D336" s="26" t="s">
        <v>634</v>
      </c>
      <c r="E336" s="11" t="s">
        <v>655</v>
      </c>
      <c r="F336" s="10" t="s">
        <v>653</v>
      </c>
      <c r="G336" s="87">
        <v>10</v>
      </c>
      <c r="H336" s="97" t="s">
        <v>93</v>
      </c>
      <c r="I336" s="96" t="s">
        <v>80</v>
      </c>
      <c r="J336" s="52"/>
      <c r="K336" s="52"/>
      <c r="L336" s="52"/>
      <c r="M336" s="79"/>
      <c r="N336" s="79"/>
      <c r="O336" s="79"/>
      <c r="P336" s="79"/>
      <c r="Q336" s="100" t="s">
        <v>521</v>
      </c>
      <c r="R336" s="119" t="s">
        <v>526</v>
      </c>
      <c r="S336" s="80"/>
      <c r="T336" s="107" t="s">
        <v>216</v>
      </c>
      <c r="U336" s="123"/>
      <c r="V336" s="123"/>
      <c r="W336" s="116" t="s">
        <v>496</v>
      </c>
      <c r="X336" s="85"/>
      <c r="Y336" s="123"/>
      <c r="Z336" s="130" t="str">
        <f t="shared" si="125"/>
        <v>/* 테이블 : 설문조사질문 */ CREATE TABLE TB_QESTNAR_QESTN (</v>
      </c>
      <c r="AA336" s="125" t="str">
        <f t="shared" si="119"/>
        <v>UPDUSR_ID VARCHAR(50),</v>
      </c>
      <c r="AB336" s="125" t="str">
        <f t="shared" si="117"/>
        <v/>
      </c>
      <c r="AC336" s="125" t="str">
        <f t="shared" si="118"/>
        <v/>
      </c>
      <c r="AD336" s="125" t="str">
        <f t="shared" si="128"/>
        <v/>
      </c>
      <c r="AE336" s="125" t="str">
        <f t="shared" si="126"/>
        <v/>
      </c>
      <c r="AF336" s="125" t="str">
        <f t="shared" si="127"/>
        <v>COMMENT ON COLUMN TB_QESTNAR_QESTN.UPDUSR_ID IS '수정자 ID' ;</v>
      </c>
      <c r="AG336" s="125" t="str">
        <f t="shared" si="129"/>
        <v>ALTER TABLE TB_QESTNAR_QESTN ALTER COLUMN UPDUSR_ID TYPE VARCHAR(50);</v>
      </c>
      <c r="AH336" s="131" t="str">
        <f t="shared" si="149"/>
        <v>ALTER TABLE TB_QESTNAR_QESTN ADD COLUMN UPDUSR_ID VARCHAR(50);</v>
      </c>
      <c r="AI336" s="125" t="str">
        <f t="shared" si="130"/>
        <v>ALTER TABLE TB_QESTNAR_QESTN DROP COLUMN UPDUSR_ID;</v>
      </c>
    </row>
    <row r="337" spans="2:35" ht="20.100000000000001" customHeight="1">
      <c r="B337" s="55">
        <v>324</v>
      </c>
      <c r="C337" s="26" t="s">
        <v>7</v>
      </c>
      <c r="D337" s="26" t="s">
        <v>634</v>
      </c>
      <c r="E337" s="11" t="s">
        <v>655</v>
      </c>
      <c r="F337" s="10" t="s">
        <v>653</v>
      </c>
      <c r="G337" s="87">
        <v>11</v>
      </c>
      <c r="H337" s="97" t="s">
        <v>94</v>
      </c>
      <c r="I337" s="96" t="s">
        <v>79</v>
      </c>
      <c r="J337" s="52"/>
      <c r="K337" s="52"/>
      <c r="L337" s="52"/>
      <c r="M337" s="52"/>
      <c r="N337" s="52"/>
      <c r="O337" s="52"/>
      <c r="P337" s="52"/>
      <c r="Q337" s="56" t="s">
        <v>106</v>
      </c>
      <c r="R337" s="119" t="s">
        <v>527</v>
      </c>
      <c r="S337" s="80"/>
      <c r="T337" s="107" t="s">
        <v>215</v>
      </c>
      <c r="U337" s="123"/>
      <c r="V337" s="123"/>
      <c r="W337" s="104"/>
      <c r="X337" s="85"/>
      <c r="Y337" s="123"/>
      <c r="Z337" s="130" t="str">
        <f t="shared" si="125"/>
        <v>/* 테이블 : 설문조사질문 */ CREATE TABLE TB_QESTNAR_QESTN (</v>
      </c>
      <c r="AA337" s="125" t="str">
        <f t="shared" si="119"/>
        <v>UPDUSR_IP VARCHAR(100),</v>
      </c>
      <c r="AB337" s="125" t="str">
        <f t="shared" si="117"/>
        <v/>
      </c>
      <c r="AC337" s="125" t="str">
        <f t="shared" si="118"/>
        <v/>
      </c>
      <c r="AD337" s="125" t="str">
        <f t="shared" si="128"/>
        <v/>
      </c>
      <c r="AE337" s="125" t="str">
        <f t="shared" si="126"/>
        <v/>
      </c>
      <c r="AF337" s="125" t="str">
        <f t="shared" si="127"/>
        <v>COMMENT ON COLUMN TB_QESTNAR_QESTN.UPDUSR_IP IS '수정자 IP' ;</v>
      </c>
      <c r="AG337" s="125" t="str">
        <f t="shared" si="129"/>
        <v>ALTER TABLE TB_QESTNAR_QESTN ALTER COLUMN UPDUSR_IP TYPE VARCHAR(100);</v>
      </c>
      <c r="AH337" s="131" t="str">
        <f t="shared" si="149"/>
        <v>ALTER TABLE TB_QESTNAR_QESTN ADD COLUMN UPDUSR_IP VARCHAR(100);</v>
      </c>
      <c r="AI337" s="125" t="str">
        <f t="shared" si="130"/>
        <v>ALTER TABLE TB_QESTNAR_QESTN DROP COLUMN UPDUSR_IP;</v>
      </c>
    </row>
    <row r="338" spans="2:35" ht="20.100000000000001" customHeight="1">
      <c r="B338" s="135">
        <v>325</v>
      </c>
      <c r="C338" s="26" t="s">
        <v>7</v>
      </c>
      <c r="D338" s="26" t="s">
        <v>634</v>
      </c>
      <c r="E338" s="11" t="s">
        <v>655</v>
      </c>
      <c r="F338" s="10" t="s">
        <v>653</v>
      </c>
      <c r="G338" s="87">
        <v>12</v>
      </c>
      <c r="H338" s="98" t="s">
        <v>95</v>
      </c>
      <c r="I338" s="97" t="s">
        <v>81</v>
      </c>
      <c r="J338" s="61"/>
      <c r="K338" s="61"/>
      <c r="L338" s="61"/>
      <c r="M338" s="61"/>
      <c r="N338" s="61"/>
      <c r="O338" s="61"/>
      <c r="P338" s="61"/>
      <c r="Q338" s="51" t="s">
        <v>702</v>
      </c>
      <c r="R338" s="119"/>
      <c r="S338" s="77"/>
      <c r="T338" s="107" t="s">
        <v>214</v>
      </c>
      <c r="U338" s="123"/>
      <c r="V338" s="123"/>
      <c r="W338" s="104"/>
      <c r="X338" s="85"/>
      <c r="Y338" s="123"/>
      <c r="Z338" s="130" t="str">
        <f t="shared" si="125"/>
        <v>/* 테이블 : 설문조사질문 */ CREATE TABLE TB_QESTNAR_QESTN (</v>
      </c>
      <c r="AA338" s="125" t="str">
        <f t="shared" si="119"/>
        <v>UPDT_DT TIMESTAMP,</v>
      </c>
      <c r="AB338" s="125" t="str">
        <f t="shared" si="117"/>
        <v/>
      </c>
      <c r="AC338" s="125" t="str">
        <f t="shared" si="118"/>
        <v/>
      </c>
      <c r="AD338" s="125" t="str">
        <f t="shared" si="128"/>
        <v/>
      </c>
      <c r="AE338" s="125" t="str">
        <f t="shared" si="126"/>
        <v/>
      </c>
      <c r="AF338" s="125" t="str">
        <f t="shared" si="127"/>
        <v>COMMENT ON COLUMN TB_QESTNAR_QESTN.UPDT_DT IS '수정 일시' ;</v>
      </c>
      <c r="AG338" s="125" t="str">
        <f t="shared" si="129"/>
        <v>ALTER TABLE TB_QESTNAR_QESTN ALTER COLUMN UPDT_DT TYPE TIMESTAMP;</v>
      </c>
      <c r="AH338" s="131" t="str">
        <f t="shared" si="149"/>
        <v>ALTER TABLE TB_QESTNAR_QESTN ADD COLUMN UPDT_DT TIMESTAMP;</v>
      </c>
      <c r="AI338" s="125" t="str">
        <f t="shared" si="130"/>
        <v>ALTER TABLE TB_QESTNAR_QESTN DROP COLUMN UPDT_DT;</v>
      </c>
    </row>
    <row r="339" spans="2:35" ht="20.100000000000001" customHeight="1">
      <c r="B339" s="55">
        <v>326</v>
      </c>
      <c r="C339" s="26" t="s">
        <v>7</v>
      </c>
      <c r="D339" s="26" t="s">
        <v>634</v>
      </c>
      <c r="E339" s="11" t="s">
        <v>655</v>
      </c>
      <c r="F339" s="10" t="s">
        <v>653</v>
      </c>
      <c r="G339" s="87">
        <v>13</v>
      </c>
      <c r="H339" s="97" t="s">
        <v>96</v>
      </c>
      <c r="I339" s="97" t="s">
        <v>82</v>
      </c>
      <c r="J339" s="73" t="s">
        <v>72</v>
      </c>
      <c r="K339" s="61"/>
      <c r="L339" s="61"/>
      <c r="M339" s="61"/>
      <c r="N339" s="61"/>
      <c r="O339" s="61"/>
      <c r="P339" s="61"/>
      <c r="Q339" s="51" t="s">
        <v>800</v>
      </c>
      <c r="R339" s="119" t="s">
        <v>522</v>
      </c>
      <c r="S339" s="82" t="s">
        <v>799</v>
      </c>
      <c r="T339" s="107" t="s">
        <v>213</v>
      </c>
      <c r="U339" s="123"/>
      <c r="V339" s="123"/>
      <c r="W339" s="104"/>
      <c r="X339" s="85"/>
      <c r="Y339" s="123"/>
      <c r="Z339" s="130" t="str">
        <f t="shared" si="125"/>
        <v>/* 테이블 : 설문조사질문 */ CREATE TABLE TB_QESTNAR_QESTN (</v>
      </c>
      <c r="AA339" s="125" t="str">
        <f t="shared" si="119"/>
        <v>DEL_YN BPCHAR(1) NOT NULL,</v>
      </c>
      <c r="AB339" s="125" t="str">
        <f t="shared" si="117"/>
        <v/>
      </c>
      <c r="AC339" s="125" t="str">
        <f t="shared" si="118"/>
        <v/>
      </c>
      <c r="AD339" s="125" t="str">
        <f t="shared" si="128"/>
        <v/>
      </c>
      <c r="AE339" s="125" t="str">
        <f t="shared" si="126"/>
        <v>ALTER TABLE TB_QESTNAR_QESTN ALTER COLUMN DEL_YN SET DEFAULT 'N'::bpchar;</v>
      </c>
      <c r="AF339" s="125" t="str">
        <f t="shared" si="127"/>
        <v>COMMENT ON COLUMN TB_QESTNAR_QESTN.DEL_YN IS '삭제 여부' ;</v>
      </c>
      <c r="AG339" s="125" t="str">
        <f t="shared" si="129"/>
        <v>ALTER TABLE TB_QESTNAR_QESTN ALTER COLUMN DEL_YN TYPE BPCHAR(1);</v>
      </c>
      <c r="AH339" s="131" t="str">
        <f t="shared" si="149"/>
        <v>ALTER TABLE TB_QESTNAR_QESTN ADD COLUMN DEL_YN BPCHAR(1) NOT NULL DEFAULT 'N'::bpchar;</v>
      </c>
      <c r="AI339" s="125" t="str">
        <f t="shared" si="130"/>
        <v>ALTER TABLE TB_QESTNAR_QESTN DROP COLUMN DEL_YN;</v>
      </c>
    </row>
    <row r="340" spans="2:35" ht="20.100000000000001" customHeight="1">
      <c r="B340" s="55">
        <v>327</v>
      </c>
      <c r="C340" s="26" t="s">
        <v>7</v>
      </c>
      <c r="D340" s="26" t="s">
        <v>634</v>
      </c>
      <c r="E340" s="11" t="s">
        <v>672</v>
      </c>
      <c r="F340" s="10" t="s">
        <v>671</v>
      </c>
      <c r="G340" s="87">
        <v>1</v>
      </c>
      <c r="H340" s="97" t="s">
        <v>673</v>
      </c>
      <c r="I340" s="97" t="s">
        <v>677</v>
      </c>
      <c r="J340" s="45" t="s">
        <v>131</v>
      </c>
      <c r="K340" s="45">
        <v>1</v>
      </c>
      <c r="L340" s="61"/>
      <c r="M340" s="69"/>
      <c r="N340" s="69"/>
      <c r="O340" s="69"/>
      <c r="P340" s="69"/>
      <c r="Q340" s="101" t="s">
        <v>172</v>
      </c>
      <c r="R340" s="83"/>
      <c r="S340" s="81"/>
      <c r="T340" s="97" t="s">
        <v>681</v>
      </c>
      <c r="U340" s="125" t="str">
        <f>"SEQ_"&amp;E340&amp;"_SN"</f>
        <v>SEQ_TB_QESTNAR_QESTN_DETAIL_SN</v>
      </c>
      <c r="V340" s="125"/>
      <c r="W340" s="101" t="s">
        <v>845</v>
      </c>
      <c r="X340" s="45"/>
      <c r="Y340" s="78"/>
      <c r="Z340" s="130" t="str">
        <f t="shared" ref="Z340:Z403" si="156">"/* 테이블 : "&amp; $F340 &amp;" */ CREATE TABLE "&amp;$E340&amp;" ("</f>
        <v>/* 테이블 : 설문조사질문상세 */ CREATE TABLE TB_QESTNAR_QESTN_DETAIL (</v>
      </c>
      <c r="AA340" s="125" t="str">
        <f t="shared" si="119"/>
        <v>QESTNAR_QESTN_DETAIL_SN INTEGER PRIMARY KEY,</v>
      </c>
      <c r="AB340" s="125" t="str">
        <f t="shared" si="117"/>
        <v/>
      </c>
      <c r="AC340" s="125" t="str">
        <f t="shared" si="118"/>
        <v>CREATE SEQUENCE SEQ_TB_QESTNAR_QESTN_DETAIL_SN START 100000;</v>
      </c>
      <c r="AD340" s="125" t="str">
        <f t="shared" si="128"/>
        <v>ALTER TABLE TB_QESTNAR_QESTN_DETAIL ALTER COLUMN QESTNAR_QESTN_DETAIL_SN SET DEFAULT NEXTVAL('SEQ_TB_QESTNAR_QESTN_DETAIL_SN');</v>
      </c>
      <c r="AE340" s="125" t="str">
        <f t="shared" ref="AE340:AE403" si="157">IF(ISBLANK($S340),"","ALTER TABLE " &amp; $E340 &amp; " ALTER COLUMN " &amp; $H340 &amp; " SET DEFAULT " &amp; $S340 &amp; ";")</f>
        <v/>
      </c>
      <c r="AF340" s="125" t="str">
        <f t="shared" ref="AF340:AF403" si="158">"COMMENT ON COLUMN "&amp;$E340&amp;"."&amp;$H340&amp;" IS '"&amp;$T340&amp;"' ;"</f>
        <v>COMMENT ON COLUMN TB_QESTNAR_QESTN_DETAIL.QESTNAR_QESTN_DETAIL_SN IS '설문조사 질문 상세 일련번호' ;</v>
      </c>
      <c r="AG340" s="125" t="str">
        <f t="shared" si="129"/>
        <v>ALTER TABLE TB_QESTNAR_QESTN_DETAIL ALTER COLUMN QESTNAR_QESTN_DETAIL_SN TYPE INTEGER;</v>
      </c>
      <c r="AH340" s="131" t="str">
        <f t="shared" si="149"/>
        <v>ALTER TABLE TB_QESTNAR_QESTN_DETAIL ADD COLUMN QESTNAR_QESTN_DETAIL_SN INTEGER NOT NULL;</v>
      </c>
      <c r="AI340" s="125" t="str">
        <f t="shared" si="130"/>
        <v>ALTER TABLE TB_QESTNAR_QESTN_DETAIL DROP COLUMN QESTNAR_QESTN_DETAIL_SN;</v>
      </c>
    </row>
    <row r="341" spans="2:35" ht="20.100000000000001" customHeight="1">
      <c r="B341" s="55">
        <v>328</v>
      </c>
      <c r="C341" s="26" t="s">
        <v>7</v>
      </c>
      <c r="D341" s="26" t="s">
        <v>634</v>
      </c>
      <c r="E341" s="11" t="s">
        <v>670</v>
      </c>
      <c r="F341" s="10" t="s">
        <v>671</v>
      </c>
      <c r="G341" s="87">
        <v>2</v>
      </c>
      <c r="H341" s="101" t="s">
        <v>674</v>
      </c>
      <c r="I341" s="101" t="s">
        <v>678</v>
      </c>
      <c r="J341" s="45" t="s">
        <v>131</v>
      </c>
      <c r="K341" s="45"/>
      <c r="L341" s="45">
        <v>1</v>
      </c>
      <c r="M341" s="11" t="s">
        <v>655</v>
      </c>
      <c r="N341" s="101" t="s">
        <v>674</v>
      </c>
      <c r="O341" s="95" t="s">
        <v>539</v>
      </c>
      <c r="P341" s="95" t="s">
        <v>541</v>
      </c>
      <c r="Q341" s="101" t="s">
        <v>172</v>
      </c>
      <c r="R341" s="92"/>
      <c r="S341" s="45"/>
      <c r="T341" s="101" t="s">
        <v>682</v>
      </c>
      <c r="U341" s="78"/>
      <c r="V341" s="78"/>
      <c r="W341" s="101"/>
      <c r="X341" s="45"/>
      <c r="Y341" s="78"/>
      <c r="Z341" s="130" t="str">
        <f t="shared" si="156"/>
        <v>/* 테이블 : 설문조사질문상세 */ CREATE TABLE TB_QESTNAR_QESTN_DETAIL (</v>
      </c>
      <c r="AA341" s="125" t="str">
        <f t="shared" si="119"/>
        <v>QESTNAR_QESTN_SN INTEGER NOT NULL,</v>
      </c>
      <c r="AB341" s="125" t="str">
        <f t="shared" si="117"/>
        <v>ALTER TABLE TB_QESTNAR_QESTN_DETAIL ADD CONSTRAINT TB_QESTNAR_QESTN_DETAIL_FKEY1 FOREIGN KEY(QESTNAR_QESTN_SN) REFERENCES TB_QESTNAR_QESTN(QESTNAR_QESTN_SN) ON UPDATE CASCADE ON DELETE CASCADE;</v>
      </c>
      <c r="AC341" s="125" t="str">
        <f t="shared" si="118"/>
        <v/>
      </c>
      <c r="AD341" s="125" t="str">
        <f t="shared" si="128"/>
        <v/>
      </c>
      <c r="AE341" s="125" t="str">
        <f t="shared" si="157"/>
        <v/>
      </c>
      <c r="AF341" s="125" t="str">
        <f t="shared" si="158"/>
        <v>COMMENT ON COLUMN TB_QESTNAR_QESTN_DETAIL.QESTNAR_QESTN_SN IS '설문조사 질문 일련번호' ;</v>
      </c>
      <c r="AG341" s="125" t="str">
        <f t="shared" si="129"/>
        <v>ALTER TABLE TB_QESTNAR_QESTN_DETAIL ALTER COLUMN QESTNAR_QESTN_SN TYPE INTEGER;</v>
      </c>
      <c r="AH341" s="131" t="str">
        <f t="shared" si="149"/>
        <v>ALTER TABLE TB_QESTNAR_QESTN_DETAIL ADD COLUMN QESTNAR_QESTN_SN INTEGER NOT NULL;</v>
      </c>
      <c r="AI341" s="125" t="str">
        <f t="shared" si="130"/>
        <v>ALTER TABLE TB_QESTNAR_QESTN_DETAIL DROP COLUMN QESTNAR_QESTN_SN;</v>
      </c>
    </row>
    <row r="342" spans="2:35" ht="20.100000000000001" customHeight="1">
      <c r="B342" s="135">
        <v>329</v>
      </c>
      <c r="C342" s="26" t="s">
        <v>7</v>
      </c>
      <c r="D342" s="26" t="s">
        <v>634</v>
      </c>
      <c r="E342" s="11" t="s">
        <v>670</v>
      </c>
      <c r="F342" s="10" t="s">
        <v>671</v>
      </c>
      <c r="G342" s="87">
        <v>3</v>
      </c>
      <c r="H342" s="97" t="s">
        <v>675</v>
      </c>
      <c r="I342" s="97" t="s">
        <v>679</v>
      </c>
      <c r="J342" s="73"/>
      <c r="K342" s="61"/>
      <c r="L342" s="61"/>
      <c r="M342" s="69"/>
      <c r="N342" s="69"/>
      <c r="O342" s="69"/>
      <c r="P342" s="69"/>
      <c r="Q342" s="104" t="s">
        <v>229</v>
      </c>
      <c r="R342" s="47"/>
      <c r="S342" s="81"/>
      <c r="T342" s="97" t="s">
        <v>683</v>
      </c>
      <c r="U342" s="125"/>
      <c r="V342" s="125"/>
      <c r="W342" s="101"/>
      <c r="X342" s="45"/>
      <c r="Y342" s="78"/>
      <c r="Z342" s="130" t="str">
        <f t="shared" si="156"/>
        <v>/* 테이블 : 설문조사질문상세 */ CREATE TABLE TB_QESTNAR_QESTN_DETAIL (</v>
      </c>
      <c r="AA342" s="125" t="str">
        <f t="shared" si="119"/>
        <v>QESTNAR_QESTN_DETAIL_SEQ INTEGER,</v>
      </c>
      <c r="AB342" s="125" t="str">
        <f t="shared" si="117"/>
        <v/>
      </c>
      <c r="AC342" s="125" t="str">
        <f t="shared" si="118"/>
        <v/>
      </c>
      <c r="AD342" s="125" t="str">
        <f t="shared" si="128"/>
        <v/>
      </c>
      <c r="AE342" s="125" t="str">
        <f t="shared" si="157"/>
        <v/>
      </c>
      <c r="AF342" s="125" t="str">
        <f t="shared" si="158"/>
        <v>COMMENT ON COLUMN TB_QESTNAR_QESTN_DETAIL.QESTNAR_QESTN_DETAIL_SEQ IS '설문조사 질문 상세 순번' ;</v>
      </c>
      <c r="AG342" s="125" t="str">
        <f t="shared" si="129"/>
        <v>ALTER TABLE TB_QESTNAR_QESTN_DETAIL ALTER COLUMN QESTNAR_QESTN_DETAIL_SEQ TYPE INTEGER;</v>
      </c>
      <c r="AH342" s="131" t="str">
        <f t="shared" si="149"/>
        <v>ALTER TABLE TB_QESTNAR_QESTN_DETAIL ADD COLUMN QESTNAR_QESTN_DETAIL_SEQ INTEGER;</v>
      </c>
      <c r="AI342" s="125" t="str">
        <f t="shared" si="130"/>
        <v>ALTER TABLE TB_QESTNAR_QESTN_DETAIL DROP COLUMN QESTNAR_QESTN_DETAIL_SEQ;</v>
      </c>
    </row>
    <row r="343" spans="2:35" ht="20.100000000000001" customHeight="1">
      <c r="B343" s="55">
        <v>330</v>
      </c>
      <c r="C343" s="26" t="s">
        <v>7</v>
      </c>
      <c r="D343" s="26" t="s">
        <v>634</v>
      </c>
      <c r="E343" s="11" t="s">
        <v>670</v>
      </c>
      <c r="F343" s="10" t="s">
        <v>671</v>
      </c>
      <c r="G343" s="87">
        <v>4</v>
      </c>
      <c r="H343" s="97" t="s">
        <v>676</v>
      </c>
      <c r="I343" s="97" t="s">
        <v>680</v>
      </c>
      <c r="J343" s="73"/>
      <c r="K343" s="61"/>
      <c r="L343" s="61"/>
      <c r="M343" s="61"/>
      <c r="N343" s="61"/>
      <c r="O343" s="61"/>
      <c r="P343" s="61"/>
      <c r="Q343" s="62" t="s">
        <v>106</v>
      </c>
      <c r="R343" s="119" t="s">
        <v>530</v>
      </c>
      <c r="S343" s="81"/>
      <c r="T343" s="97" t="s">
        <v>684</v>
      </c>
      <c r="U343" s="78"/>
      <c r="V343" s="78"/>
      <c r="W343" s="101"/>
      <c r="X343" s="45"/>
      <c r="Y343" s="78"/>
      <c r="Z343" s="130" t="str">
        <f t="shared" si="156"/>
        <v>/* 테이블 : 설문조사질문상세 */ CREATE TABLE TB_QESTNAR_QESTN_DETAIL (</v>
      </c>
      <c r="AA343" s="125" t="str">
        <f t="shared" si="119"/>
        <v>QESTNAR_QESTN_DETAIL_CN VARCHAR(2000),</v>
      </c>
      <c r="AB343" s="125" t="str">
        <f t="shared" si="117"/>
        <v/>
      </c>
      <c r="AC343" s="125" t="str">
        <f t="shared" si="118"/>
        <v/>
      </c>
      <c r="AD343" s="125" t="str">
        <f t="shared" si="128"/>
        <v/>
      </c>
      <c r="AE343" s="125" t="str">
        <f t="shared" si="157"/>
        <v/>
      </c>
      <c r="AF343" s="125" t="str">
        <f t="shared" si="158"/>
        <v>COMMENT ON COLUMN TB_QESTNAR_QESTN_DETAIL.QESTNAR_QESTN_DETAIL_CN IS '설문조사 질문 상세 내용' ;</v>
      </c>
      <c r="AG343" s="125" t="str">
        <f t="shared" si="129"/>
        <v>ALTER TABLE TB_QESTNAR_QESTN_DETAIL ALTER COLUMN QESTNAR_QESTN_DETAIL_CN TYPE VARCHAR(2000);</v>
      </c>
      <c r="AH343" s="131" t="str">
        <f t="shared" si="149"/>
        <v>ALTER TABLE TB_QESTNAR_QESTN_DETAIL ADD COLUMN QESTNAR_QESTN_DETAIL_CN VARCHAR(2000);</v>
      </c>
      <c r="AI343" s="125" t="str">
        <f t="shared" si="130"/>
        <v>ALTER TABLE TB_QESTNAR_QESTN_DETAIL DROP COLUMN QESTNAR_QESTN_DETAIL_CN;</v>
      </c>
    </row>
    <row r="344" spans="2:35" ht="20.100000000000001" customHeight="1">
      <c r="B344" s="55">
        <v>331</v>
      </c>
      <c r="C344" s="26" t="s">
        <v>7</v>
      </c>
      <c r="D344" s="26" t="s">
        <v>634</v>
      </c>
      <c r="E344" s="11" t="s">
        <v>670</v>
      </c>
      <c r="F344" s="10" t="s">
        <v>671</v>
      </c>
      <c r="G344" s="87">
        <v>5</v>
      </c>
      <c r="H344" s="97" t="s">
        <v>107</v>
      </c>
      <c r="I344" s="51" t="s">
        <v>76</v>
      </c>
      <c r="J344" s="73" t="s">
        <v>72</v>
      </c>
      <c r="K344" s="67"/>
      <c r="L344" s="67"/>
      <c r="M344" s="77"/>
      <c r="N344" s="77"/>
      <c r="O344" s="77"/>
      <c r="P344" s="77"/>
      <c r="Q344" s="100" t="s">
        <v>521</v>
      </c>
      <c r="R344" s="119" t="s">
        <v>526</v>
      </c>
      <c r="S344" s="80"/>
      <c r="T344" s="107" t="s">
        <v>219</v>
      </c>
      <c r="U344" s="78"/>
      <c r="V344" s="78"/>
      <c r="W344" s="116" t="s">
        <v>496</v>
      </c>
      <c r="X344" s="45"/>
      <c r="Y344" s="78"/>
      <c r="Z344" s="130" t="str">
        <f t="shared" si="156"/>
        <v>/* 테이블 : 설문조사질문상세 */ CREATE TABLE TB_QESTNAR_QESTN_DETAIL (</v>
      </c>
      <c r="AA344" s="125" t="str">
        <f t="shared" si="119"/>
        <v>REGISTER_ID VARCHAR(50) NOT NULL,</v>
      </c>
      <c r="AB344" s="125" t="str">
        <f t="shared" si="117"/>
        <v/>
      </c>
      <c r="AC344" s="125" t="str">
        <f t="shared" si="118"/>
        <v/>
      </c>
      <c r="AD344" s="125" t="str">
        <f t="shared" si="128"/>
        <v/>
      </c>
      <c r="AE344" s="125" t="str">
        <f t="shared" si="157"/>
        <v/>
      </c>
      <c r="AF344" s="125" t="str">
        <f t="shared" si="158"/>
        <v>COMMENT ON COLUMN TB_QESTNAR_QESTN_DETAIL.REGISTER_ID IS '등록자 ID' ;</v>
      </c>
      <c r="AG344" s="125" t="str">
        <f t="shared" si="129"/>
        <v>ALTER TABLE TB_QESTNAR_QESTN_DETAIL ALTER COLUMN REGISTER_ID TYPE VARCHAR(50);</v>
      </c>
      <c r="AH344" s="131" t="str">
        <f t="shared" si="149"/>
        <v>ALTER TABLE TB_QESTNAR_QESTN_DETAIL ADD COLUMN REGISTER_ID VARCHAR(50) NOT NULL;</v>
      </c>
      <c r="AI344" s="125" t="str">
        <f t="shared" si="130"/>
        <v>ALTER TABLE TB_QESTNAR_QESTN_DETAIL DROP COLUMN REGISTER_ID;</v>
      </c>
    </row>
    <row r="345" spans="2:35" ht="20.100000000000001" customHeight="1">
      <c r="B345" s="55">
        <v>332</v>
      </c>
      <c r="C345" s="26" t="s">
        <v>7</v>
      </c>
      <c r="D345" s="26" t="s">
        <v>634</v>
      </c>
      <c r="E345" s="11" t="s">
        <v>670</v>
      </c>
      <c r="F345" s="10" t="s">
        <v>671</v>
      </c>
      <c r="G345" s="87">
        <v>6</v>
      </c>
      <c r="H345" s="97" t="s">
        <v>91</v>
      </c>
      <c r="I345" s="51" t="s">
        <v>77</v>
      </c>
      <c r="J345" s="73" t="s">
        <v>72</v>
      </c>
      <c r="K345" s="52"/>
      <c r="L345" s="52"/>
      <c r="M345" s="52"/>
      <c r="N345" s="52"/>
      <c r="O345" s="52"/>
      <c r="P345" s="52"/>
      <c r="Q345" s="56" t="s">
        <v>106</v>
      </c>
      <c r="R345" s="119" t="s">
        <v>527</v>
      </c>
      <c r="S345" s="80"/>
      <c r="T345" s="107" t="s">
        <v>218</v>
      </c>
      <c r="U345" s="78"/>
      <c r="V345" s="78"/>
      <c r="W345" s="101"/>
      <c r="X345" s="45"/>
      <c r="Y345" s="78"/>
      <c r="Z345" s="130" t="str">
        <f t="shared" si="156"/>
        <v>/* 테이블 : 설문조사질문상세 */ CREATE TABLE TB_QESTNAR_QESTN_DETAIL (</v>
      </c>
      <c r="AA345" s="125" t="str">
        <f t="shared" si="119"/>
        <v>REGISTER_IP VARCHAR(100) NOT NULL,</v>
      </c>
      <c r="AB345" s="125" t="str">
        <f t="shared" si="117"/>
        <v/>
      </c>
      <c r="AC345" s="125" t="str">
        <f t="shared" si="118"/>
        <v/>
      </c>
      <c r="AD345" s="125" t="str">
        <f t="shared" si="128"/>
        <v/>
      </c>
      <c r="AE345" s="125" t="str">
        <f t="shared" si="157"/>
        <v/>
      </c>
      <c r="AF345" s="125" t="str">
        <f t="shared" si="158"/>
        <v>COMMENT ON COLUMN TB_QESTNAR_QESTN_DETAIL.REGISTER_IP IS '등록자 IP' ;</v>
      </c>
      <c r="AG345" s="125" t="str">
        <f t="shared" si="129"/>
        <v>ALTER TABLE TB_QESTNAR_QESTN_DETAIL ALTER COLUMN REGISTER_IP TYPE VARCHAR(100);</v>
      </c>
      <c r="AH345" s="131" t="str">
        <f t="shared" si="149"/>
        <v>ALTER TABLE TB_QESTNAR_QESTN_DETAIL ADD COLUMN REGISTER_IP VARCHAR(100) NOT NULL;</v>
      </c>
      <c r="AI345" s="125" t="str">
        <f t="shared" si="130"/>
        <v>ALTER TABLE TB_QESTNAR_QESTN_DETAIL DROP COLUMN REGISTER_IP;</v>
      </c>
    </row>
    <row r="346" spans="2:35" ht="20.100000000000001" customHeight="1">
      <c r="B346" s="135">
        <v>333</v>
      </c>
      <c r="C346" s="26" t="s">
        <v>7</v>
      </c>
      <c r="D346" s="26" t="s">
        <v>634</v>
      </c>
      <c r="E346" s="11" t="s">
        <v>670</v>
      </c>
      <c r="F346" s="10" t="s">
        <v>671</v>
      </c>
      <c r="G346" s="87">
        <v>7</v>
      </c>
      <c r="H346" s="97" t="s">
        <v>92</v>
      </c>
      <c r="I346" s="96" t="s">
        <v>78</v>
      </c>
      <c r="J346" s="73" t="s">
        <v>72</v>
      </c>
      <c r="K346" s="52"/>
      <c r="L346" s="52"/>
      <c r="M346" s="52"/>
      <c r="N346" s="52"/>
      <c r="O346" s="52"/>
      <c r="P346" s="52"/>
      <c r="Q346" s="51" t="s">
        <v>702</v>
      </c>
      <c r="R346" s="119"/>
      <c r="S346" s="80"/>
      <c r="T346" s="107" t="s">
        <v>217</v>
      </c>
      <c r="U346" s="78"/>
      <c r="V346" s="78"/>
      <c r="W346" s="101"/>
      <c r="X346" s="45"/>
      <c r="Y346" s="78"/>
      <c r="Z346" s="130" t="str">
        <f t="shared" si="156"/>
        <v>/* 테이블 : 설문조사질문상세 */ CREATE TABLE TB_QESTNAR_QESTN_DETAIL (</v>
      </c>
      <c r="AA346" s="125" t="str">
        <f t="shared" si="119"/>
        <v>REG_DT TIMESTAMP NOT NULL,</v>
      </c>
      <c r="AB346" s="125" t="str">
        <f t="shared" si="117"/>
        <v/>
      </c>
      <c r="AC346" s="125" t="str">
        <f t="shared" si="118"/>
        <v/>
      </c>
      <c r="AD346" s="125" t="str">
        <f t="shared" si="128"/>
        <v/>
      </c>
      <c r="AE346" s="125" t="str">
        <f t="shared" si="157"/>
        <v/>
      </c>
      <c r="AF346" s="125" t="str">
        <f t="shared" si="158"/>
        <v>COMMENT ON COLUMN TB_QESTNAR_QESTN_DETAIL.REG_DT IS '등록 일시' ;</v>
      </c>
      <c r="AG346" s="125" t="str">
        <f t="shared" si="129"/>
        <v>ALTER TABLE TB_QESTNAR_QESTN_DETAIL ALTER COLUMN REG_DT TYPE TIMESTAMP;</v>
      </c>
      <c r="AH346" s="131" t="str">
        <f t="shared" si="149"/>
        <v>ALTER TABLE TB_QESTNAR_QESTN_DETAIL ADD COLUMN REG_DT TIMESTAMP NOT NULL;</v>
      </c>
      <c r="AI346" s="125" t="str">
        <f t="shared" si="130"/>
        <v>ALTER TABLE TB_QESTNAR_QESTN_DETAIL DROP COLUMN REG_DT;</v>
      </c>
    </row>
    <row r="347" spans="2:35" ht="20.100000000000001" customHeight="1">
      <c r="B347" s="55">
        <v>334</v>
      </c>
      <c r="C347" s="26" t="s">
        <v>7</v>
      </c>
      <c r="D347" s="26" t="s">
        <v>634</v>
      </c>
      <c r="E347" s="11" t="s">
        <v>670</v>
      </c>
      <c r="F347" s="10" t="s">
        <v>671</v>
      </c>
      <c r="G347" s="87">
        <v>8</v>
      </c>
      <c r="H347" s="97" t="s">
        <v>93</v>
      </c>
      <c r="I347" s="96" t="s">
        <v>80</v>
      </c>
      <c r="J347" s="52"/>
      <c r="K347" s="52"/>
      <c r="L347" s="52"/>
      <c r="M347" s="79"/>
      <c r="N347" s="79"/>
      <c r="O347" s="79"/>
      <c r="P347" s="79"/>
      <c r="Q347" s="100" t="s">
        <v>521</v>
      </c>
      <c r="R347" s="119" t="s">
        <v>526</v>
      </c>
      <c r="S347" s="80"/>
      <c r="T347" s="107" t="s">
        <v>216</v>
      </c>
      <c r="U347" s="78"/>
      <c r="V347" s="78"/>
      <c r="W347" s="116" t="s">
        <v>496</v>
      </c>
      <c r="X347" s="45"/>
      <c r="Y347" s="78"/>
      <c r="Z347" s="130" t="str">
        <f t="shared" si="156"/>
        <v>/* 테이블 : 설문조사질문상세 */ CREATE TABLE TB_QESTNAR_QESTN_DETAIL (</v>
      </c>
      <c r="AA347" s="125" t="str">
        <f t="shared" si="119"/>
        <v>UPDUSR_ID VARCHAR(50),</v>
      </c>
      <c r="AB347" s="125" t="str">
        <f t="shared" si="117"/>
        <v/>
      </c>
      <c r="AC347" s="125" t="str">
        <f t="shared" si="118"/>
        <v/>
      </c>
      <c r="AD347" s="125" t="str">
        <f t="shared" si="128"/>
        <v/>
      </c>
      <c r="AE347" s="125" t="str">
        <f t="shared" si="157"/>
        <v/>
      </c>
      <c r="AF347" s="125" t="str">
        <f t="shared" si="158"/>
        <v>COMMENT ON COLUMN TB_QESTNAR_QESTN_DETAIL.UPDUSR_ID IS '수정자 ID' ;</v>
      </c>
      <c r="AG347" s="125" t="str">
        <f t="shared" si="129"/>
        <v>ALTER TABLE TB_QESTNAR_QESTN_DETAIL ALTER COLUMN UPDUSR_ID TYPE VARCHAR(50);</v>
      </c>
      <c r="AH347" s="131" t="str">
        <f t="shared" si="149"/>
        <v>ALTER TABLE TB_QESTNAR_QESTN_DETAIL ADD COLUMN UPDUSR_ID VARCHAR(50);</v>
      </c>
      <c r="AI347" s="125" t="str">
        <f t="shared" si="130"/>
        <v>ALTER TABLE TB_QESTNAR_QESTN_DETAIL DROP COLUMN UPDUSR_ID;</v>
      </c>
    </row>
    <row r="348" spans="2:35" ht="20.100000000000001" customHeight="1">
      <c r="B348" s="55">
        <v>335</v>
      </c>
      <c r="C348" s="26" t="s">
        <v>7</v>
      </c>
      <c r="D348" s="26" t="s">
        <v>634</v>
      </c>
      <c r="E348" s="11" t="s">
        <v>670</v>
      </c>
      <c r="F348" s="10" t="s">
        <v>671</v>
      </c>
      <c r="G348" s="87">
        <v>9</v>
      </c>
      <c r="H348" s="97" t="s">
        <v>94</v>
      </c>
      <c r="I348" s="96" t="s">
        <v>79</v>
      </c>
      <c r="J348" s="52"/>
      <c r="K348" s="52"/>
      <c r="L348" s="52"/>
      <c r="M348" s="52"/>
      <c r="N348" s="52"/>
      <c r="O348" s="52"/>
      <c r="P348" s="52"/>
      <c r="Q348" s="56" t="s">
        <v>106</v>
      </c>
      <c r="R348" s="119" t="s">
        <v>527</v>
      </c>
      <c r="S348" s="80"/>
      <c r="T348" s="107" t="s">
        <v>215</v>
      </c>
      <c r="U348" s="78"/>
      <c r="V348" s="78"/>
      <c r="W348" s="101"/>
      <c r="X348" s="45"/>
      <c r="Y348" s="78"/>
      <c r="Z348" s="130" t="str">
        <f t="shared" si="156"/>
        <v>/* 테이블 : 설문조사질문상세 */ CREATE TABLE TB_QESTNAR_QESTN_DETAIL (</v>
      </c>
      <c r="AA348" s="125" t="str">
        <f t="shared" si="119"/>
        <v>UPDUSR_IP VARCHAR(100),</v>
      </c>
      <c r="AB348" s="125" t="str">
        <f t="shared" si="117"/>
        <v/>
      </c>
      <c r="AC348" s="125" t="str">
        <f t="shared" si="118"/>
        <v/>
      </c>
      <c r="AD348" s="125" t="str">
        <f t="shared" si="128"/>
        <v/>
      </c>
      <c r="AE348" s="125" t="str">
        <f t="shared" si="157"/>
        <v/>
      </c>
      <c r="AF348" s="125" t="str">
        <f t="shared" si="158"/>
        <v>COMMENT ON COLUMN TB_QESTNAR_QESTN_DETAIL.UPDUSR_IP IS '수정자 IP' ;</v>
      </c>
      <c r="AG348" s="125" t="str">
        <f t="shared" si="129"/>
        <v>ALTER TABLE TB_QESTNAR_QESTN_DETAIL ALTER COLUMN UPDUSR_IP TYPE VARCHAR(100);</v>
      </c>
      <c r="AH348" s="131" t="str">
        <f t="shared" si="149"/>
        <v>ALTER TABLE TB_QESTNAR_QESTN_DETAIL ADD COLUMN UPDUSR_IP VARCHAR(100);</v>
      </c>
      <c r="AI348" s="125" t="str">
        <f t="shared" si="130"/>
        <v>ALTER TABLE TB_QESTNAR_QESTN_DETAIL DROP COLUMN UPDUSR_IP;</v>
      </c>
    </row>
    <row r="349" spans="2:35" ht="20.100000000000001" customHeight="1">
      <c r="B349" s="55">
        <v>336</v>
      </c>
      <c r="C349" s="26" t="s">
        <v>7</v>
      </c>
      <c r="D349" s="26" t="s">
        <v>634</v>
      </c>
      <c r="E349" s="11" t="s">
        <v>670</v>
      </c>
      <c r="F349" s="10" t="s">
        <v>671</v>
      </c>
      <c r="G349" s="87">
        <v>10</v>
      </c>
      <c r="H349" s="98" t="s">
        <v>95</v>
      </c>
      <c r="I349" s="97" t="s">
        <v>81</v>
      </c>
      <c r="J349" s="61"/>
      <c r="K349" s="61"/>
      <c r="L349" s="61"/>
      <c r="M349" s="61"/>
      <c r="N349" s="61"/>
      <c r="O349" s="61"/>
      <c r="P349" s="61"/>
      <c r="Q349" s="51" t="s">
        <v>702</v>
      </c>
      <c r="R349" s="119"/>
      <c r="S349" s="77"/>
      <c r="T349" s="107" t="s">
        <v>214</v>
      </c>
      <c r="U349" s="78"/>
      <c r="V349" s="78"/>
      <c r="W349" s="101"/>
      <c r="X349" s="45"/>
      <c r="Y349" s="78"/>
      <c r="Z349" s="130" t="str">
        <f t="shared" si="156"/>
        <v>/* 테이블 : 설문조사질문상세 */ CREATE TABLE TB_QESTNAR_QESTN_DETAIL (</v>
      </c>
      <c r="AA349" s="125" t="str">
        <f t="shared" si="119"/>
        <v>UPDT_DT TIMESTAMP,</v>
      </c>
      <c r="AB349" s="125" t="str">
        <f t="shared" si="117"/>
        <v/>
      </c>
      <c r="AC349" s="125" t="str">
        <f t="shared" si="118"/>
        <v/>
      </c>
      <c r="AD349" s="125" t="str">
        <f t="shared" si="128"/>
        <v/>
      </c>
      <c r="AE349" s="125" t="str">
        <f t="shared" si="157"/>
        <v/>
      </c>
      <c r="AF349" s="125" t="str">
        <f t="shared" si="158"/>
        <v>COMMENT ON COLUMN TB_QESTNAR_QESTN_DETAIL.UPDT_DT IS '수정 일시' ;</v>
      </c>
      <c r="AG349" s="125" t="str">
        <f t="shared" si="129"/>
        <v>ALTER TABLE TB_QESTNAR_QESTN_DETAIL ALTER COLUMN UPDT_DT TYPE TIMESTAMP;</v>
      </c>
      <c r="AH349" s="131" t="str">
        <f t="shared" si="149"/>
        <v>ALTER TABLE TB_QESTNAR_QESTN_DETAIL ADD COLUMN UPDT_DT TIMESTAMP;</v>
      </c>
      <c r="AI349" s="125" t="str">
        <f t="shared" si="130"/>
        <v>ALTER TABLE TB_QESTNAR_QESTN_DETAIL DROP COLUMN UPDT_DT;</v>
      </c>
    </row>
    <row r="350" spans="2:35" ht="20.100000000000001" customHeight="1">
      <c r="B350" s="135">
        <v>337</v>
      </c>
      <c r="C350" s="26" t="s">
        <v>7</v>
      </c>
      <c r="D350" s="26" t="s">
        <v>634</v>
      </c>
      <c r="E350" s="11" t="s">
        <v>670</v>
      </c>
      <c r="F350" s="10" t="s">
        <v>671</v>
      </c>
      <c r="G350" s="87">
        <v>11</v>
      </c>
      <c r="H350" s="97" t="s">
        <v>96</v>
      </c>
      <c r="I350" s="97" t="s">
        <v>82</v>
      </c>
      <c r="J350" s="73" t="s">
        <v>72</v>
      </c>
      <c r="K350" s="61"/>
      <c r="L350" s="61"/>
      <c r="M350" s="61"/>
      <c r="N350" s="61"/>
      <c r="O350" s="61"/>
      <c r="P350" s="61"/>
      <c r="Q350" s="51" t="s">
        <v>800</v>
      </c>
      <c r="R350" s="119" t="s">
        <v>522</v>
      </c>
      <c r="S350" s="82" t="s">
        <v>799</v>
      </c>
      <c r="T350" s="107" t="s">
        <v>213</v>
      </c>
      <c r="U350" s="78"/>
      <c r="V350" s="78"/>
      <c r="W350" s="101"/>
      <c r="X350" s="45"/>
      <c r="Y350" s="78"/>
      <c r="Z350" s="130" t="str">
        <f t="shared" si="156"/>
        <v>/* 테이블 : 설문조사질문상세 */ CREATE TABLE TB_QESTNAR_QESTN_DETAIL (</v>
      </c>
      <c r="AA350" s="125" t="str">
        <f t="shared" si="119"/>
        <v>DEL_YN BPCHAR(1) NOT NULL,</v>
      </c>
      <c r="AB350" s="125" t="str">
        <f t="shared" si="117"/>
        <v/>
      </c>
      <c r="AC350" s="125" t="str">
        <f t="shared" si="118"/>
        <v/>
      </c>
      <c r="AD350" s="125" t="str">
        <f t="shared" si="128"/>
        <v/>
      </c>
      <c r="AE350" s="125" t="str">
        <f t="shared" si="157"/>
        <v>ALTER TABLE TB_QESTNAR_QESTN_DETAIL ALTER COLUMN DEL_YN SET DEFAULT 'N'::bpchar;</v>
      </c>
      <c r="AF350" s="125" t="str">
        <f t="shared" si="158"/>
        <v>COMMENT ON COLUMN TB_QESTNAR_QESTN_DETAIL.DEL_YN IS '삭제 여부' ;</v>
      </c>
      <c r="AG350" s="125" t="str">
        <f t="shared" si="129"/>
        <v>ALTER TABLE TB_QESTNAR_QESTN_DETAIL ALTER COLUMN DEL_YN TYPE BPCHAR(1);</v>
      </c>
      <c r="AH350" s="131" t="str">
        <f t="shared" si="149"/>
        <v>ALTER TABLE TB_QESTNAR_QESTN_DETAIL ADD COLUMN DEL_YN BPCHAR(1) NOT NULL DEFAULT 'N'::bpchar;</v>
      </c>
      <c r="AI350" s="125" t="str">
        <f t="shared" si="130"/>
        <v>ALTER TABLE TB_QESTNAR_QESTN_DETAIL DROP COLUMN DEL_YN;</v>
      </c>
    </row>
    <row r="351" spans="2:35" ht="20.100000000000001" customHeight="1">
      <c r="B351" s="55">
        <v>338</v>
      </c>
      <c r="C351" s="26" t="s">
        <v>7</v>
      </c>
      <c r="D351" s="26" t="s">
        <v>634</v>
      </c>
      <c r="E351" s="11" t="s">
        <v>687</v>
      </c>
      <c r="F351" s="10" t="s">
        <v>685</v>
      </c>
      <c r="G351" s="87">
        <v>1</v>
      </c>
      <c r="H351" s="97" t="s">
        <v>688</v>
      </c>
      <c r="I351" s="97" t="s">
        <v>686</v>
      </c>
      <c r="J351" s="73" t="s">
        <v>72</v>
      </c>
      <c r="K351" s="69">
        <v>1</v>
      </c>
      <c r="L351" s="69"/>
      <c r="M351" s="69"/>
      <c r="N351" s="69"/>
      <c r="O351" s="69"/>
      <c r="P351" s="69"/>
      <c r="Q351" s="62" t="s">
        <v>229</v>
      </c>
      <c r="R351" s="119"/>
      <c r="S351" s="82"/>
      <c r="T351" s="107" t="s">
        <v>689</v>
      </c>
      <c r="U351" s="125" t="str">
        <f>"SEQ_"&amp;E351&amp;"_SN"</f>
        <v>SEQ_TB_QESTNAR_ANSWER_SN</v>
      </c>
      <c r="V351" s="123"/>
      <c r="W351" s="104"/>
      <c r="X351" s="85"/>
      <c r="Y351" s="123"/>
      <c r="Z351" s="130" t="str">
        <f t="shared" si="156"/>
        <v>/* 테이블 : 설문조사답변 */ CREATE TABLE TB_QESTNAR_ANSWER (</v>
      </c>
      <c r="AA351" s="125" t="str">
        <f t="shared" si="119"/>
        <v>QESTNAR_ANSWER_SN INTEGER PRIMARY KEY,</v>
      </c>
      <c r="AB351" s="125" t="str">
        <f t="shared" si="117"/>
        <v/>
      </c>
      <c r="AC351" s="125" t="str">
        <f t="shared" si="118"/>
        <v>CREATE SEQUENCE SEQ_TB_QESTNAR_ANSWER_SN START 100000;</v>
      </c>
      <c r="AD351" s="125" t="str">
        <f t="shared" si="128"/>
        <v>ALTER TABLE TB_QESTNAR_ANSWER ALTER COLUMN QESTNAR_ANSWER_SN SET DEFAULT NEXTVAL('SEQ_TB_QESTNAR_ANSWER_SN');</v>
      </c>
      <c r="AE351" s="125" t="str">
        <f t="shared" si="157"/>
        <v/>
      </c>
      <c r="AF351" s="125" t="str">
        <f t="shared" si="158"/>
        <v>COMMENT ON COLUMN TB_QESTNAR_ANSWER.QESTNAR_ANSWER_SN IS '설문조사 답변 일련번호' ;</v>
      </c>
      <c r="AG351" s="125" t="str">
        <f t="shared" si="129"/>
        <v>ALTER TABLE TB_QESTNAR_ANSWER ALTER COLUMN QESTNAR_ANSWER_SN TYPE INTEGER;</v>
      </c>
      <c r="AH351" s="131" t="str">
        <f t="shared" si="149"/>
        <v>ALTER TABLE TB_QESTNAR_ANSWER ADD COLUMN QESTNAR_ANSWER_SN INTEGER NOT NULL;</v>
      </c>
      <c r="AI351" s="125" t="str">
        <f t="shared" si="130"/>
        <v>ALTER TABLE TB_QESTNAR_ANSWER DROP COLUMN QESTNAR_ANSWER_SN;</v>
      </c>
    </row>
    <row r="352" spans="2:35" ht="20.100000000000001" customHeight="1">
      <c r="B352" s="55">
        <v>339</v>
      </c>
      <c r="C352" s="26" t="s">
        <v>7</v>
      </c>
      <c r="D352" s="26" t="s">
        <v>634</v>
      </c>
      <c r="E352" s="11" t="s">
        <v>687</v>
      </c>
      <c r="F352" s="10" t="s">
        <v>685</v>
      </c>
      <c r="G352" s="87">
        <v>2</v>
      </c>
      <c r="H352" s="97" t="s">
        <v>638</v>
      </c>
      <c r="I352" s="97" t="s">
        <v>636</v>
      </c>
      <c r="J352" s="73" t="s">
        <v>72</v>
      </c>
      <c r="K352" s="69"/>
      <c r="L352" s="69">
        <v>1</v>
      </c>
      <c r="M352" s="11" t="s">
        <v>637</v>
      </c>
      <c r="N352" s="97" t="s">
        <v>638</v>
      </c>
      <c r="O352" s="95" t="s">
        <v>539</v>
      </c>
      <c r="P352" s="95" t="s">
        <v>541</v>
      </c>
      <c r="Q352" s="62" t="s">
        <v>644</v>
      </c>
      <c r="R352" s="119"/>
      <c r="S352" s="82"/>
      <c r="T352" s="107" t="s">
        <v>650</v>
      </c>
      <c r="U352" s="123"/>
      <c r="V352" s="123"/>
      <c r="W352" s="104"/>
      <c r="X352" s="85"/>
      <c r="Y352" s="123"/>
      <c r="Z352" s="130" t="str">
        <f t="shared" si="156"/>
        <v>/* 테이블 : 설문조사답변 */ CREATE TABLE TB_QESTNAR_ANSWER (</v>
      </c>
      <c r="AA352" s="125" t="str">
        <f t="shared" si="119"/>
        <v>QESTNAR_GROUP_SN INTEGER NOT NULL,</v>
      </c>
      <c r="AB352" s="125" t="str">
        <f t="shared" si="117"/>
        <v>ALTER TABLE TB_QESTNAR_ANSWER ADD CONSTRAINT TB_QESTNAR_ANSWER_FKEY1 FOREIGN KEY(QESTNAR_GROUP_SN) REFERENCES TB_QESTNAR_GROUP(QESTNAR_GROUP_SN) ON UPDATE CASCADE ON DELETE CASCADE;</v>
      </c>
      <c r="AC352" s="125" t="str">
        <f t="shared" si="118"/>
        <v/>
      </c>
      <c r="AD352" s="125" t="str">
        <f t="shared" si="128"/>
        <v/>
      </c>
      <c r="AE352" s="125" t="str">
        <f t="shared" si="157"/>
        <v/>
      </c>
      <c r="AF352" s="125" t="str">
        <f t="shared" si="158"/>
        <v>COMMENT ON COLUMN TB_QESTNAR_ANSWER.QESTNAR_GROUP_SN IS '설문조사 그룹 일련번호' ;</v>
      </c>
      <c r="AG352" s="125" t="str">
        <f t="shared" si="129"/>
        <v>ALTER TABLE TB_QESTNAR_ANSWER ALTER COLUMN QESTNAR_GROUP_SN TYPE INTEGER;</v>
      </c>
      <c r="AH352" s="131" t="str">
        <f t="shared" si="149"/>
        <v>ALTER TABLE TB_QESTNAR_ANSWER ADD COLUMN QESTNAR_GROUP_SN INTEGER NOT NULL;</v>
      </c>
      <c r="AI352" s="125" t="str">
        <f t="shared" si="130"/>
        <v>ALTER TABLE TB_QESTNAR_ANSWER DROP COLUMN QESTNAR_GROUP_SN;</v>
      </c>
    </row>
    <row r="353" spans="2:35" ht="20.100000000000001" customHeight="1">
      <c r="B353" s="55">
        <v>340</v>
      </c>
      <c r="C353" s="26" t="s">
        <v>7</v>
      </c>
      <c r="D353" s="26" t="s">
        <v>634</v>
      </c>
      <c r="E353" s="11" t="s">
        <v>687</v>
      </c>
      <c r="F353" s="10" t="s">
        <v>685</v>
      </c>
      <c r="G353" s="87">
        <v>3</v>
      </c>
      <c r="H353" s="95" t="s">
        <v>714</v>
      </c>
      <c r="I353" s="95" t="s">
        <v>715</v>
      </c>
      <c r="J353" s="73"/>
      <c r="K353" s="69"/>
      <c r="L353" s="69"/>
      <c r="M353" s="78"/>
      <c r="N353" s="95"/>
      <c r="O353" s="95"/>
      <c r="P353" s="95"/>
      <c r="Q353" s="100" t="s">
        <v>172</v>
      </c>
      <c r="R353" s="119"/>
      <c r="S353" s="82"/>
      <c r="T353" s="107" t="s">
        <v>109</v>
      </c>
      <c r="U353" s="123"/>
      <c r="V353" s="123"/>
      <c r="W353" s="104" t="s">
        <v>869</v>
      </c>
      <c r="X353" s="85"/>
      <c r="Y353" s="123"/>
      <c r="Z353" s="130" t="str">
        <f t="shared" si="156"/>
        <v>/* 테이블 : 설문조사답변 */ CREATE TABLE TB_QESTNAR_ANSWER (</v>
      </c>
      <c r="AA353" s="125" t="str">
        <f t="shared" si="119"/>
        <v>USER_SN INTEGER,</v>
      </c>
      <c r="AB353" s="125" t="str">
        <f t="shared" si="117"/>
        <v/>
      </c>
      <c r="AC353" s="125" t="str">
        <f t="shared" si="118"/>
        <v/>
      </c>
      <c r="AD353" s="125" t="str">
        <f t="shared" si="128"/>
        <v/>
      </c>
      <c r="AE353" s="125" t="str">
        <f t="shared" si="157"/>
        <v/>
      </c>
      <c r="AF353" s="125" t="str">
        <f t="shared" si="158"/>
        <v>COMMENT ON COLUMN TB_QESTNAR_ANSWER.USER_SN IS '사용자 일련번호' ;</v>
      </c>
      <c r="AG353" s="125" t="str">
        <f t="shared" si="129"/>
        <v>ALTER TABLE TB_QESTNAR_ANSWER ALTER COLUMN USER_SN TYPE INTEGER;</v>
      </c>
      <c r="AH353" s="131" t="str">
        <f t="shared" si="149"/>
        <v>ALTER TABLE TB_QESTNAR_ANSWER ADD COLUMN USER_SN INTEGER;</v>
      </c>
      <c r="AI353" s="125" t="str">
        <f t="shared" si="130"/>
        <v>ALTER TABLE TB_QESTNAR_ANSWER DROP COLUMN USER_SN;</v>
      </c>
    </row>
    <row r="354" spans="2:35" ht="20.100000000000001" customHeight="1">
      <c r="B354" s="135">
        <v>341</v>
      </c>
      <c r="C354" s="26" t="s">
        <v>7</v>
      </c>
      <c r="D354" s="26" t="s">
        <v>634</v>
      </c>
      <c r="E354" s="11" t="s">
        <v>687</v>
      </c>
      <c r="F354" s="10" t="s">
        <v>685</v>
      </c>
      <c r="G354" s="87">
        <v>4</v>
      </c>
      <c r="H354" s="97" t="s">
        <v>107</v>
      </c>
      <c r="I354" s="51" t="s">
        <v>76</v>
      </c>
      <c r="J354" s="73" t="s">
        <v>72</v>
      </c>
      <c r="K354" s="67"/>
      <c r="L354" s="67"/>
      <c r="M354" s="77"/>
      <c r="N354" s="77"/>
      <c r="O354" s="77"/>
      <c r="P354" s="77"/>
      <c r="Q354" s="100" t="s">
        <v>521</v>
      </c>
      <c r="R354" s="119" t="s">
        <v>526</v>
      </c>
      <c r="S354" s="80"/>
      <c r="T354" s="107" t="s">
        <v>219</v>
      </c>
      <c r="U354" s="78"/>
      <c r="V354" s="78"/>
      <c r="W354" s="116" t="s">
        <v>496</v>
      </c>
      <c r="X354" s="45"/>
      <c r="Y354" s="78"/>
      <c r="Z354" s="130" t="str">
        <f t="shared" si="156"/>
        <v>/* 테이블 : 설문조사답변 */ CREATE TABLE TB_QESTNAR_ANSWER (</v>
      </c>
      <c r="AA354" s="125" t="str">
        <f t="shared" si="119"/>
        <v>REGISTER_ID VARCHAR(50) NOT NULL,</v>
      </c>
      <c r="AB354" s="125" t="str">
        <f t="shared" si="117"/>
        <v/>
      </c>
      <c r="AC354" s="125" t="str">
        <f t="shared" si="118"/>
        <v/>
      </c>
      <c r="AD354" s="125" t="str">
        <f t="shared" si="128"/>
        <v/>
      </c>
      <c r="AE354" s="125" t="str">
        <f t="shared" si="157"/>
        <v/>
      </c>
      <c r="AF354" s="125" t="str">
        <f t="shared" si="158"/>
        <v>COMMENT ON COLUMN TB_QESTNAR_ANSWER.REGISTER_ID IS '등록자 ID' ;</v>
      </c>
      <c r="AG354" s="125" t="str">
        <f t="shared" si="129"/>
        <v>ALTER TABLE TB_QESTNAR_ANSWER ALTER COLUMN REGISTER_ID TYPE VARCHAR(50);</v>
      </c>
      <c r="AH354" s="131" t="str">
        <f t="shared" si="149"/>
        <v>ALTER TABLE TB_QESTNAR_ANSWER ADD COLUMN REGISTER_ID VARCHAR(50) NOT NULL;</v>
      </c>
      <c r="AI354" s="125" t="str">
        <f t="shared" si="130"/>
        <v>ALTER TABLE TB_QESTNAR_ANSWER DROP COLUMN REGISTER_ID;</v>
      </c>
    </row>
    <row r="355" spans="2:35" ht="20.100000000000001" customHeight="1">
      <c r="B355" s="55">
        <v>342</v>
      </c>
      <c r="C355" s="26" t="s">
        <v>7</v>
      </c>
      <c r="D355" s="26" t="s">
        <v>634</v>
      </c>
      <c r="E355" s="11" t="s">
        <v>687</v>
      </c>
      <c r="F355" s="10" t="s">
        <v>685</v>
      </c>
      <c r="G355" s="87">
        <v>5</v>
      </c>
      <c r="H355" s="97" t="s">
        <v>91</v>
      </c>
      <c r="I355" s="51" t="s">
        <v>77</v>
      </c>
      <c r="J355" s="73" t="s">
        <v>72</v>
      </c>
      <c r="K355" s="52"/>
      <c r="L355" s="52"/>
      <c r="M355" s="52"/>
      <c r="N355" s="52"/>
      <c r="O355" s="52"/>
      <c r="P355" s="52"/>
      <c r="Q355" s="56" t="s">
        <v>106</v>
      </c>
      <c r="R355" s="119" t="s">
        <v>527</v>
      </c>
      <c r="S355" s="80"/>
      <c r="T355" s="107" t="s">
        <v>218</v>
      </c>
      <c r="U355" s="78"/>
      <c r="V355" s="78"/>
      <c r="W355" s="101"/>
      <c r="X355" s="45"/>
      <c r="Y355" s="78"/>
      <c r="Z355" s="130" t="str">
        <f t="shared" si="156"/>
        <v>/* 테이블 : 설문조사답변 */ CREATE TABLE TB_QESTNAR_ANSWER (</v>
      </c>
      <c r="AA355" s="125" t="str">
        <f t="shared" si="119"/>
        <v>REGISTER_IP VARCHAR(100) NOT NULL,</v>
      </c>
      <c r="AB355" s="125" t="str">
        <f t="shared" si="117"/>
        <v/>
      </c>
      <c r="AC355" s="125" t="str">
        <f t="shared" si="118"/>
        <v/>
      </c>
      <c r="AD355" s="125" t="str">
        <f t="shared" si="128"/>
        <v/>
      </c>
      <c r="AE355" s="125" t="str">
        <f t="shared" si="157"/>
        <v/>
      </c>
      <c r="AF355" s="125" t="str">
        <f t="shared" si="158"/>
        <v>COMMENT ON COLUMN TB_QESTNAR_ANSWER.REGISTER_IP IS '등록자 IP' ;</v>
      </c>
      <c r="AG355" s="125" t="str">
        <f t="shared" si="129"/>
        <v>ALTER TABLE TB_QESTNAR_ANSWER ALTER COLUMN REGISTER_IP TYPE VARCHAR(100);</v>
      </c>
      <c r="AH355" s="131" t="str">
        <f t="shared" si="149"/>
        <v>ALTER TABLE TB_QESTNAR_ANSWER ADD COLUMN REGISTER_IP VARCHAR(100) NOT NULL;</v>
      </c>
      <c r="AI355" s="125" t="str">
        <f t="shared" si="130"/>
        <v>ALTER TABLE TB_QESTNAR_ANSWER DROP COLUMN REGISTER_IP;</v>
      </c>
    </row>
    <row r="356" spans="2:35" ht="20.100000000000001" customHeight="1">
      <c r="B356" s="55">
        <v>343</v>
      </c>
      <c r="C356" s="26" t="s">
        <v>7</v>
      </c>
      <c r="D356" s="26" t="s">
        <v>634</v>
      </c>
      <c r="E356" s="11" t="s">
        <v>687</v>
      </c>
      <c r="F356" s="10" t="s">
        <v>685</v>
      </c>
      <c r="G356" s="87">
        <v>6</v>
      </c>
      <c r="H356" s="97" t="s">
        <v>92</v>
      </c>
      <c r="I356" s="96" t="s">
        <v>78</v>
      </c>
      <c r="J356" s="73" t="s">
        <v>72</v>
      </c>
      <c r="K356" s="52"/>
      <c r="L356" s="52"/>
      <c r="M356" s="52"/>
      <c r="N356" s="52"/>
      <c r="O356" s="52"/>
      <c r="P356" s="52"/>
      <c r="Q356" s="51" t="s">
        <v>702</v>
      </c>
      <c r="R356" s="119"/>
      <c r="S356" s="80"/>
      <c r="T356" s="107" t="s">
        <v>217</v>
      </c>
      <c r="U356" s="78"/>
      <c r="V356" s="78"/>
      <c r="W356" s="101"/>
      <c r="X356" s="45"/>
      <c r="Y356" s="78"/>
      <c r="Z356" s="130" t="str">
        <f t="shared" si="156"/>
        <v>/* 테이블 : 설문조사답변 */ CREATE TABLE TB_QESTNAR_ANSWER (</v>
      </c>
      <c r="AA356" s="125" t="str">
        <f t="shared" si="119"/>
        <v>REG_DT TIMESTAMP NOT NULL,</v>
      </c>
      <c r="AB356" s="125" t="str">
        <f t="shared" si="117"/>
        <v/>
      </c>
      <c r="AC356" s="125" t="str">
        <f t="shared" si="118"/>
        <v/>
      </c>
      <c r="AD356" s="125" t="str">
        <f t="shared" si="128"/>
        <v/>
      </c>
      <c r="AE356" s="125" t="str">
        <f t="shared" si="157"/>
        <v/>
      </c>
      <c r="AF356" s="125" t="str">
        <f t="shared" si="158"/>
        <v>COMMENT ON COLUMN TB_QESTNAR_ANSWER.REG_DT IS '등록 일시' ;</v>
      </c>
      <c r="AG356" s="125" t="str">
        <f t="shared" si="129"/>
        <v>ALTER TABLE TB_QESTNAR_ANSWER ALTER COLUMN REG_DT TYPE TIMESTAMP;</v>
      </c>
      <c r="AH356" s="131" t="str">
        <f t="shared" si="149"/>
        <v>ALTER TABLE TB_QESTNAR_ANSWER ADD COLUMN REG_DT TIMESTAMP NOT NULL;</v>
      </c>
      <c r="AI356" s="125" t="str">
        <f t="shared" si="130"/>
        <v>ALTER TABLE TB_QESTNAR_ANSWER DROP COLUMN REG_DT;</v>
      </c>
    </row>
    <row r="357" spans="2:35" ht="20.100000000000001" customHeight="1">
      <c r="B357" s="55">
        <v>344</v>
      </c>
      <c r="C357" s="26" t="s">
        <v>7</v>
      </c>
      <c r="D357" s="26" t="s">
        <v>634</v>
      </c>
      <c r="E357" s="11" t="s">
        <v>687</v>
      </c>
      <c r="F357" s="10" t="s">
        <v>685</v>
      </c>
      <c r="G357" s="87">
        <v>7</v>
      </c>
      <c r="H357" s="97" t="s">
        <v>93</v>
      </c>
      <c r="I357" s="96" t="s">
        <v>80</v>
      </c>
      <c r="J357" s="52"/>
      <c r="K357" s="52"/>
      <c r="L357" s="52"/>
      <c r="M357" s="79"/>
      <c r="N357" s="79"/>
      <c r="O357" s="79"/>
      <c r="P357" s="79"/>
      <c r="Q357" s="100" t="s">
        <v>521</v>
      </c>
      <c r="R357" s="119" t="s">
        <v>526</v>
      </c>
      <c r="S357" s="80"/>
      <c r="T357" s="107" t="s">
        <v>216</v>
      </c>
      <c r="U357" s="78"/>
      <c r="V357" s="78"/>
      <c r="W357" s="116" t="s">
        <v>496</v>
      </c>
      <c r="X357" s="45"/>
      <c r="Y357" s="78"/>
      <c r="Z357" s="130" t="str">
        <f t="shared" si="156"/>
        <v>/* 테이블 : 설문조사답변 */ CREATE TABLE TB_QESTNAR_ANSWER (</v>
      </c>
      <c r="AA357" s="125" t="str">
        <f t="shared" si="119"/>
        <v>UPDUSR_ID VARCHAR(50),</v>
      </c>
      <c r="AB357" s="125" t="str">
        <f t="shared" si="117"/>
        <v/>
      </c>
      <c r="AC357" s="125" t="str">
        <f t="shared" si="118"/>
        <v/>
      </c>
      <c r="AD357" s="125" t="str">
        <f t="shared" si="128"/>
        <v/>
      </c>
      <c r="AE357" s="125" t="str">
        <f t="shared" si="157"/>
        <v/>
      </c>
      <c r="AF357" s="125" t="str">
        <f t="shared" si="158"/>
        <v>COMMENT ON COLUMN TB_QESTNAR_ANSWER.UPDUSR_ID IS '수정자 ID' ;</v>
      </c>
      <c r="AG357" s="125" t="str">
        <f t="shared" si="129"/>
        <v>ALTER TABLE TB_QESTNAR_ANSWER ALTER COLUMN UPDUSR_ID TYPE VARCHAR(50);</v>
      </c>
      <c r="AH357" s="131" t="str">
        <f t="shared" si="149"/>
        <v>ALTER TABLE TB_QESTNAR_ANSWER ADD COLUMN UPDUSR_ID VARCHAR(50);</v>
      </c>
      <c r="AI357" s="125" t="str">
        <f t="shared" si="130"/>
        <v>ALTER TABLE TB_QESTNAR_ANSWER DROP COLUMN UPDUSR_ID;</v>
      </c>
    </row>
    <row r="358" spans="2:35" ht="20.100000000000001" customHeight="1">
      <c r="B358" s="135">
        <v>345</v>
      </c>
      <c r="C358" s="26" t="s">
        <v>7</v>
      </c>
      <c r="D358" s="26" t="s">
        <v>634</v>
      </c>
      <c r="E358" s="11" t="s">
        <v>687</v>
      </c>
      <c r="F358" s="10" t="s">
        <v>685</v>
      </c>
      <c r="G358" s="87">
        <v>8</v>
      </c>
      <c r="H358" s="97" t="s">
        <v>94</v>
      </c>
      <c r="I358" s="96" t="s">
        <v>79</v>
      </c>
      <c r="J358" s="52"/>
      <c r="K358" s="52"/>
      <c r="L358" s="52"/>
      <c r="M358" s="52"/>
      <c r="N358" s="52"/>
      <c r="O358" s="52"/>
      <c r="P358" s="52"/>
      <c r="Q358" s="56" t="s">
        <v>106</v>
      </c>
      <c r="R358" s="119" t="s">
        <v>527</v>
      </c>
      <c r="S358" s="80"/>
      <c r="T358" s="107" t="s">
        <v>215</v>
      </c>
      <c r="U358" s="78"/>
      <c r="V358" s="78"/>
      <c r="W358" s="101"/>
      <c r="X358" s="45"/>
      <c r="Y358" s="78"/>
      <c r="Z358" s="130" t="str">
        <f t="shared" si="156"/>
        <v>/* 테이블 : 설문조사답변 */ CREATE TABLE TB_QESTNAR_ANSWER (</v>
      </c>
      <c r="AA358" s="125" t="str">
        <f t="shared" si="119"/>
        <v>UPDUSR_IP VARCHAR(100),</v>
      </c>
      <c r="AB358" s="125" t="str">
        <f t="shared" si="117"/>
        <v/>
      </c>
      <c r="AC358" s="125" t="str">
        <f t="shared" si="118"/>
        <v/>
      </c>
      <c r="AD358" s="125" t="str">
        <f t="shared" si="128"/>
        <v/>
      </c>
      <c r="AE358" s="125" t="str">
        <f t="shared" si="157"/>
        <v/>
      </c>
      <c r="AF358" s="125" t="str">
        <f t="shared" si="158"/>
        <v>COMMENT ON COLUMN TB_QESTNAR_ANSWER.UPDUSR_IP IS '수정자 IP' ;</v>
      </c>
      <c r="AG358" s="125" t="str">
        <f t="shared" si="129"/>
        <v>ALTER TABLE TB_QESTNAR_ANSWER ALTER COLUMN UPDUSR_IP TYPE VARCHAR(100);</v>
      </c>
      <c r="AH358" s="131" t="str">
        <f t="shared" si="149"/>
        <v>ALTER TABLE TB_QESTNAR_ANSWER ADD COLUMN UPDUSR_IP VARCHAR(100);</v>
      </c>
      <c r="AI358" s="125" t="str">
        <f t="shared" si="130"/>
        <v>ALTER TABLE TB_QESTNAR_ANSWER DROP COLUMN UPDUSR_IP;</v>
      </c>
    </row>
    <row r="359" spans="2:35" ht="20.100000000000001" customHeight="1">
      <c r="B359" s="55">
        <v>346</v>
      </c>
      <c r="C359" s="26" t="s">
        <v>7</v>
      </c>
      <c r="D359" s="26" t="s">
        <v>634</v>
      </c>
      <c r="E359" s="11" t="s">
        <v>687</v>
      </c>
      <c r="F359" s="10" t="s">
        <v>685</v>
      </c>
      <c r="G359" s="87">
        <v>9</v>
      </c>
      <c r="H359" s="98" t="s">
        <v>95</v>
      </c>
      <c r="I359" s="97" t="s">
        <v>81</v>
      </c>
      <c r="J359" s="61"/>
      <c r="K359" s="61"/>
      <c r="L359" s="61"/>
      <c r="M359" s="61"/>
      <c r="N359" s="61"/>
      <c r="O359" s="61"/>
      <c r="P359" s="61"/>
      <c r="Q359" s="51" t="s">
        <v>702</v>
      </c>
      <c r="R359" s="119"/>
      <c r="S359" s="77"/>
      <c r="T359" s="107" t="s">
        <v>214</v>
      </c>
      <c r="U359" s="78"/>
      <c r="V359" s="78"/>
      <c r="W359" s="101"/>
      <c r="X359" s="45"/>
      <c r="Y359" s="78"/>
      <c r="Z359" s="130" t="str">
        <f t="shared" si="156"/>
        <v>/* 테이블 : 설문조사답변 */ CREATE TABLE TB_QESTNAR_ANSWER (</v>
      </c>
      <c r="AA359" s="125" t="str">
        <f t="shared" si="119"/>
        <v>UPDT_DT TIMESTAMP,</v>
      </c>
      <c r="AB359" s="125" t="str">
        <f t="shared" si="117"/>
        <v/>
      </c>
      <c r="AC359" s="125" t="str">
        <f t="shared" si="118"/>
        <v/>
      </c>
      <c r="AD359" s="125" t="str">
        <f t="shared" si="128"/>
        <v/>
      </c>
      <c r="AE359" s="125" t="str">
        <f t="shared" si="157"/>
        <v/>
      </c>
      <c r="AF359" s="125" t="str">
        <f t="shared" si="158"/>
        <v>COMMENT ON COLUMN TB_QESTNAR_ANSWER.UPDT_DT IS '수정 일시' ;</v>
      </c>
      <c r="AG359" s="125" t="str">
        <f t="shared" si="129"/>
        <v>ALTER TABLE TB_QESTNAR_ANSWER ALTER COLUMN UPDT_DT TYPE TIMESTAMP;</v>
      </c>
      <c r="AH359" s="131" t="str">
        <f t="shared" si="149"/>
        <v>ALTER TABLE TB_QESTNAR_ANSWER ADD COLUMN UPDT_DT TIMESTAMP;</v>
      </c>
      <c r="AI359" s="125" t="str">
        <f t="shared" si="130"/>
        <v>ALTER TABLE TB_QESTNAR_ANSWER DROP COLUMN UPDT_DT;</v>
      </c>
    </row>
    <row r="360" spans="2:35" ht="20.100000000000001" customHeight="1">
      <c r="B360" s="55">
        <v>347</v>
      </c>
      <c r="C360" s="26" t="s">
        <v>7</v>
      </c>
      <c r="D360" s="26" t="s">
        <v>634</v>
      </c>
      <c r="E360" s="11" t="s">
        <v>687</v>
      </c>
      <c r="F360" s="10" t="s">
        <v>685</v>
      </c>
      <c r="G360" s="87">
        <v>10</v>
      </c>
      <c r="H360" s="97" t="s">
        <v>96</v>
      </c>
      <c r="I360" s="97" t="s">
        <v>82</v>
      </c>
      <c r="J360" s="73" t="s">
        <v>72</v>
      </c>
      <c r="K360" s="61"/>
      <c r="L360" s="61"/>
      <c r="M360" s="61"/>
      <c r="N360" s="61"/>
      <c r="O360" s="61"/>
      <c r="P360" s="61"/>
      <c r="Q360" s="51" t="s">
        <v>800</v>
      </c>
      <c r="R360" s="119" t="s">
        <v>522</v>
      </c>
      <c r="S360" s="82" t="s">
        <v>799</v>
      </c>
      <c r="T360" s="107" t="s">
        <v>213</v>
      </c>
      <c r="U360" s="78"/>
      <c r="V360" s="78"/>
      <c r="W360" s="101"/>
      <c r="X360" s="45"/>
      <c r="Y360" s="78"/>
      <c r="Z360" s="130" t="str">
        <f t="shared" si="156"/>
        <v>/* 테이블 : 설문조사답변 */ CREATE TABLE TB_QESTNAR_ANSWER (</v>
      </c>
      <c r="AA360" s="125" t="str">
        <f t="shared" si="119"/>
        <v>DEL_YN BPCHAR(1) NOT NULL,</v>
      </c>
      <c r="AB360" s="125" t="str">
        <f t="shared" si="117"/>
        <v/>
      </c>
      <c r="AC360" s="125" t="str">
        <f t="shared" si="118"/>
        <v/>
      </c>
      <c r="AD360" s="125" t="str">
        <f t="shared" si="128"/>
        <v/>
      </c>
      <c r="AE360" s="125" t="str">
        <f t="shared" si="157"/>
        <v>ALTER TABLE TB_QESTNAR_ANSWER ALTER COLUMN DEL_YN SET DEFAULT 'N'::bpchar;</v>
      </c>
      <c r="AF360" s="125" t="str">
        <f t="shared" si="158"/>
        <v>COMMENT ON COLUMN TB_QESTNAR_ANSWER.DEL_YN IS '삭제 여부' ;</v>
      </c>
      <c r="AG360" s="125" t="str">
        <f t="shared" si="129"/>
        <v>ALTER TABLE TB_QESTNAR_ANSWER ALTER COLUMN DEL_YN TYPE BPCHAR(1);</v>
      </c>
      <c r="AH360" s="131" t="str">
        <f t="shared" si="149"/>
        <v>ALTER TABLE TB_QESTNAR_ANSWER ADD COLUMN DEL_YN BPCHAR(1) NOT NULL DEFAULT 'N'::bpchar;</v>
      </c>
      <c r="AI360" s="125" t="str">
        <f t="shared" si="130"/>
        <v>ALTER TABLE TB_QESTNAR_ANSWER DROP COLUMN DEL_YN;</v>
      </c>
    </row>
    <row r="361" spans="2:35" ht="20.100000000000001" customHeight="1">
      <c r="B361" s="55">
        <v>348</v>
      </c>
      <c r="C361" s="26" t="s">
        <v>7</v>
      </c>
      <c r="D361" s="26" t="s">
        <v>634</v>
      </c>
      <c r="E361" s="11" t="s">
        <v>690</v>
      </c>
      <c r="F361" s="10" t="s">
        <v>691</v>
      </c>
      <c r="G361" s="87">
        <v>1</v>
      </c>
      <c r="H361" s="97" t="s">
        <v>692</v>
      </c>
      <c r="I361" s="97" t="s">
        <v>693</v>
      </c>
      <c r="J361" s="73" t="s">
        <v>669</v>
      </c>
      <c r="K361" s="69">
        <v>1</v>
      </c>
      <c r="L361" s="69"/>
      <c r="M361" s="69"/>
      <c r="N361" s="69"/>
      <c r="O361" s="69"/>
      <c r="P361" s="69"/>
      <c r="Q361" s="62" t="s">
        <v>229</v>
      </c>
      <c r="R361" s="119"/>
      <c r="S361" s="82"/>
      <c r="T361" s="97" t="s">
        <v>700</v>
      </c>
      <c r="U361" s="125" t="str">
        <f>"SEQ_"&amp;E361&amp;"_SN"</f>
        <v>SEQ_TB_QESTNAR_ANSWER_DETAIL_SN</v>
      </c>
      <c r="V361" s="123"/>
      <c r="W361" s="104"/>
      <c r="X361" s="85"/>
      <c r="Y361" s="123"/>
      <c r="Z361" s="130" t="str">
        <f t="shared" si="156"/>
        <v>/* 테이블 : 설문조사답변상세 */ CREATE TABLE TB_QESTNAR_ANSWER_DETAIL (</v>
      </c>
      <c r="AA361" s="125" t="str">
        <f t="shared" si="119"/>
        <v>QESTNAR_ANSWER_DETAIL_SN INTEGER PRIMARY KEY,</v>
      </c>
      <c r="AB361" s="125" t="str">
        <f t="shared" si="117"/>
        <v/>
      </c>
      <c r="AC361" s="125" t="str">
        <f t="shared" si="118"/>
        <v>CREATE SEQUENCE SEQ_TB_QESTNAR_ANSWER_DETAIL_SN START 100000;</v>
      </c>
      <c r="AD361" s="125" t="str">
        <f t="shared" si="128"/>
        <v>ALTER TABLE TB_QESTNAR_ANSWER_DETAIL ALTER COLUMN QESTNAR_ANSWER_DETAIL_SN SET DEFAULT NEXTVAL('SEQ_TB_QESTNAR_ANSWER_DETAIL_SN');</v>
      </c>
      <c r="AE361" s="125" t="str">
        <f t="shared" si="157"/>
        <v/>
      </c>
      <c r="AF361" s="125" t="str">
        <f t="shared" si="158"/>
        <v>COMMENT ON COLUMN TB_QESTNAR_ANSWER_DETAIL.QESTNAR_ANSWER_DETAIL_SN IS '설문조사 답변 상세 일련번호' ;</v>
      </c>
      <c r="AG361" s="125" t="str">
        <f t="shared" si="129"/>
        <v>ALTER TABLE TB_QESTNAR_ANSWER_DETAIL ALTER COLUMN QESTNAR_ANSWER_DETAIL_SN TYPE INTEGER;</v>
      </c>
      <c r="AH361" s="131" t="str">
        <f t="shared" si="149"/>
        <v>ALTER TABLE TB_QESTNAR_ANSWER_DETAIL ADD COLUMN QESTNAR_ANSWER_DETAIL_SN INTEGER NOT NULL;</v>
      </c>
      <c r="AI361" s="125" t="str">
        <f t="shared" si="130"/>
        <v>ALTER TABLE TB_QESTNAR_ANSWER_DETAIL DROP COLUMN QESTNAR_ANSWER_DETAIL_SN;</v>
      </c>
    </row>
    <row r="362" spans="2:35" ht="20.100000000000001" customHeight="1">
      <c r="B362" s="135">
        <v>349</v>
      </c>
      <c r="C362" s="26" t="s">
        <v>7</v>
      </c>
      <c r="D362" s="26" t="s">
        <v>634</v>
      </c>
      <c r="E362" s="11" t="s">
        <v>690</v>
      </c>
      <c r="F362" s="10" t="s">
        <v>691</v>
      </c>
      <c r="G362" s="87">
        <v>2</v>
      </c>
      <c r="H362" s="97" t="s">
        <v>688</v>
      </c>
      <c r="I362" s="97" t="s">
        <v>686</v>
      </c>
      <c r="J362" s="73" t="s">
        <v>669</v>
      </c>
      <c r="K362" s="69"/>
      <c r="L362" s="69">
        <v>1</v>
      </c>
      <c r="M362" s="11" t="s">
        <v>687</v>
      </c>
      <c r="N362" s="97" t="s">
        <v>688</v>
      </c>
      <c r="O362" s="96" t="s">
        <v>539</v>
      </c>
      <c r="P362" s="96" t="s">
        <v>540</v>
      </c>
      <c r="Q362" s="62" t="s">
        <v>229</v>
      </c>
      <c r="R362" s="119"/>
      <c r="S362" s="82"/>
      <c r="T362" s="97" t="s">
        <v>689</v>
      </c>
      <c r="U362" s="123"/>
      <c r="V362" s="123"/>
      <c r="W362" s="104"/>
      <c r="X362" s="85"/>
      <c r="Y362" s="123"/>
      <c r="Z362" s="130" t="str">
        <f t="shared" si="156"/>
        <v>/* 테이블 : 설문조사답변상세 */ CREATE TABLE TB_QESTNAR_ANSWER_DETAIL (</v>
      </c>
      <c r="AA362" s="125" t="str">
        <f t="shared" si="119"/>
        <v>QESTNAR_ANSWER_SN INTEGER NOT NULL,</v>
      </c>
      <c r="AB362" s="125" t="str">
        <f t="shared" si="117"/>
        <v>ALTER TABLE TB_QESTNAR_ANSWER_DETAIL ADD CONSTRAINT TB_QESTNAR_ANSWER_DETAIL_FKEY1 FOREIGN KEY(QESTNAR_ANSWER_SN) REFERENCES TB_QESTNAR_ANSWER(QESTNAR_ANSWER_SN) ON UPDATE CASCADE ON DELETE SET NULL;</v>
      </c>
      <c r="AC362" s="125" t="str">
        <f t="shared" si="118"/>
        <v/>
      </c>
      <c r="AD362" s="125" t="str">
        <f t="shared" si="128"/>
        <v/>
      </c>
      <c r="AE362" s="125" t="str">
        <f t="shared" si="157"/>
        <v/>
      </c>
      <c r="AF362" s="125" t="str">
        <f t="shared" si="158"/>
        <v>COMMENT ON COLUMN TB_QESTNAR_ANSWER_DETAIL.QESTNAR_ANSWER_SN IS '설문조사 답변 일련번호' ;</v>
      </c>
      <c r="AG362" s="125" t="str">
        <f t="shared" si="129"/>
        <v>ALTER TABLE TB_QESTNAR_ANSWER_DETAIL ALTER COLUMN QESTNAR_ANSWER_SN TYPE INTEGER;</v>
      </c>
      <c r="AH362" s="131" t="str">
        <f t="shared" si="149"/>
        <v>ALTER TABLE TB_QESTNAR_ANSWER_DETAIL ADD COLUMN QESTNAR_ANSWER_SN INTEGER NOT NULL;</v>
      </c>
      <c r="AI362" s="125" t="str">
        <f t="shared" si="130"/>
        <v>ALTER TABLE TB_QESTNAR_ANSWER_DETAIL DROP COLUMN QESTNAR_ANSWER_SN;</v>
      </c>
    </row>
    <row r="363" spans="2:35" ht="20.100000000000001" customHeight="1">
      <c r="B363" s="55">
        <v>350</v>
      </c>
      <c r="C363" s="26" t="s">
        <v>7</v>
      </c>
      <c r="D363" s="26" t="s">
        <v>634</v>
      </c>
      <c r="E363" s="11" t="s">
        <v>690</v>
      </c>
      <c r="F363" s="10" t="s">
        <v>691</v>
      </c>
      <c r="G363" s="87">
        <v>3</v>
      </c>
      <c r="H363" s="97" t="s">
        <v>656</v>
      </c>
      <c r="I363" s="97" t="s">
        <v>654</v>
      </c>
      <c r="J363" s="73" t="s">
        <v>669</v>
      </c>
      <c r="K363" s="69"/>
      <c r="L363" s="69">
        <v>2</v>
      </c>
      <c r="M363" s="11" t="s">
        <v>655</v>
      </c>
      <c r="N363" s="97" t="s">
        <v>656</v>
      </c>
      <c r="O363" s="96" t="s">
        <v>539</v>
      </c>
      <c r="P363" s="96" t="s">
        <v>540</v>
      </c>
      <c r="Q363" s="62" t="s">
        <v>229</v>
      </c>
      <c r="R363" s="119"/>
      <c r="S363" s="82"/>
      <c r="T363" s="97" t="s">
        <v>699</v>
      </c>
      <c r="U363" s="123"/>
      <c r="V363" s="123"/>
      <c r="W363" s="104"/>
      <c r="X363" s="85"/>
      <c r="Y363" s="123"/>
      <c r="Z363" s="130" t="str">
        <f t="shared" si="156"/>
        <v>/* 테이블 : 설문조사답변상세 */ CREATE TABLE TB_QESTNAR_ANSWER_DETAIL (</v>
      </c>
      <c r="AA363" s="125" t="str">
        <f t="shared" si="119"/>
        <v>QESTNAR_QESTN_SN INTEGER NOT NULL,</v>
      </c>
      <c r="AB363" s="125" t="str">
        <f t="shared" si="117"/>
        <v>ALTER TABLE TB_QESTNAR_ANSWER_DETAIL ADD CONSTRAINT TB_QESTNAR_ANSWER_DETAIL_FKEY2 FOREIGN KEY(QESTNAR_QESTN_SN) REFERENCES TB_QESTNAR_QESTN(QESTNAR_QESTN_SN) ON UPDATE CASCADE ON DELETE SET NULL;</v>
      </c>
      <c r="AC363" s="125" t="str">
        <f t="shared" si="118"/>
        <v/>
      </c>
      <c r="AD363" s="125" t="str">
        <f t="shared" si="128"/>
        <v/>
      </c>
      <c r="AE363" s="125" t="str">
        <f t="shared" si="157"/>
        <v/>
      </c>
      <c r="AF363" s="125" t="str">
        <f t="shared" si="158"/>
        <v>COMMENT ON COLUMN TB_QESTNAR_ANSWER_DETAIL.QESTNAR_QESTN_SN IS '설문조사 질문 일련번호' ;</v>
      </c>
      <c r="AG363" s="125" t="str">
        <f t="shared" si="129"/>
        <v>ALTER TABLE TB_QESTNAR_ANSWER_DETAIL ALTER COLUMN QESTNAR_QESTN_SN TYPE INTEGER;</v>
      </c>
      <c r="AH363" s="131" t="str">
        <f t="shared" si="149"/>
        <v>ALTER TABLE TB_QESTNAR_ANSWER_DETAIL ADD COLUMN QESTNAR_QESTN_SN INTEGER NOT NULL;</v>
      </c>
      <c r="AI363" s="125" t="str">
        <f t="shared" si="130"/>
        <v>ALTER TABLE TB_QESTNAR_ANSWER_DETAIL DROP COLUMN QESTNAR_QESTN_SN;</v>
      </c>
    </row>
    <row r="364" spans="2:35" ht="20.100000000000001" customHeight="1">
      <c r="B364" s="55">
        <v>351</v>
      </c>
      <c r="C364" s="26" t="s">
        <v>7</v>
      </c>
      <c r="D364" s="26" t="s">
        <v>634</v>
      </c>
      <c r="E364" s="11" t="s">
        <v>690</v>
      </c>
      <c r="F364" s="10" t="s">
        <v>691</v>
      </c>
      <c r="G364" s="87">
        <v>4</v>
      </c>
      <c r="H364" s="97" t="s">
        <v>694</v>
      </c>
      <c r="I364" s="97" t="s">
        <v>695</v>
      </c>
      <c r="J364" s="73"/>
      <c r="K364" s="69"/>
      <c r="L364" s="69"/>
      <c r="M364" s="69"/>
      <c r="N364" s="69"/>
      <c r="O364" s="69"/>
      <c r="P364" s="69"/>
      <c r="Q364" s="62" t="s">
        <v>106</v>
      </c>
      <c r="R364" s="119" t="s">
        <v>530</v>
      </c>
      <c r="S364" s="82"/>
      <c r="T364" s="97" t="s">
        <v>701</v>
      </c>
      <c r="U364" s="123"/>
      <c r="V364" s="123" t="s">
        <v>697</v>
      </c>
      <c r="W364" s="104"/>
      <c r="X364" s="85"/>
      <c r="Y364" s="123"/>
      <c r="Z364" s="130" t="str">
        <f t="shared" si="156"/>
        <v>/* 테이블 : 설문조사답변상세 */ CREATE TABLE TB_QESTNAR_ANSWER_DETAIL (</v>
      </c>
      <c r="AA364" s="125" t="str">
        <f t="shared" si="119"/>
        <v>QESTNAR_ANSWER VARCHAR(2000),</v>
      </c>
      <c r="AB364" s="125" t="str">
        <f t="shared" si="117"/>
        <v/>
      </c>
      <c r="AC364" s="125" t="str">
        <f t="shared" si="118"/>
        <v/>
      </c>
      <c r="AD364" s="125" t="str">
        <f t="shared" si="128"/>
        <v/>
      </c>
      <c r="AE364" s="125" t="str">
        <f t="shared" si="157"/>
        <v/>
      </c>
      <c r="AF364" s="125" t="str">
        <f t="shared" si="158"/>
        <v>COMMENT ON COLUMN TB_QESTNAR_ANSWER_DETAIL.QESTNAR_ANSWER IS '설문조사 답변' ;</v>
      </c>
      <c r="AG364" s="125" t="str">
        <f t="shared" si="129"/>
        <v>ALTER TABLE TB_QESTNAR_ANSWER_DETAIL ALTER COLUMN QESTNAR_ANSWER TYPE VARCHAR(2000);</v>
      </c>
      <c r="AH364" s="131" t="str">
        <f t="shared" si="149"/>
        <v>ALTER TABLE TB_QESTNAR_ANSWER_DETAIL ADD COLUMN QESTNAR_ANSWER VARCHAR(2000);</v>
      </c>
      <c r="AI364" s="125" t="str">
        <f t="shared" si="130"/>
        <v>ALTER TABLE TB_QESTNAR_ANSWER_DETAIL DROP COLUMN QESTNAR_ANSWER;</v>
      </c>
    </row>
    <row r="365" spans="2:35" ht="20.100000000000001" customHeight="1">
      <c r="B365" s="55">
        <v>352</v>
      </c>
      <c r="C365" s="26" t="s">
        <v>7</v>
      </c>
      <c r="D365" s="26" t="s">
        <v>634</v>
      </c>
      <c r="E365" s="11" t="s">
        <v>690</v>
      </c>
      <c r="F365" s="10" t="s">
        <v>691</v>
      </c>
      <c r="G365" s="87">
        <v>5</v>
      </c>
      <c r="H365" s="97" t="s">
        <v>673</v>
      </c>
      <c r="I365" s="97" t="s">
        <v>677</v>
      </c>
      <c r="J365" s="73"/>
      <c r="K365" s="69"/>
      <c r="L365" s="69">
        <v>3</v>
      </c>
      <c r="M365" s="11" t="s">
        <v>672</v>
      </c>
      <c r="N365" s="97" t="s">
        <v>673</v>
      </c>
      <c r="O365" s="96" t="s">
        <v>539</v>
      </c>
      <c r="P365" s="96" t="s">
        <v>540</v>
      </c>
      <c r="Q365" s="101" t="s">
        <v>172</v>
      </c>
      <c r="R365" s="83"/>
      <c r="S365" s="81"/>
      <c r="T365" s="97" t="s">
        <v>681</v>
      </c>
      <c r="U365" s="123"/>
      <c r="V365" s="123" t="s">
        <v>696</v>
      </c>
      <c r="W365" s="104"/>
      <c r="X365" s="85"/>
      <c r="Y365" s="123"/>
      <c r="Z365" s="130" t="str">
        <f t="shared" si="156"/>
        <v>/* 테이블 : 설문조사답변상세 */ CREATE TABLE TB_QESTNAR_ANSWER_DETAIL (</v>
      </c>
      <c r="AA365" s="125" t="str">
        <f t="shared" si="119"/>
        <v>QESTNAR_QESTN_DETAIL_SN INTEGER,</v>
      </c>
      <c r="AB365" s="125" t="str">
        <f t="shared" si="117"/>
        <v>ALTER TABLE TB_QESTNAR_ANSWER_DETAIL ADD CONSTRAINT TB_QESTNAR_ANSWER_DETAIL_FKEY3 FOREIGN KEY(QESTNAR_QESTN_DETAIL_SN) REFERENCES TB_QESTNAR_QESTN_DETAIL(QESTNAR_QESTN_DETAIL_SN) ON UPDATE CASCADE ON DELETE SET NULL;</v>
      </c>
      <c r="AC365" s="125" t="str">
        <f t="shared" si="118"/>
        <v/>
      </c>
      <c r="AD365" s="125" t="str">
        <f t="shared" si="128"/>
        <v/>
      </c>
      <c r="AE365" s="125" t="str">
        <f t="shared" si="157"/>
        <v/>
      </c>
      <c r="AF365" s="125" t="str">
        <f t="shared" si="158"/>
        <v>COMMENT ON COLUMN TB_QESTNAR_ANSWER_DETAIL.QESTNAR_QESTN_DETAIL_SN IS '설문조사 질문 상세 일련번호' ;</v>
      </c>
      <c r="AG365" s="125" t="str">
        <f t="shared" si="129"/>
        <v>ALTER TABLE TB_QESTNAR_ANSWER_DETAIL ALTER COLUMN QESTNAR_QESTN_DETAIL_SN TYPE INTEGER;</v>
      </c>
      <c r="AH365" s="131" t="str">
        <f t="shared" si="149"/>
        <v>ALTER TABLE TB_QESTNAR_ANSWER_DETAIL ADD COLUMN QESTNAR_QESTN_DETAIL_SN INTEGER;</v>
      </c>
      <c r="AI365" s="125" t="str">
        <f t="shared" si="130"/>
        <v>ALTER TABLE TB_QESTNAR_ANSWER_DETAIL DROP COLUMN QESTNAR_QESTN_DETAIL_SN;</v>
      </c>
    </row>
    <row r="366" spans="2:35" ht="20.100000000000001" customHeight="1">
      <c r="B366" s="135">
        <v>353</v>
      </c>
      <c r="C366" s="26" t="s">
        <v>7</v>
      </c>
      <c r="D366" s="26" t="s">
        <v>634</v>
      </c>
      <c r="E366" s="11" t="s">
        <v>690</v>
      </c>
      <c r="F366" s="10" t="s">
        <v>691</v>
      </c>
      <c r="G366" s="87">
        <v>6</v>
      </c>
      <c r="H366" s="104" t="s">
        <v>492</v>
      </c>
      <c r="I366" s="104" t="s">
        <v>491</v>
      </c>
      <c r="J366" s="85"/>
      <c r="K366" s="85"/>
      <c r="L366" s="85">
        <v>4</v>
      </c>
      <c r="M366" s="10" t="s">
        <v>364</v>
      </c>
      <c r="N366" s="96" t="s">
        <v>365</v>
      </c>
      <c r="O366" s="96" t="s">
        <v>539</v>
      </c>
      <c r="P366" s="96" t="s">
        <v>540</v>
      </c>
      <c r="Q366" s="104" t="s">
        <v>229</v>
      </c>
      <c r="R366" s="87"/>
      <c r="S366" s="85"/>
      <c r="T366" s="104" t="s">
        <v>510</v>
      </c>
      <c r="U366" s="123"/>
      <c r="V366" s="123" t="s">
        <v>698</v>
      </c>
      <c r="W366" s="104" t="s">
        <v>568</v>
      </c>
      <c r="X366" s="85"/>
      <c r="Y366" s="123"/>
      <c r="Z366" s="130" t="str">
        <f t="shared" si="156"/>
        <v>/* 테이블 : 설문조사답변상세 */ CREATE TABLE TB_QESTNAR_ANSWER_DETAIL (</v>
      </c>
      <c r="AA366" s="125" t="str">
        <f t="shared" si="119"/>
        <v>ATCH_FILE_SN INTEGER,</v>
      </c>
      <c r="AB366" s="125" t="str">
        <f t="shared" si="117"/>
        <v>ALTER TABLE TB_QESTNAR_ANSWER_DETAIL ADD CONSTRAINT TB_QESTNAR_ANSWER_DETAIL_FKEY4 FOREIGN KEY(ATCH_FILE_SN) REFERENCES TB_ATCH_FILE(ATCH_FILE_SN) ON UPDATE CASCADE ON DELETE SET NULL;</v>
      </c>
      <c r="AC366" s="125" t="str">
        <f t="shared" si="118"/>
        <v/>
      </c>
      <c r="AD366" s="125" t="str">
        <f t="shared" si="128"/>
        <v/>
      </c>
      <c r="AE366" s="125" t="str">
        <f t="shared" si="157"/>
        <v/>
      </c>
      <c r="AF366" s="125" t="str">
        <f t="shared" si="158"/>
        <v>COMMENT ON COLUMN TB_QESTNAR_ANSWER_DETAIL.ATCH_FILE_SN IS '첨부 파일 일련번호' ;</v>
      </c>
      <c r="AG366" s="125" t="str">
        <f t="shared" si="129"/>
        <v>ALTER TABLE TB_QESTNAR_ANSWER_DETAIL ALTER COLUMN ATCH_FILE_SN TYPE INTEGER;</v>
      </c>
      <c r="AH366" s="131" t="str">
        <f t="shared" si="149"/>
        <v>ALTER TABLE TB_QESTNAR_ANSWER_DETAIL ADD COLUMN ATCH_FILE_SN INTEGER;</v>
      </c>
      <c r="AI366" s="125" t="str">
        <f t="shared" si="130"/>
        <v>ALTER TABLE TB_QESTNAR_ANSWER_DETAIL DROP COLUMN ATCH_FILE_SN;</v>
      </c>
    </row>
    <row r="367" spans="2:35" ht="20.100000000000001" customHeight="1">
      <c r="B367" s="55">
        <v>354</v>
      </c>
      <c r="C367" s="26" t="s">
        <v>7</v>
      </c>
      <c r="D367" s="26" t="s">
        <v>634</v>
      </c>
      <c r="E367" s="11" t="s">
        <v>690</v>
      </c>
      <c r="F367" s="10" t="s">
        <v>691</v>
      </c>
      <c r="G367" s="87">
        <v>7</v>
      </c>
      <c r="H367" s="97" t="s">
        <v>107</v>
      </c>
      <c r="I367" s="51" t="s">
        <v>76</v>
      </c>
      <c r="J367" s="73" t="s">
        <v>72</v>
      </c>
      <c r="K367" s="67"/>
      <c r="L367" s="67"/>
      <c r="M367" s="77"/>
      <c r="N367" s="77"/>
      <c r="O367" s="77"/>
      <c r="P367" s="77"/>
      <c r="Q367" s="100" t="s">
        <v>521</v>
      </c>
      <c r="R367" s="119" t="s">
        <v>526</v>
      </c>
      <c r="S367" s="80"/>
      <c r="T367" s="107" t="s">
        <v>219</v>
      </c>
      <c r="U367" s="78"/>
      <c r="V367" s="78"/>
      <c r="W367" s="116" t="s">
        <v>496</v>
      </c>
      <c r="X367" s="45"/>
      <c r="Y367" s="78"/>
      <c r="Z367" s="130" t="str">
        <f t="shared" si="156"/>
        <v>/* 테이블 : 설문조사답변상세 */ CREATE TABLE TB_QESTNAR_ANSWER_DETAIL (</v>
      </c>
      <c r="AA367" s="125" t="str">
        <f t="shared" si="119"/>
        <v>REGISTER_ID VARCHAR(50) NOT NULL,</v>
      </c>
      <c r="AB367" s="125" t="str">
        <f t="shared" si="117"/>
        <v/>
      </c>
      <c r="AC367" s="125" t="str">
        <f t="shared" si="118"/>
        <v/>
      </c>
      <c r="AD367" s="125" t="str">
        <f t="shared" si="128"/>
        <v/>
      </c>
      <c r="AE367" s="125" t="str">
        <f t="shared" si="157"/>
        <v/>
      </c>
      <c r="AF367" s="125" t="str">
        <f t="shared" si="158"/>
        <v>COMMENT ON COLUMN TB_QESTNAR_ANSWER_DETAIL.REGISTER_ID IS '등록자 ID' ;</v>
      </c>
      <c r="AG367" s="125" t="str">
        <f t="shared" si="129"/>
        <v>ALTER TABLE TB_QESTNAR_ANSWER_DETAIL ALTER COLUMN REGISTER_ID TYPE VARCHAR(50);</v>
      </c>
      <c r="AH367" s="131" t="str">
        <f t="shared" si="149"/>
        <v>ALTER TABLE TB_QESTNAR_ANSWER_DETAIL ADD COLUMN REGISTER_ID VARCHAR(50) NOT NULL;</v>
      </c>
      <c r="AI367" s="125" t="str">
        <f t="shared" si="130"/>
        <v>ALTER TABLE TB_QESTNAR_ANSWER_DETAIL DROP COLUMN REGISTER_ID;</v>
      </c>
    </row>
    <row r="368" spans="2:35" ht="20.100000000000001" customHeight="1">
      <c r="B368" s="55">
        <v>355</v>
      </c>
      <c r="C368" s="26" t="s">
        <v>7</v>
      </c>
      <c r="D368" s="26" t="s">
        <v>634</v>
      </c>
      <c r="E368" s="11" t="s">
        <v>690</v>
      </c>
      <c r="F368" s="10" t="s">
        <v>691</v>
      </c>
      <c r="G368" s="87">
        <v>8</v>
      </c>
      <c r="H368" s="97" t="s">
        <v>91</v>
      </c>
      <c r="I368" s="51" t="s">
        <v>77</v>
      </c>
      <c r="J368" s="73" t="s">
        <v>72</v>
      </c>
      <c r="K368" s="52"/>
      <c r="L368" s="52"/>
      <c r="M368" s="52"/>
      <c r="N368" s="52"/>
      <c r="O368" s="52"/>
      <c r="P368" s="52"/>
      <c r="Q368" s="56" t="s">
        <v>106</v>
      </c>
      <c r="R368" s="119" t="s">
        <v>527</v>
      </c>
      <c r="S368" s="80"/>
      <c r="T368" s="107" t="s">
        <v>218</v>
      </c>
      <c r="U368" s="78"/>
      <c r="V368" s="78"/>
      <c r="W368" s="101"/>
      <c r="X368" s="45"/>
      <c r="Y368" s="78"/>
      <c r="Z368" s="130" t="str">
        <f t="shared" si="156"/>
        <v>/* 테이블 : 설문조사답변상세 */ CREATE TABLE TB_QESTNAR_ANSWER_DETAIL (</v>
      </c>
      <c r="AA368" s="125" t="str">
        <f t="shared" si="119"/>
        <v>REGISTER_IP VARCHAR(100) NOT NULL,</v>
      </c>
      <c r="AB368" s="125" t="str">
        <f t="shared" si="117"/>
        <v/>
      </c>
      <c r="AC368" s="125" t="str">
        <f t="shared" si="118"/>
        <v/>
      </c>
      <c r="AD368" s="125" t="str">
        <f t="shared" si="128"/>
        <v/>
      </c>
      <c r="AE368" s="125" t="str">
        <f t="shared" si="157"/>
        <v/>
      </c>
      <c r="AF368" s="125" t="str">
        <f t="shared" si="158"/>
        <v>COMMENT ON COLUMN TB_QESTNAR_ANSWER_DETAIL.REGISTER_IP IS '등록자 IP' ;</v>
      </c>
      <c r="AG368" s="125" t="str">
        <f t="shared" si="129"/>
        <v>ALTER TABLE TB_QESTNAR_ANSWER_DETAIL ALTER COLUMN REGISTER_IP TYPE VARCHAR(100);</v>
      </c>
      <c r="AH368" s="131" t="str">
        <f t="shared" si="149"/>
        <v>ALTER TABLE TB_QESTNAR_ANSWER_DETAIL ADD COLUMN REGISTER_IP VARCHAR(100) NOT NULL;</v>
      </c>
      <c r="AI368" s="125" t="str">
        <f t="shared" si="130"/>
        <v>ALTER TABLE TB_QESTNAR_ANSWER_DETAIL DROP COLUMN REGISTER_IP;</v>
      </c>
    </row>
    <row r="369" spans="2:35" ht="20.100000000000001" customHeight="1">
      <c r="B369" s="55">
        <v>356</v>
      </c>
      <c r="C369" s="26" t="s">
        <v>7</v>
      </c>
      <c r="D369" s="26" t="s">
        <v>634</v>
      </c>
      <c r="E369" s="11" t="s">
        <v>690</v>
      </c>
      <c r="F369" s="10" t="s">
        <v>691</v>
      </c>
      <c r="G369" s="87">
        <v>9</v>
      </c>
      <c r="H369" s="97" t="s">
        <v>92</v>
      </c>
      <c r="I369" s="96" t="s">
        <v>78</v>
      </c>
      <c r="J369" s="73" t="s">
        <v>72</v>
      </c>
      <c r="K369" s="52"/>
      <c r="L369" s="52"/>
      <c r="M369" s="52"/>
      <c r="N369" s="52"/>
      <c r="O369" s="52"/>
      <c r="P369" s="52"/>
      <c r="Q369" s="51" t="s">
        <v>702</v>
      </c>
      <c r="R369" s="119"/>
      <c r="S369" s="80"/>
      <c r="T369" s="107" t="s">
        <v>217</v>
      </c>
      <c r="U369" s="78"/>
      <c r="V369" s="78"/>
      <c r="W369" s="101"/>
      <c r="X369" s="45"/>
      <c r="Y369" s="78"/>
      <c r="Z369" s="130" t="str">
        <f t="shared" si="156"/>
        <v>/* 테이블 : 설문조사답변상세 */ CREATE TABLE TB_QESTNAR_ANSWER_DETAIL (</v>
      </c>
      <c r="AA369" s="125" t="str">
        <f t="shared" si="119"/>
        <v>REG_DT TIMESTAMP NOT NULL,</v>
      </c>
      <c r="AB369" s="125" t="str">
        <f t="shared" si="117"/>
        <v/>
      </c>
      <c r="AC369" s="125" t="str">
        <f t="shared" si="118"/>
        <v/>
      </c>
      <c r="AD369" s="125" t="str">
        <f t="shared" ref="AD369:AD433" si="159">IF(ISBLANK(U369),"","ALTER TABLE "&amp;E369&amp;" ALTER COLUMN "&amp;H369&amp;" SET DEFAULT NEXTVAL('"&amp;U369&amp;"');")</f>
        <v/>
      </c>
      <c r="AE369" s="125" t="str">
        <f t="shared" si="157"/>
        <v/>
      </c>
      <c r="AF369" s="125" t="str">
        <f t="shared" si="158"/>
        <v>COMMENT ON COLUMN TB_QESTNAR_ANSWER_DETAIL.REG_DT IS '등록 일시' ;</v>
      </c>
      <c r="AG369" s="125" t="str">
        <f t="shared" si="129"/>
        <v>ALTER TABLE TB_QESTNAR_ANSWER_DETAIL ALTER COLUMN REG_DT TYPE TIMESTAMP;</v>
      </c>
      <c r="AH369" s="131" t="str">
        <f t="shared" si="149"/>
        <v>ALTER TABLE TB_QESTNAR_ANSWER_DETAIL ADD COLUMN REG_DT TIMESTAMP NOT NULL;</v>
      </c>
      <c r="AI369" s="125" t="str">
        <f t="shared" si="130"/>
        <v>ALTER TABLE TB_QESTNAR_ANSWER_DETAIL DROP COLUMN REG_DT;</v>
      </c>
    </row>
    <row r="370" spans="2:35" ht="20.100000000000001" customHeight="1">
      <c r="B370" s="135">
        <v>357</v>
      </c>
      <c r="C370" s="26" t="s">
        <v>7</v>
      </c>
      <c r="D370" s="26" t="s">
        <v>634</v>
      </c>
      <c r="E370" s="11" t="s">
        <v>690</v>
      </c>
      <c r="F370" s="10" t="s">
        <v>691</v>
      </c>
      <c r="G370" s="87">
        <v>10</v>
      </c>
      <c r="H370" s="97" t="s">
        <v>93</v>
      </c>
      <c r="I370" s="96" t="s">
        <v>80</v>
      </c>
      <c r="J370" s="52"/>
      <c r="K370" s="52"/>
      <c r="L370" s="52"/>
      <c r="M370" s="79"/>
      <c r="N370" s="79"/>
      <c r="O370" s="79"/>
      <c r="P370" s="79"/>
      <c r="Q370" s="100" t="s">
        <v>521</v>
      </c>
      <c r="R370" s="119" t="s">
        <v>526</v>
      </c>
      <c r="S370" s="80"/>
      <c r="T370" s="107" t="s">
        <v>216</v>
      </c>
      <c r="U370" s="78"/>
      <c r="V370" s="78"/>
      <c r="W370" s="116" t="s">
        <v>496</v>
      </c>
      <c r="X370" s="45"/>
      <c r="Y370" s="78"/>
      <c r="Z370" s="130" t="str">
        <f t="shared" si="156"/>
        <v>/* 테이블 : 설문조사답변상세 */ CREATE TABLE TB_QESTNAR_ANSWER_DETAIL (</v>
      </c>
      <c r="AA370" s="125" t="str">
        <f t="shared" ref="AA370:AA434" si="160">H370&amp;" "&amp;Q370&amp;R370&amp;IF(ISBLANK(K370),""," PRIMARY KEY")&amp;IF(AND(ISBLANK(K370),J370="Y")," NOT NULL","")&amp;","</f>
        <v>UPDUSR_ID VARCHAR(50),</v>
      </c>
      <c r="AB370" s="125" t="str">
        <f t="shared" si="117"/>
        <v/>
      </c>
      <c r="AC370" s="125" t="str">
        <f t="shared" si="118"/>
        <v/>
      </c>
      <c r="AD370" s="125" t="str">
        <f t="shared" si="159"/>
        <v/>
      </c>
      <c r="AE370" s="125" t="str">
        <f t="shared" si="157"/>
        <v/>
      </c>
      <c r="AF370" s="125" t="str">
        <f t="shared" si="158"/>
        <v>COMMENT ON COLUMN TB_QESTNAR_ANSWER_DETAIL.UPDUSR_ID IS '수정자 ID' ;</v>
      </c>
      <c r="AG370" s="125" t="str">
        <f t="shared" si="129"/>
        <v>ALTER TABLE TB_QESTNAR_ANSWER_DETAIL ALTER COLUMN UPDUSR_ID TYPE VARCHAR(50);</v>
      </c>
      <c r="AH370" s="131" t="str">
        <f t="shared" si="149"/>
        <v>ALTER TABLE TB_QESTNAR_ANSWER_DETAIL ADD COLUMN UPDUSR_ID VARCHAR(50);</v>
      </c>
      <c r="AI370" s="125" t="str">
        <f t="shared" si="130"/>
        <v>ALTER TABLE TB_QESTNAR_ANSWER_DETAIL DROP COLUMN UPDUSR_ID;</v>
      </c>
    </row>
    <row r="371" spans="2:35" ht="20.100000000000001" customHeight="1">
      <c r="B371" s="55">
        <v>358</v>
      </c>
      <c r="C371" s="26" t="s">
        <v>7</v>
      </c>
      <c r="D371" s="26" t="s">
        <v>634</v>
      </c>
      <c r="E371" s="11" t="s">
        <v>690</v>
      </c>
      <c r="F371" s="10" t="s">
        <v>691</v>
      </c>
      <c r="G371" s="87">
        <v>11</v>
      </c>
      <c r="H371" s="97" t="s">
        <v>94</v>
      </c>
      <c r="I371" s="96" t="s">
        <v>79</v>
      </c>
      <c r="J371" s="52"/>
      <c r="K371" s="52"/>
      <c r="L371" s="52"/>
      <c r="M371" s="52"/>
      <c r="N371" s="52"/>
      <c r="O371" s="52"/>
      <c r="P371" s="52"/>
      <c r="Q371" s="56" t="s">
        <v>106</v>
      </c>
      <c r="R371" s="119" t="s">
        <v>527</v>
      </c>
      <c r="S371" s="80"/>
      <c r="T371" s="107" t="s">
        <v>215</v>
      </c>
      <c r="U371" s="78"/>
      <c r="V371" s="78"/>
      <c r="W371" s="101"/>
      <c r="X371" s="45"/>
      <c r="Y371" s="78"/>
      <c r="Z371" s="130" t="str">
        <f t="shared" si="156"/>
        <v>/* 테이블 : 설문조사답변상세 */ CREATE TABLE TB_QESTNAR_ANSWER_DETAIL (</v>
      </c>
      <c r="AA371" s="125" t="str">
        <f t="shared" si="160"/>
        <v>UPDUSR_IP VARCHAR(100),</v>
      </c>
      <c r="AB371" s="125" t="str">
        <f t="shared" si="117"/>
        <v/>
      </c>
      <c r="AC371" s="125" t="str">
        <f t="shared" si="118"/>
        <v/>
      </c>
      <c r="AD371" s="125" t="str">
        <f t="shared" si="159"/>
        <v/>
      </c>
      <c r="AE371" s="125" t="str">
        <f t="shared" si="157"/>
        <v/>
      </c>
      <c r="AF371" s="125" t="str">
        <f t="shared" si="158"/>
        <v>COMMENT ON COLUMN TB_QESTNAR_ANSWER_DETAIL.UPDUSR_IP IS '수정자 IP' ;</v>
      </c>
      <c r="AG371" s="125" t="str">
        <f t="shared" si="129"/>
        <v>ALTER TABLE TB_QESTNAR_ANSWER_DETAIL ALTER COLUMN UPDUSR_IP TYPE VARCHAR(100);</v>
      </c>
      <c r="AH371" s="131" t="str">
        <f t="shared" si="149"/>
        <v>ALTER TABLE TB_QESTNAR_ANSWER_DETAIL ADD COLUMN UPDUSR_IP VARCHAR(100);</v>
      </c>
      <c r="AI371" s="125" t="str">
        <f t="shared" si="130"/>
        <v>ALTER TABLE TB_QESTNAR_ANSWER_DETAIL DROP COLUMN UPDUSR_IP;</v>
      </c>
    </row>
    <row r="372" spans="2:35" ht="20.100000000000001" customHeight="1">
      <c r="B372" s="55">
        <v>359</v>
      </c>
      <c r="C372" s="26" t="s">
        <v>7</v>
      </c>
      <c r="D372" s="26" t="s">
        <v>634</v>
      </c>
      <c r="E372" s="11" t="s">
        <v>690</v>
      </c>
      <c r="F372" s="10" t="s">
        <v>691</v>
      </c>
      <c r="G372" s="87">
        <v>12</v>
      </c>
      <c r="H372" s="98" t="s">
        <v>95</v>
      </c>
      <c r="I372" s="97" t="s">
        <v>81</v>
      </c>
      <c r="J372" s="61"/>
      <c r="K372" s="61"/>
      <c r="L372" s="61"/>
      <c r="M372" s="61"/>
      <c r="N372" s="61"/>
      <c r="O372" s="61"/>
      <c r="P372" s="61"/>
      <c r="Q372" s="51" t="s">
        <v>702</v>
      </c>
      <c r="R372" s="119"/>
      <c r="S372" s="77"/>
      <c r="T372" s="107" t="s">
        <v>214</v>
      </c>
      <c r="U372" s="78"/>
      <c r="V372" s="78"/>
      <c r="W372" s="101"/>
      <c r="X372" s="45"/>
      <c r="Y372" s="78"/>
      <c r="Z372" s="130" t="str">
        <f t="shared" si="156"/>
        <v>/* 테이블 : 설문조사답변상세 */ CREATE TABLE TB_QESTNAR_ANSWER_DETAIL (</v>
      </c>
      <c r="AA372" s="125" t="str">
        <f t="shared" si="160"/>
        <v>UPDT_DT TIMESTAMP,</v>
      </c>
      <c r="AB372" s="125" t="str">
        <f t="shared" si="117"/>
        <v/>
      </c>
      <c r="AC372" s="125" t="str">
        <f t="shared" si="118"/>
        <v/>
      </c>
      <c r="AD372" s="125" t="str">
        <f t="shared" si="159"/>
        <v/>
      </c>
      <c r="AE372" s="125" t="str">
        <f t="shared" si="157"/>
        <v/>
      </c>
      <c r="AF372" s="125" t="str">
        <f t="shared" si="158"/>
        <v>COMMENT ON COLUMN TB_QESTNAR_ANSWER_DETAIL.UPDT_DT IS '수정 일시' ;</v>
      </c>
      <c r="AG372" s="125" t="str">
        <f t="shared" si="129"/>
        <v>ALTER TABLE TB_QESTNAR_ANSWER_DETAIL ALTER COLUMN UPDT_DT TYPE TIMESTAMP;</v>
      </c>
      <c r="AH372" s="131" t="str">
        <f t="shared" si="149"/>
        <v>ALTER TABLE TB_QESTNAR_ANSWER_DETAIL ADD COLUMN UPDT_DT TIMESTAMP;</v>
      </c>
      <c r="AI372" s="125" t="str">
        <f t="shared" si="130"/>
        <v>ALTER TABLE TB_QESTNAR_ANSWER_DETAIL DROP COLUMN UPDT_DT;</v>
      </c>
    </row>
    <row r="373" spans="2:35" ht="20.100000000000001" customHeight="1">
      <c r="B373" s="55">
        <v>360</v>
      </c>
      <c r="C373" s="26" t="s">
        <v>7</v>
      </c>
      <c r="D373" s="26" t="s">
        <v>634</v>
      </c>
      <c r="E373" s="11" t="s">
        <v>690</v>
      </c>
      <c r="F373" s="10" t="s">
        <v>691</v>
      </c>
      <c r="G373" s="87">
        <v>13</v>
      </c>
      <c r="H373" s="97" t="s">
        <v>96</v>
      </c>
      <c r="I373" s="97" t="s">
        <v>82</v>
      </c>
      <c r="J373" s="73" t="s">
        <v>72</v>
      </c>
      <c r="K373" s="61"/>
      <c r="L373" s="61"/>
      <c r="M373" s="61"/>
      <c r="N373" s="61"/>
      <c r="O373" s="61"/>
      <c r="P373" s="61"/>
      <c r="Q373" s="51" t="s">
        <v>800</v>
      </c>
      <c r="R373" s="119" t="s">
        <v>522</v>
      </c>
      <c r="S373" s="82" t="s">
        <v>799</v>
      </c>
      <c r="T373" s="107" t="s">
        <v>213</v>
      </c>
      <c r="U373" s="78"/>
      <c r="V373" s="78"/>
      <c r="W373" s="101"/>
      <c r="X373" s="45"/>
      <c r="Y373" s="78"/>
      <c r="Z373" s="130" t="str">
        <f t="shared" si="156"/>
        <v>/* 테이블 : 설문조사답변상세 */ CREATE TABLE TB_QESTNAR_ANSWER_DETAIL (</v>
      </c>
      <c r="AA373" s="125" t="str">
        <f t="shared" si="160"/>
        <v>DEL_YN BPCHAR(1) NOT NULL,</v>
      </c>
      <c r="AB373" s="125" t="str">
        <f t="shared" si="117"/>
        <v/>
      </c>
      <c r="AC373" s="125" t="str">
        <f t="shared" si="118"/>
        <v/>
      </c>
      <c r="AD373" s="125" t="str">
        <f t="shared" si="159"/>
        <v/>
      </c>
      <c r="AE373" s="125" t="str">
        <f t="shared" si="157"/>
        <v>ALTER TABLE TB_QESTNAR_ANSWER_DETAIL ALTER COLUMN DEL_YN SET DEFAULT 'N'::bpchar;</v>
      </c>
      <c r="AF373" s="125" t="str">
        <f t="shared" si="158"/>
        <v>COMMENT ON COLUMN TB_QESTNAR_ANSWER_DETAIL.DEL_YN IS '삭제 여부' ;</v>
      </c>
      <c r="AG373" s="125" t="str">
        <f t="shared" si="129"/>
        <v>ALTER TABLE TB_QESTNAR_ANSWER_DETAIL ALTER COLUMN DEL_YN TYPE BPCHAR(1);</v>
      </c>
      <c r="AH373" s="131" t="str">
        <f t="shared" si="149"/>
        <v>ALTER TABLE TB_QESTNAR_ANSWER_DETAIL ADD COLUMN DEL_YN BPCHAR(1) NOT NULL DEFAULT 'N'::bpchar;</v>
      </c>
      <c r="AI373" s="125" t="str">
        <f t="shared" si="130"/>
        <v>ALTER TABLE TB_QESTNAR_ANSWER_DETAIL DROP COLUMN DEL_YN;</v>
      </c>
    </row>
    <row r="374" spans="2:35" ht="20.100000000000001" customHeight="1">
      <c r="B374" s="135">
        <v>361</v>
      </c>
      <c r="C374" s="26" t="s">
        <v>7</v>
      </c>
      <c r="D374" s="26" t="s">
        <v>19</v>
      </c>
      <c r="E374" s="10" t="s">
        <v>364</v>
      </c>
      <c r="F374" s="10" t="s">
        <v>118</v>
      </c>
      <c r="G374" s="87">
        <v>1</v>
      </c>
      <c r="H374" s="104" t="s">
        <v>365</v>
      </c>
      <c r="I374" s="104" t="s">
        <v>367</v>
      </c>
      <c r="J374" s="85" t="s">
        <v>350</v>
      </c>
      <c r="K374" s="85">
        <v>1</v>
      </c>
      <c r="L374" s="85"/>
      <c r="M374" s="10"/>
      <c r="N374" s="96"/>
      <c r="O374" s="96"/>
      <c r="P374" s="96"/>
      <c r="Q374" s="51" t="s">
        <v>229</v>
      </c>
      <c r="R374" s="117"/>
      <c r="S374" s="85"/>
      <c r="T374" s="104" t="s">
        <v>369</v>
      </c>
      <c r="U374" s="125" t="str">
        <f>"SEQ_"&amp;E374&amp;"_SN"</f>
        <v>SEQ_TB_ATCH_FILE_SN</v>
      </c>
      <c r="V374" s="125"/>
      <c r="W374" s="104"/>
      <c r="X374" s="85"/>
      <c r="Y374" s="123"/>
      <c r="Z374" s="130" t="str">
        <f t="shared" si="156"/>
        <v>/* 테이블 : 파일첨부 */ CREATE TABLE TB_ATCH_FILE (</v>
      </c>
      <c r="AA374" s="125" t="str">
        <f t="shared" si="160"/>
        <v>ATCH_FILE_SN INTEGER PRIMARY KEY,</v>
      </c>
      <c r="AB374" s="125" t="str">
        <f t="shared" si="117"/>
        <v/>
      </c>
      <c r="AC374" s="125" t="str">
        <f t="shared" si="118"/>
        <v>CREATE SEQUENCE SEQ_TB_ATCH_FILE_SN START 100000;</v>
      </c>
      <c r="AD374" s="125" t="str">
        <f t="shared" si="159"/>
        <v>ALTER TABLE TB_ATCH_FILE ALTER COLUMN ATCH_FILE_SN SET DEFAULT NEXTVAL('SEQ_TB_ATCH_FILE_SN');</v>
      </c>
      <c r="AE374" s="125" t="str">
        <f t="shared" si="157"/>
        <v/>
      </c>
      <c r="AF374" s="125" t="str">
        <f t="shared" si="158"/>
        <v>COMMENT ON COLUMN TB_ATCH_FILE.ATCH_FILE_SN IS '첨부 파일 일련번호' ;</v>
      </c>
      <c r="AG374" s="125" t="str">
        <f t="shared" si="129"/>
        <v>ALTER TABLE TB_ATCH_FILE ALTER COLUMN ATCH_FILE_SN TYPE INTEGER;</v>
      </c>
      <c r="AH374" s="131" t="str">
        <f t="shared" si="149"/>
        <v>ALTER TABLE TB_ATCH_FILE ADD COLUMN ATCH_FILE_SN INTEGER NOT NULL;</v>
      </c>
      <c r="AI374" s="125" t="str">
        <f t="shared" si="130"/>
        <v>ALTER TABLE TB_ATCH_FILE DROP COLUMN ATCH_FILE_SN;</v>
      </c>
    </row>
    <row r="375" spans="2:35" ht="20.100000000000001" customHeight="1">
      <c r="B375" s="55">
        <v>362</v>
      </c>
      <c r="C375" s="26" t="s">
        <v>7</v>
      </c>
      <c r="D375" s="26" t="s">
        <v>19</v>
      </c>
      <c r="E375" s="10" t="s">
        <v>364</v>
      </c>
      <c r="F375" s="10" t="s">
        <v>118</v>
      </c>
      <c r="G375" s="87">
        <v>2</v>
      </c>
      <c r="H375" s="97" t="s">
        <v>92</v>
      </c>
      <c r="I375" s="96" t="s">
        <v>78</v>
      </c>
      <c r="J375" s="73" t="s">
        <v>72</v>
      </c>
      <c r="K375" s="85"/>
      <c r="L375" s="85"/>
      <c r="M375" s="85"/>
      <c r="N375" s="85"/>
      <c r="O375" s="85"/>
      <c r="P375" s="85"/>
      <c r="Q375" s="51" t="s">
        <v>702</v>
      </c>
      <c r="R375" s="119"/>
      <c r="S375" s="80"/>
      <c r="T375" s="107" t="s">
        <v>217</v>
      </c>
      <c r="U375" s="123"/>
      <c r="V375" s="123"/>
      <c r="W375" s="104"/>
      <c r="X375" s="85"/>
      <c r="Y375" s="123"/>
      <c r="Z375" s="130" t="str">
        <f t="shared" si="156"/>
        <v>/* 테이블 : 파일첨부 */ CREATE TABLE TB_ATCH_FILE (</v>
      </c>
      <c r="AA375" s="125" t="str">
        <f t="shared" si="160"/>
        <v>REG_DT TIMESTAMP NOT NULL,</v>
      </c>
      <c r="AB375" s="125" t="str">
        <f t="shared" si="117"/>
        <v/>
      </c>
      <c r="AC375" s="125" t="str">
        <f t="shared" si="118"/>
        <v/>
      </c>
      <c r="AD375" s="125" t="str">
        <f t="shared" si="159"/>
        <v/>
      </c>
      <c r="AE375" s="125" t="str">
        <f t="shared" si="157"/>
        <v/>
      </c>
      <c r="AF375" s="125" t="str">
        <f t="shared" si="158"/>
        <v>COMMENT ON COLUMN TB_ATCH_FILE.REG_DT IS '등록 일시' ;</v>
      </c>
      <c r="AG375" s="125" t="str">
        <f t="shared" si="129"/>
        <v>ALTER TABLE TB_ATCH_FILE ALTER COLUMN REG_DT TYPE TIMESTAMP;</v>
      </c>
      <c r="AH375" s="131" t="str">
        <f t="shared" si="149"/>
        <v>ALTER TABLE TB_ATCH_FILE ADD COLUMN REG_DT TIMESTAMP NOT NULL;</v>
      </c>
      <c r="AI375" s="125" t="str">
        <f t="shared" si="130"/>
        <v>ALTER TABLE TB_ATCH_FILE DROP COLUMN REG_DT;</v>
      </c>
    </row>
    <row r="376" spans="2:35" ht="20.100000000000001" customHeight="1">
      <c r="B376" s="55">
        <v>363</v>
      </c>
      <c r="C376" s="26" t="s">
        <v>7</v>
      </c>
      <c r="D376" s="26" t="s">
        <v>19</v>
      </c>
      <c r="E376" s="10" t="s">
        <v>364</v>
      </c>
      <c r="F376" s="10" t="s">
        <v>118</v>
      </c>
      <c r="G376" s="87">
        <v>3</v>
      </c>
      <c r="H376" s="97" t="s">
        <v>96</v>
      </c>
      <c r="I376" s="97" t="s">
        <v>82</v>
      </c>
      <c r="J376" s="73" t="s">
        <v>72</v>
      </c>
      <c r="K376" s="61"/>
      <c r="L376" s="61"/>
      <c r="M376" s="61"/>
      <c r="N376" s="61"/>
      <c r="O376" s="61"/>
      <c r="P376" s="61"/>
      <c r="Q376" s="51" t="s">
        <v>800</v>
      </c>
      <c r="R376" s="119" t="s">
        <v>522</v>
      </c>
      <c r="S376" s="82" t="s">
        <v>799</v>
      </c>
      <c r="T376" s="107" t="s">
        <v>213</v>
      </c>
      <c r="U376" s="123"/>
      <c r="V376" s="123"/>
      <c r="W376" s="104"/>
      <c r="X376" s="85"/>
      <c r="Y376" s="123"/>
      <c r="Z376" s="130" t="str">
        <f t="shared" si="156"/>
        <v>/* 테이블 : 파일첨부 */ CREATE TABLE TB_ATCH_FILE (</v>
      </c>
      <c r="AA376" s="125" t="str">
        <f t="shared" si="160"/>
        <v>DEL_YN BPCHAR(1) NOT NULL,</v>
      </c>
      <c r="AB376" s="125" t="str">
        <f t="shared" si="117"/>
        <v/>
      </c>
      <c r="AC376" s="125" t="str">
        <f t="shared" si="118"/>
        <v/>
      </c>
      <c r="AD376" s="125" t="str">
        <f t="shared" si="159"/>
        <v/>
      </c>
      <c r="AE376" s="125" t="str">
        <f t="shared" si="157"/>
        <v>ALTER TABLE TB_ATCH_FILE ALTER COLUMN DEL_YN SET DEFAULT 'N'::bpchar;</v>
      </c>
      <c r="AF376" s="125" t="str">
        <f t="shared" si="158"/>
        <v>COMMENT ON COLUMN TB_ATCH_FILE.DEL_YN IS '삭제 여부' ;</v>
      </c>
      <c r="AG376" s="125" t="str">
        <f t="shared" si="129"/>
        <v>ALTER TABLE TB_ATCH_FILE ALTER COLUMN DEL_YN TYPE BPCHAR(1);</v>
      </c>
      <c r="AH376" s="131" t="str">
        <f t="shared" si="149"/>
        <v>ALTER TABLE TB_ATCH_FILE ADD COLUMN DEL_YN BPCHAR(1) NOT NULL DEFAULT 'N'::bpchar;</v>
      </c>
      <c r="AI376" s="125" t="str">
        <f t="shared" si="130"/>
        <v>ALTER TABLE TB_ATCH_FILE DROP COLUMN DEL_YN;</v>
      </c>
    </row>
    <row r="377" spans="2:35" ht="20.100000000000001" customHeight="1">
      <c r="B377" s="55">
        <v>364</v>
      </c>
      <c r="C377" s="26" t="s">
        <v>7</v>
      </c>
      <c r="D377" s="26" t="s">
        <v>19</v>
      </c>
      <c r="E377" s="10" t="s">
        <v>371</v>
      </c>
      <c r="F377" s="10" t="s">
        <v>372</v>
      </c>
      <c r="G377" s="87">
        <v>1</v>
      </c>
      <c r="H377" s="104" t="s">
        <v>365</v>
      </c>
      <c r="I377" s="104" t="s">
        <v>367</v>
      </c>
      <c r="J377" s="85" t="s">
        <v>373</v>
      </c>
      <c r="K377" s="85">
        <v>1</v>
      </c>
      <c r="L377" s="85">
        <v>1</v>
      </c>
      <c r="M377" s="10" t="s">
        <v>364</v>
      </c>
      <c r="N377" s="96" t="s">
        <v>365</v>
      </c>
      <c r="O377" s="96" t="s">
        <v>539</v>
      </c>
      <c r="P377" s="96" t="s">
        <v>540</v>
      </c>
      <c r="Q377" s="51" t="s">
        <v>229</v>
      </c>
      <c r="R377" s="117"/>
      <c r="S377" s="45"/>
      <c r="T377" s="101" t="s">
        <v>369</v>
      </c>
      <c r="U377" s="125"/>
      <c r="V377" s="125"/>
      <c r="W377" s="104"/>
      <c r="X377" s="85"/>
      <c r="Y377" s="123"/>
      <c r="Z377" s="130" t="str">
        <f t="shared" si="156"/>
        <v>/* 테이블 : 첨부파일상세 */ CREATE TABLE TB_ATCH_FILE_DETAIL (</v>
      </c>
      <c r="AA377" s="125" t="str">
        <f t="shared" si="160"/>
        <v>ATCH_FILE_SN INTEGER PRIMARY KEY,</v>
      </c>
      <c r="AB377" s="125" t="str">
        <f t="shared" si="117"/>
        <v>ALTER TABLE TB_ATCH_FILE_DETAIL ADD CONSTRAINT TB_ATCH_FILE_DETAIL_FKEY1 FOREIGN KEY(ATCH_FILE_SN) REFERENCES TB_ATCH_FILE(ATCH_FILE_SN) ON UPDATE CASCADE ON DELETE SET NULL;</v>
      </c>
      <c r="AC377" s="125" t="str">
        <f t="shared" si="118"/>
        <v/>
      </c>
      <c r="AD377" s="125" t="str">
        <f t="shared" si="159"/>
        <v/>
      </c>
      <c r="AE377" s="125" t="str">
        <f t="shared" si="157"/>
        <v/>
      </c>
      <c r="AF377" s="125" t="str">
        <f t="shared" si="158"/>
        <v>COMMENT ON COLUMN TB_ATCH_FILE_DETAIL.ATCH_FILE_SN IS '첨부 파일 일련번호' ;</v>
      </c>
      <c r="AG377" s="125" t="str">
        <f t="shared" ref="AG377:AG441" si="161">"ALTER TABLE "&amp;$E377&amp;" ALTER COLUMN "&amp;$H377&amp;" TYPE "&amp;$Q377&amp;IF(ISBLANK(R377),"",R377)&amp;";"</f>
        <v>ALTER TABLE TB_ATCH_FILE_DETAIL ALTER COLUMN ATCH_FILE_SN TYPE INTEGER;</v>
      </c>
      <c r="AH377" s="131" t="str">
        <f t="shared" si="149"/>
        <v>ALTER TABLE TB_ATCH_FILE_DETAIL ADD COLUMN ATCH_FILE_SN INTEGER NOT NULL;</v>
      </c>
      <c r="AI377" s="125" t="str">
        <f t="shared" ref="AI377:AI441" si="162">"ALTER TABLE "&amp;$E377&amp;" DROP COLUMN "&amp;$H377&amp;";"</f>
        <v>ALTER TABLE TB_ATCH_FILE_DETAIL DROP COLUMN ATCH_FILE_SN;</v>
      </c>
    </row>
    <row r="378" spans="2:35" ht="20.100000000000001" customHeight="1">
      <c r="B378" s="135">
        <v>365</v>
      </c>
      <c r="C378" s="26" t="s">
        <v>7</v>
      </c>
      <c r="D378" s="26" t="s">
        <v>19</v>
      </c>
      <c r="E378" s="10" t="s">
        <v>371</v>
      </c>
      <c r="F378" s="10" t="s">
        <v>372</v>
      </c>
      <c r="G378" s="87">
        <v>2</v>
      </c>
      <c r="H378" s="104" t="s">
        <v>387</v>
      </c>
      <c r="I378" s="104" t="s">
        <v>374</v>
      </c>
      <c r="J378" s="85" t="s">
        <v>373</v>
      </c>
      <c r="K378" s="85">
        <v>2</v>
      </c>
      <c r="L378" s="85"/>
      <c r="M378" s="85"/>
      <c r="N378" s="85"/>
      <c r="O378" s="85"/>
      <c r="P378" s="85"/>
      <c r="Q378" s="104" t="s">
        <v>229</v>
      </c>
      <c r="R378" s="47"/>
      <c r="S378" s="85"/>
      <c r="T378" s="104" t="s">
        <v>388</v>
      </c>
      <c r="U378" s="125"/>
      <c r="V378" s="125"/>
      <c r="W378" s="104"/>
      <c r="X378" s="85"/>
      <c r="Y378" s="123"/>
      <c r="Z378" s="130" t="str">
        <f t="shared" si="156"/>
        <v>/* 테이블 : 첨부파일상세 */ CREATE TABLE TB_ATCH_FILE_DETAIL (</v>
      </c>
      <c r="AA378" s="125" t="str">
        <f t="shared" si="160"/>
        <v>FILE_SEQ INTEGER PRIMARY KEY,</v>
      </c>
      <c r="AB378" s="125" t="str">
        <f t="shared" si="117"/>
        <v/>
      </c>
      <c r="AC378" s="125" t="str">
        <f t="shared" si="118"/>
        <v/>
      </c>
      <c r="AD378" s="125" t="str">
        <f t="shared" si="159"/>
        <v/>
      </c>
      <c r="AE378" s="125" t="str">
        <f t="shared" si="157"/>
        <v/>
      </c>
      <c r="AF378" s="125" t="str">
        <f t="shared" si="158"/>
        <v>COMMENT ON COLUMN TB_ATCH_FILE_DETAIL.FILE_SEQ IS '파일 순번' ;</v>
      </c>
      <c r="AG378" s="125" t="str">
        <f t="shared" si="161"/>
        <v>ALTER TABLE TB_ATCH_FILE_DETAIL ALTER COLUMN FILE_SEQ TYPE INTEGER;</v>
      </c>
      <c r="AH378" s="131" t="str">
        <f t="shared" si="149"/>
        <v>ALTER TABLE TB_ATCH_FILE_DETAIL ADD COLUMN FILE_SEQ INTEGER NOT NULL;</v>
      </c>
      <c r="AI378" s="125" t="str">
        <f t="shared" si="162"/>
        <v>ALTER TABLE TB_ATCH_FILE_DETAIL DROP COLUMN FILE_SEQ;</v>
      </c>
    </row>
    <row r="379" spans="2:35" ht="20.100000000000001" customHeight="1">
      <c r="B379" s="55">
        <v>366</v>
      </c>
      <c r="C379" s="26" t="s">
        <v>7</v>
      </c>
      <c r="D379" s="26" t="s">
        <v>19</v>
      </c>
      <c r="E379" s="10" t="s">
        <v>371</v>
      </c>
      <c r="F379" s="10" t="s">
        <v>372</v>
      </c>
      <c r="G379" s="87">
        <v>3</v>
      </c>
      <c r="H379" s="104" t="s">
        <v>380</v>
      </c>
      <c r="I379" s="104" t="s">
        <v>375</v>
      </c>
      <c r="J379" s="85" t="s">
        <v>373</v>
      </c>
      <c r="K379" s="85"/>
      <c r="L379" s="85"/>
      <c r="M379" s="85"/>
      <c r="N379" s="85"/>
      <c r="O379" s="85"/>
      <c r="P379" s="85"/>
      <c r="Q379" s="104" t="s">
        <v>395</v>
      </c>
      <c r="R379" s="119" t="s">
        <v>530</v>
      </c>
      <c r="S379" s="85"/>
      <c r="T379" s="104" t="s">
        <v>389</v>
      </c>
      <c r="U379" s="123"/>
      <c r="V379" s="123"/>
      <c r="W379" s="104"/>
      <c r="X379" s="85"/>
      <c r="Y379" s="123"/>
      <c r="Z379" s="130" t="str">
        <f t="shared" si="156"/>
        <v>/* 테이블 : 첨부파일상세 */ CREATE TABLE TB_ATCH_FILE_DETAIL (</v>
      </c>
      <c r="AA379" s="125" t="str">
        <f t="shared" si="160"/>
        <v>FILE_STRE_PATH VARCHAR(2000) NOT NULL,</v>
      </c>
      <c r="AB379" s="125" t="str">
        <f t="shared" si="117"/>
        <v/>
      </c>
      <c r="AC379" s="125" t="str">
        <f t="shared" si="118"/>
        <v/>
      </c>
      <c r="AD379" s="125" t="str">
        <f t="shared" si="159"/>
        <v/>
      </c>
      <c r="AE379" s="125" t="str">
        <f t="shared" si="157"/>
        <v/>
      </c>
      <c r="AF379" s="125" t="str">
        <f t="shared" si="158"/>
        <v>COMMENT ON COLUMN TB_ATCH_FILE_DETAIL.FILE_STRE_PATH IS '파일 저장 경로' ;</v>
      </c>
      <c r="AG379" s="125" t="str">
        <f t="shared" si="161"/>
        <v>ALTER TABLE TB_ATCH_FILE_DETAIL ALTER COLUMN FILE_STRE_PATH TYPE VARCHAR(2000);</v>
      </c>
      <c r="AH379" s="131" t="str">
        <f t="shared" si="149"/>
        <v>ALTER TABLE TB_ATCH_FILE_DETAIL ADD COLUMN FILE_STRE_PATH VARCHAR(2000) NOT NULL;</v>
      </c>
      <c r="AI379" s="125" t="str">
        <f t="shared" si="162"/>
        <v>ALTER TABLE TB_ATCH_FILE_DETAIL DROP COLUMN FILE_STRE_PATH;</v>
      </c>
    </row>
    <row r="380" spans="2:35" ht="20.100000000000001" customHeight="1">
      <c r="B380" s="55">
        <v>367</v>
      </c>
      <c r="C380" s="26" t="s">
        <v>7</v>
      </c>
      <c r="D380" s="26" t="s">
        <v>19</v>
      </c>
      <c r="E380" s="10" t="s">
        <v>371</v>
      </c>
      <c r="F380" s="10" t="s">
        <v>372</v>
      </c>
      <c r="G380" s="87">
        <v>4</v>
      </c>
      <c r="H380" s="104" t="s">
        <v>381</v>
      </c>
      <c r="I380" s="104" t="s">
        <v>382</v>
      </c>
      <c r="J380" s="85" t="s">
        <v>373</v>
      </c>
      <c r="K380" s="85"/>
      <c r="L380" s="85"/>
      <c r="M380" s="85"/>
      <c r="N380" s="85"/>
      <c r="O380" s="85"/>
      <c r="P380" s="85"/>
      <c r="Q380" s="104" t="s">
        <v>395</v>
      </c>
      <c r="R380" s="119" t="s">
        <v>528</v>
      </c>
      <c r="S380" s="85"/>
      <c r="T380" s="104" t="s">
        <v>390</v>
      </c>
      <c r="U380" s="123"/>
      <c r="V380" s="123"/>
      <c r="W380" s="104"/>
      <c r="X380" s="85"/>
      <c r="Y380" s="123"/>
      <c r="Z380" s="130" t="str">
        <f t="shared" si="156"/>
        <v>/* 테이블 : 첨부파일상세 */ CREATE TABLE TB_ATCH_FILE_DETAIL (</v>
      </c>
      <c r="AA380" s="125" t="str">
        <f t="shared" si="160"/>
        <v>STRE_FILE_NM VARCHAR(255) NOT NULL,</v>
      </c>
      <c r="AB380" s="125" t="str">
        <f t="shared" si="117"/>
        <v/>
      </c>
      <c r="AC380" s="125" t="str">
        <f t="shared" si="118"/>
        <v/>
      </c>
      <c r="AD380" s="125" t="str">
        <f t="shared" si="159"/>
        <v/>
      </c>
      <c r="AE380" s="125" t="str">
        <f t="shared" si="157"/>
        <v/>
      </c>
      <c r="AF380" s="125" t="str">
        <f t="shared" si="158"/>
        <v>COMMENT ON COLUMN TB_ATCH_FILE_DETAIL.STRE_FILE_NM IS '저장 파일 이름' ;</v>
      </c>
      <c r="AG380" s="125" t="str">
        <f t="shared" si="161"/>
        <v>ALTER TABLE TB_ATCH_FILE_DETAIL ALTER COLUMN STRE_FILE_NM TYPE VARCHAR(255);</v>
      </c>
      <c r="AH380" s="131" t="str">
        <f t="shared" si="149"/>
        <v>ALTER TABLE TB_ATCH_FILE_DETAIL ADD COLUMN STRE_FILE_NM VARCHAR(255) NOT NULL;</v>
      </c>
      <c r="AI380" s="125" t="str">
        <f t="shared" si="162"/>
        <v>ALTER TABLE TB_ATCH_FILE_DETAIL DROP COLUMN STRE_FILE_NM;</v>
      </c>
    </row>
    <row r="381" spans="2:35" ht="20.100000000000001" customHeight="1">
      <c r="B381" s="55">
        <v>368</v>
      </c>
      <c r="C381" s="26" t="s">
        <v>7</v>
      </c>
      <c r="D381" s="26" t="s">
        <v>19</v>
      </c>
      <c r="E381" s="10" t="s">
        <v>371</v>
      </c>
      <c r="F381" s="10" t="s">
        <v>372</v>
      </c>
      <c r="G381" s="87">
        <v>5</v>
      </c>
      <c r="H381" s="104" t="s">
        <v>383</v>
      </c>
      <c r="I381" s="104" t="s">
        <v>376</v>
      </c>
      <c r="J381" s="85" t="s">
        <v>373</v>
      </c>
      <c r="K381" s="85"/>
      <c r="L381" s="85"/>
      <c r="M381" s="85"/>
      <c r="N381" s="85"/>
      <c r="O381" s="85"/>
      <c r="P381" s="85"/>
      <c r="Q381" s="104" t="s">
        <v>395</v>
      </c>
      <c r="R381" s="119" t="s">
        <v>528</v>
      </c>
      <c r="S381" s="85"/>
      <c r="T381" s="104" t="s">
        <v>391</v>
      </c>
      <c r="U381" s="123"/>
      <c r="V381" s="123"/>
      <c r="W381" s="104"/>
      <c r="X381" s="85"/>
      <c r="Y381" s="123"/>
      <c r="Z381" s="130" t="str">
        <f t="shared" si="156"/>
        <v>/* 테이블 : 첨부파일상세 */ CREATE TABLE TB_ATCH_FILE_DETAIL (</v>
      </c>
      <c r="AA381" s="125" t="str">
        <f t="shared" si="160"/>
        <v>ORIGNL_FILE_NM VARCHAR(255) NOT NULL,</v>
      </c>
      <c r="AB381" s="125" t="str">
        <f t="shared" si="117"/>
        <v/>
      </c>
      <c r="AC381" s="125" t="str">
        <f t="shared" si="118"/>
        <v/>
      </c>
      <c r="AD381" s="125" t="str">
        <f t="shared" si="159"/>
        <v/>
      </c>
      <c r="AE381" s="125" t="str">
        <f t="shared" si="157"/>
        <v/>
      </c>
      <c r="AF381" s="125" t="str">
        <f t="shared" si="158"/>
        <v>COMMENT ON COLUMN TB_ATCH_FILE_DETAIL.ORIGNL_FILE_NM IS '원 파일 이름' ;</v>
      </c>
      <c r="AG381" s="125" t="str">
        <f t="shared" si="161"/>
        <v>ALTER TABLE TB_ATCH_FILE_DETAIL ALTER COLUMN ORIGNL_FILE_NM TYPE VARCHAR(255);</v>
      </c>
      <c r="AH381" s="131" t="str">
        <f t="shared" si="149"/>
        <v>ALTER TABLE TB_ATCH_FILE_DETAIL ADD COLUMN ORIGNL_FILE_NM VARCHAR(255) NOT NULL;</v>
      </c>
      <c r="AI381" s="125" t="str">
        <f t="shared" si="162"/>
        <v>ALTER TABLE TB_ATCH_FILE_DETAIL DROP COLUMN ORIGNL_FILE_NM;</v>
      </c>
    </row>
    <row r="382" spans="2:35" ht="20.100000000000001" customHeight="1">
      <c r="B382" s="135">
        <v>369</v>
      </c>
      <c r="C382" s="26" t="s">
        <v>7</v>
      </c>
      <c r="D382" s="26" t="s">
        <v>19</v>
      </c>
      <c r="E382" s="10" t="s">
        <v>371</v>
      </c>
      <c r="F382" s="10" t="s">
        <v>372</v>
      </c>
      <c r="G382" s="87">
        <v>6</v>
      </c>
      <c r="H382" s="104" t="s">
        <v>384</v>
      </c>
      <c r="I382" s="104" t="s">
        <v>377</v>
      </c>
      <c r="J382" s="85" t="s">
        <v>373</v>
      </c>
      <c r="K382" s="85"/>
      <c r="L382" s="85"/>
      <c r="M382" s="85"/>
      <c r="N382" s="85"/>
      <c r="O382" s="85"/>
      <c r="P382" s="85"/>
      <c r="Q382" s="104" t="s">
        <v>395</v>
      </c>
      <c r="R382" s="119" t="s">
        <v>525</v>
      </c>
      <c r="S382" s="85"/>
      <c r="T382" s="104" t="s">
        <v>392</v>
      </c>
      <c r="U382" s="123"/>
      <c r="V382" s="123"/>
      <c r="W382" s="104"/>
      <c r="X382" s="85"/>
      <c r="Y382" s="123"/>
      <c r="Z382" s="130" t="str">
        <f t="shared" si="156"/>
        <v>/* 테이블 : 첨부파일상세 */ CREATE TABLE TB_ATCH_FILE_DETAIL (</v>
      </c>
      <c r="AA382" s="125" t="str">
        <f t="shared" si="160"/>
        <v>FILE_EXTSN VARCHAR(20) NOT NULL,</v>
      </c>
      <c r="AB382" s="125" t="str">
        <f t="shared" ref="AB382:AB446" si="163">IF(ISBLANK(L382),"","ALTER TABLE " &amp; E382 &amp; " ADD CONSTRAINT " &amp; E382 &amp; "_FKEY" &amp; L382 &amp;  " FOREIGN KEY(" &amp;H382 &amp; ") REFERENCES " &amp; M382 &amp; "(" &amp; N382 &amp; ") "&amp;O382&amp;" "&amp;P382&amp;";")</f>
        <v/>
      </c>
      <c r="AC382" s="125" t="str">
        <f t="shared" ref="AC382:AC446" si="164">IF(ISBLANK(U382),"","CREATE SEQUENCE "&amp;U382&amp;" START 100000;")</f>
        <v/>
      </c>
      <c r="AD382" s="125" t="str">
        <f t="shared" si="159"/>
        <v/>
      </c>
      <c r="AE382" s="125" t="str">
        <f t="shared" si="157"/>
        <v/>
      </c>
      <c r="AF382" s="125" t="str">
        <f t="shared" si="158"/>
        <v>COMMENT ON COLUMN TB_ATCH_FILE_DETAIL.FILE_EXTSN IS '파일 확장자' ;</v>
      </c>
      <c r="AG382" s="125" t="str">
        <f t="shared" si="161"/>
        <v>ALTER TABLE TB_ATCH_FILE_DETAIL ALTER COLUMN FILE_EXTSN TYPE VARCHAR(20);</v>
      </c>
      <c r="AH382" s="131" t="str">
        <f t="shared" si="149"/>
        <v>ALTER TABLE TB_ATCH_FILE_DETAIL ADD COLUMN FILE_EXTSN VARCHAR(20) NOT NULL;</v>
      </c>
      <c r="AI382" s="125" t="str">
        <f t="shared" si="162"/>
        <v>ALTER TABLE TB_ATCH_FILE_DETAIL DROP COLUMN FILE_EXTSN;</v>
      </c>
    </row>
    <row r="383" spans="2:35" ht="20.100000000000001" customHeight="1">
      <c r="B383" s="55">
        <v>370</v>
      </c>
      <c r="C383" s="26" t="s">
        <v>7</v>
      </c>
      <c r="D383" s="26" t="s">
        <v>19</v>
      </c>
      <c r="E383" s="10" t="s">
        <v>371</v>
      </c>
      <c r="F383" s="10" t="s">
        <v>372</v>
      </c>
      <c r="G383" s="87">
        <v>7</v>
      </c>
      <c r="H383" s="104" t="s">
        <v>385</v>
      </c>
      <c r="I383" s="104" t="s">
        <v>378</v>
      </c>
      <c r="J383" s="85"/>
      <c r="K383" s="85"/>
      <c r="L383" s="85"/>
      <c r="M383" s="85"/>
      <c r="N383" s="85"/>
      <c r="O383" s="85"/>
      <c r="P383" s="85"/>
      <c r="Q383" s="104" t="s">
        <v>396</v>
      </c>
      <c r="R383" s="87"/>
      <c r="S383" s="85"/>
      <c r="T383" s="104" t="s">
        <v>393</v>
      </c>
      <c r="U383" s="123"/>
      <c r="V383" s="123"/>
      <c r="W383" s="104"/>
      <c r="X383" s="85"/>
      <c r="Y383" s="123"/>
      <c r="Z383" s="130" t="str">
        <f t="shared" si="156"/>
        <v>/* 테이블 : 첨부파일상세 */ CREATE TABLE TB_ATCH_FILE_DETAIL (</v>
      </c>
      <c r="AA383" s="125" t="str">
        <f t="shared" si="160"/>
        <v>FILE_CN TEXT,</v>
      </c>
      <c r="AB383" s="125" t="str">
        <f t="shared" si="163"/>
        <v/>
      </c>
      <c r="AC383" s="125" t="str">
        <f t="shared" si="164"/>
        <v/>
      </c>
      <c r="AD383" s="125" t="str">
        <f t="shared" si="159"/>
        <v/>
      </c>
      <c r="AE383" s="125" t="str">
        <f t="shared" si="157"/>
        <v/>
      </c>
      <c r="AF383" s="125" t="str">
        <f t="shared" si="158"/>
        <v>COMMENT ON COLUMN TB_ATCH_FILE_DETAIL.FILE_CN IS '파일 내용' ;</v>
      </c>
      <c r="AG383" s="125" t="str">
        <f t="shared" si="161"/>
        <v>ALTER TABLE TB_ATCH_FILE_DETAIL ALTER COLUMN FILE_CN TYPE TEXT;</v>
      </c>
      <c r="AH383" s="131" t="str">
        <f t="shared" si="149"/>
        <v>ALTER TABLE TB_ATCH_FILE_DETAIL ADD COLUMN FILE_CN TEXT;</v>
      </c>
      <c r="AI383" s="125" t="str">
        <f t="shared" si="162"/>
        <v>ALTER TABLE TB_ATCH_FILE_DETAIL DROP COLUMN FILE_CN;</v>
      </c>
    </row>
    <row r="384" spans="2:35" ht="20.100000000000001" customHeight="1">
      <c r="B384" s="55">
        <v>371</v>
      </c>
      <c r="C384" s="26" t="s">
        <v>7</v>
      </c>
      <c r="D384" s="26" t="s">
        <v>19</v>
      </c>
      <c r="E384" s="10" t="s">
        <v>371</v>
      </c>
      <c r="F384" s="10" t="s">
        <v>372</v>
      </c>
      <c r="G384" s="87">
        <v>8</v>
      </c>
      <c r="H384" s="104" t="s">
        <v>386</v>
      </c>
      <c r="I384" s="104" t="s">
        <v>379</v>
      </c>
      <c r="J384" s="85" t="s">
        <v>373</v>
      </c>
      <c r="K384" s="85"/>
      <c r="L384" s="85"/>
      <c r="M384" s="85"/>
      <c r="N384" s="85"/>
      <c r="O384" s="85"/>
      <c r="P384" s="85"/>
      <c r="Q384" s="104" t="s">
        <v>173</v>
      </c>
      <c r="R384" s="47" t="s">
        <v>193</v>
      </c>
      <c r="S384" s="85"/>
      <c r="T384" s="104" t="s">
        <v>394</v>
      </c>
      <c r="U384" s="123"/>
      <c r="V384" s="123"/>
      <c r="W384" s="104"/>
      <c r="X384" s="85"/>
      <c r="Y384" s="123"/>
      <c r="Z384" s="130" t="str">
        <f t="shared" si="156"/>
        <v>/* 테이블 : 첨부파일상세 */ CREATE TABLE TB_ATCH_FILE_DETAIL (</v>
      </c>
      <c r="AA384" s="125" t="str">
        <f t="shared" si="160"/>
        <v>FILE_SIZE NUMERIC(10,3) NOT NULL,</v>
      </c>
      <c r="AB384" s="125" t="str">
        <f t="shared" si="163"/>
        <v/>
      </c>
      <c r="AC384" s="125" t="str">
        <f t="shared" si="164"/>
        <v/>
      </c>
      <c r="AD384" s="125" t="str">
        <f t="shared" si="159"/>
        <v/>
      </c>
      <c r="AE384" s="125" t="str">
        <f t="shared" si="157"/>
        <v/>
      </c>
      <c r="AF384" s="125" t="str">
        <f t="shared" si="158"/>
        <v>COMMENT ON COLUMN TB_ATCH_FILE_DETAIL.FILE_SIZE IS '파일 크기' ;</v>
      </c>
      <c r="AG384" s="125" t="str">
        <f t="shared" si="161"/>
        <v>ALTER TABLE TB_ATCH_FILE_DETAIL ALTER COLUMN FILE_SIZE TYPE NUMERIC(10,3);</v>
      </c>
      <c r="AH384" s="131" t="str">
        <f t="shared" si="149"/>
        <v>ALTER TABLE TB_ATCH_FILE_DETAIL ADD COLUMN FILE_SIZE NUMERIC(10,3) NOT NULL;</v>
      </c>
      <c r="AI384" s="125" t="str">
        <f t="shared" si="162"/>
        <v>ALTER TABLE TB_ATCH_FILE_DETAIL DROP COLUMN FILE_SIZE;</v>
      </c>
    </row>
    <row r="385" spans="2:35" ht="20.100000000000001" customHeight="1">
      <c r="B385" s="55">
        <v>372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1</v>
      </c>
      <c r="H385" s="104" t="s">
        <v>401</v>
      </c>
      <c r="I385" s="104" t="s">
        <v>397</v>
      </c>
      <c r="J385" s="85" t="s">
        <v>418</v>
      </c>
      <c r="K385" s="85">
        <v>1</v>
      </c>
      <c r="L385" s="85"/>
      <c r="M385" s="85"/>
      <c r="N385" s="85"/>
      <c r="O385" s="85"/>
      <c r="P385" s="85"/>
      <c r="Q385" s="104" t="s">
        <v>419</v>
      </c>
      <c r="R385" s="87"/>
      <c r="S385" s="85"/>
      <c r="T385" s="104" t="s">
        <v>476</v>
      </c>
      <c r="U385" s="125" t="str">
        <f>"SEQ_"&amp;E385&amp;"_SN"</f>
        <v>SEQ_TB_MENU_SN</v>
      </c>
      <c r="V385" s="125"/>
      <c r="W385" s="104"/>
      <c r="X385" s="85"/>
      <c r="Y385" s="123"/>
      <c r="Z385" s="130" t="str">
        <f t="shared" si="156"/>
        <v>/* 테이블 : 메뉴 */ CREATE TABLE TB_MENU (</v>
      </c>
      <c r="AA385" s="125" t="str">
        <f t="shared" si="160"/>
        <v>MENU_SN INTEGER PRIMARY KEY,</v>
      </c>
      <c r="AB385" s="125" t="str">
        <f t="shared" si="163"/>
        <v/>
      </c>
      <c r="AC385" s="125" t="str">
        <f t="shared" si="164"/>
        <v>CREATE SEQUENCE SEQ_TB_MENU_SN START 100000;</v>
      </c>
      <c r="AD385" s="125" t="str">
        <f t="shared" si="159"/>
        <v>ALTER TABLE TB_MENU ALTER COLUMN MENU_SN SET DEFAULT NEXTVAL('SEQ_TB_MENU_SN');</v>
      </c>
      <c r="AE385" s="125" t="str">
        <f t="shared" si="157"/>
        <v/>
      </c>
      <c r="AF385" s="125" t="str">
        <f t="shared" si="158"/>
        <v>COMMENT ON COLUMN TB_MENU.MENU_SN IS '메뉴 일련번호' ;</v>
      </c>
      <c r="AG385" s="125" t="str">
        <f t="shared" si="161"/>
        <v>ALTER TABLE TB_MENU ALTER COLUMN MENU_SN TYPE INTEGER;</v>
      </c>
      <c r="AH385" s="131" t="str">
        <f t="shared" si="149"/>
        <v>ALTER TABLE TB_MENU ADD COLUMN MENU_SN INTEGER NOT NULL;</v>
      </c>
      <c r="AI385" s="125" t="str">
        <f t="shared" si="162"/>
        <v>ALTER TABLE TB_MENU DROP COLUMN MENU_SN;</v>
      </c>
    </row>
    <row r="386" spans="2:35" ht="20.100000000000001" customHeight="1">
      <c r="B386" s="135">
        <v>373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2</v>
      </c>
      <c r="H386" s="104" t="s">
        <v>402</v>
      </c>
      <c r="I386" s="104" t="s">
        <v>398</v>
      </c>
      <c r="J386" s="85"/>
      <c r="K386" s="85"/>
      <c r="L386" s="85"/>
      <c r="M386" s="85"/>
      <c r="N386" s="85"/>
      <c r="O386" s="85"/>
      <c r="P386" s="85"/>
      <c r="Q386" s="104" t="s">
        <v>419</v>
      </c>
      <c r="R386" s="87"/>
      <c r="S386" s="85"/>
      <c r="T386" s="104" t="s">
        <v>471</v>
      </c>
      <c r="U386" s="125"/>
      <c r="V386" s="123"/>
      <c r="W386" s="104"/>
      <c r="X386" s="85"/>
      <c r="Y386" s="123"/>
      <c r="Z386" s="130" t="str">
        <f t="shared" si="156"/>
        <v>/* 테이블 : 메뉴 */ CREATE TABLE TB_MENU (</v>
      </c>
      <c r="AA386" s="125" t="str">
        <f t="shared" si="160"/>
        <v>UPPER_MENU_SN INTEGER,</v>
      </c>
      <c r="AB386" s="125" t="str">
        <f t="shared" si="163"/>
        <v/>
      </c>
      <c r="AC386" s="125" t="str">
        <f t="shared" si="164"/>
        <v/>
      </c>
      <c r="AD386" s="125" t="str">
        <f t="shared" si="159"/>
        <v/>
      </c>
      <c r="AE386" s="125" t="str">
        <f t="shared" si="157"/>
        <v/>
      </c>
      <c r="AF386" s="125" t="str">
        <f t="shared" si="158"/>
        <v>COMMENT ON COLUMN TB_MENU.UPPER_MENU_SN IS '상위 메뉴 일련번호' ;</v>
      </c>
      <c r="AG386" s="125" t="str">
        <f t="shared" si="161"/>
        <v>ALTER TABLE TB_MENU ALTER COLUMN UPPER_MENU_SN TYPE INTEGER;</v>
      </c>
      <c r="AH386" s="131" t="str">
        <f t="shared" si="149"/>
        <v>ALTER TABLE TB_MENU ADD COLUMN UPPER_MENU_SN INTEGER;</v>
      </c>
      <c r="AI386" s="125" t="str">
        <f t="shared" si="162"/>
        <v>ALTER TABLE TB_MENU DROP COLUMN UPPER_MENU_SN;</v>
      </c>
    </row>
    <row r="387" spans="2:35" ht="20.100000000000001" customHeight="1">
      <c r="B387" s="55">
        <v>374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3</v>
      </c>
      <c r="H387" s="104" t="s">
        <v>403</v>
      </c>
      <c r="I387" s="104" t="s">
        <v>404</v>
      </c>
      <c r="J387" s="85" t="s">
        <v>418</v>
      </c>
      <c r="K387" s="85"/>
      <c r="L387" s="85"/>
      <c r="M387" s="85"/>
      <c r="N387" s="85"/>
      <c r="O387" s="85"/>
      <c r="P387" s="85"/>
      <c r="Q387" s="104" t="s">
        <v>420</v>
      </c>
      <c r="R387" s="119"/>
      <c r="S387" s="85"/>
      <c r="T387" s="104" t="s">
        <v>472</v>
      </c>
      <c r="U387" s="123"/>
      <c r="V387" s="123" t="s">
        <v>546</v>
      </c>
      <c r="W387" s="127" t="s">
        <v>728</v>
      </c>
      <c r="X387" s="85"/>
      <c r="Y387" s="123"/>
      <c r="Z387" s="130" t="str">
        <f t="shared" si="156"/>
        <v>/* 테이블 : 메뉴 */ CREATE TABLE TB_MENU (</v>
      </c>
      <c r="AA387" s="125" t="str">
        <f t="shared" si="160"/>
        <v>MENU_NM VARCHAR NOT NULL,</v>
      </c>
      <c r="AB387" s="125" t="str">
        <f t="shared" si="163"/>
        <v/>
      </c>
      <c r="AC387" s="125" t="str">
        <f t="shared" si="164"/>
        <v/>
      </c>
      <c r="AD387" s="125" t="str">
        <f t="shared" si="159"/>
        <v/>
      </c>
      <c r="AE387" s="125" t="str">
        <f t="shared" si="157"/>
        <v/>
      </c>
      <c r="AF387" s="125" t="str">
        <f t="shared" si="158"/>
        <v>COMMENT ON COLUMN TB_MENU.MENU_NM IS '메뉴 이름' ;</v>
      </c>
      <c r="AG387" s="125" t="str">
        <f t="shared" si="161"/>
        <v>ALTER TABLE TB_MENU ALTER COLUMN MENU_NM TYPE VARCHAR;</v>
      </c>
      <c r="AH387" s="131" t="str">
        <f t="shared" si="149"/>
        <v>ALTER TABLE TB_MENU ADD COLUMN MENU_NM VARCHAR NOT NULL;</v>
      </c>
      <c r="AI387" s="125" t="str">
        <f t="shared" si="162"/>
        <v>ALTER TABLE TB_MENU DROP COLUMN MENU_NM;</v>
      </c>
    </row>
    <row r="388" spans="2:35" ht="20.100000000000001" customHeight="1">
      <c r="B388" s="55">
        <v>375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4</v>
      </c>
      <c r="H388" s="104" t="s">
        <v>620</v>
      </c>
      <c r="I388" s="104" t="s">
        <v>621</v>
      </c>
      <c r="J388" s="85" t="s">
        <v>131</v>
      </c>
      <c r="K388" s="85"/>
      <c r="L388" s="85"/>
      <c r="M388" s="85"/>
      <c r="N388" s="85"/>
      <c r="O388" s="85"/>
      <c r="P388" s="85"/>
      <c r="Q388" s="104" t="s">
        <v>106</v>
      </c>
      <c r="R388" s="119" t="s">
        <v>528</v>
      </c>
      <c r="S388" s="85"/>
      <c r="T388" s="104" t="s">
        <v>622</v>
      </c>
      <c r="U388" s="123"/>
      <c r="V388" s="123"/>
      <c r="W388" s="104"/>
      <c r="X388" s="85"/>
      <c r="Y388" s="123"/>
      <c r="Z388" s="130" t="str">
        <f t="shared" si="156"/>
        <v>/* 테이블 : 메뉴 */ CREATE TABLE TB_MENU (</v>
      </c>
      <c r="AA388" s="125" t="str">
        <f t="shared" si="160"/>
        <v>MENU_CD VARCHAR(255) NOT NULL,</v>
      </c>
      <c r="AB388" s="125" t="str">
        <f t="shared" si="163"/>
        <v/>
      </c>
      <c r="AC388" s="125" t="str">
        <f t="shared" si="164"/>
        <v/>
      </c>
      <c r="AD388" s="125" t="str">
        <f t="shared" si="159"/>
        <v/>
      </c>
      <c r="AE388" s="125" t="str">
        <f t="shared" si="157"/>
        <v/>
      </c>
      <c r="AF388" s="125" t="str">
        <f t="shared" si="158"/>
        <v>COMMENT ON COLUMN TB_MENU.MENU_CD IS '메뉴 코드' ;</v>
      </c>
      <c r="AG388" s="125" t="str">
        <f t="shared" si="161"/>
        <v>ALTER TABLE TB_MENU ALTER COLUMN MENU_CD TYPE VARCHAR(255);</v>
      </c>
      <c r="AH388" s="131" t="str">
        <f t="shared" si="149"/>
        <v>ALTER TABLE TB_MENU ADD COLUMN MENU_CD VARCHAR(255) NOT NULL;</v>
      </c>
      <c r="AI388" s="125" t="str">
        <f t="shared" si="162"/>
        <v>ALTER TABLE TB_MENU DROP COLUMN MENU_CD;</v>
      </c>
    </row>
    <row r="389" spans="2:35" ht="20.100000000000001" customHeight="1">
      <c r="B389" s="55">
        <v>376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5</v>
      </c>
      <c r="H389" s="104" t="s">
        <v>423</v>
      </c>
      <c r="I389" s="104" t="s">
        <v>422</v>
      </c>
      <c r="J389" s="85"/>
      <c r="K389" s="85"/>
      <c r="L389" s="85"/>
      <c r="M389" s="85"/>
      <c r="N389" s="85"/>
      <c r="O389" s="85"/>
      <c r="P389" s="85"/>
      <c r="Q389" s="104" t="s">
        <v>420</v>
      </c>
      <c r="R389" s="119" t="s">
        <v>530</v>
      </c>
      <c r="S389" s="85"/>
      <c r="T389" s="104" t="s">
        <v>473</v>
      </c>
      <c r="U389" s="123"/>
      <c r="V389" s="123"/>
      <c r="W389" s="104"/>
      <c r="X389" s="85"/>
      <c r="Y389" s="123"/>
      <c r="Z389" s="130" t="str">
        <f t="shared" si="156"/>
        <v>/* 테이블 : 메뉴 */ CREATE TABLE TB_MENU (</v>
      </c>
      <c r="AA389" s="125" t="str">
        <f t="shared" si="160"/>
        <v>MENU_URL VARCHAR(2000),</v>
      </c>
      <c r="AB389" s="125" t="str">
        <f t="shared" si="163"/>
        <v/>
      </c>
      <c r="AC389" s="125" t="str">
        <f t="shared" si="164"/>
        <v/>
      </c>
      <c r="AD389" s="125" t="str">
        <f t="shared" si="159"/>
        <v/>
      </c>
      <c r="AE389" s="125" t="str">
        <f t="shared" si="157"/>
        <v/>
      </c>
      <c r="AF389" s="125" t="str">
        <f t="shared" si="158"/>
        <v>COMMENT ON COLUMN TB_MENU.MENU_URL IS '메뉴 URL' ;</v>
      </c>
      <c r="AG389" s="125" t="str">
        <f t="shared" si="161"/>
        <v>ALTER TABLE TB_MENU ALTER COLUMN MENU_URL TYPE VARCHAR(2000);</v>
      </c>
      <c r="AH389" s="131" t="str">
        <f t="shared" si="149"/>
        <v>ALTER TABLE TB_MENU ADD COLUMN MENU_URL VARCHAR(2000);</v>
      </c>
      <c r="AI389" s="125" t="str">
        <f t="shared" si="162"/>
        <v>ALTER TABLE TB_MENU DROP COLUMN MENU_URL;</v>
      </c>
    </row>
    <row r="390" spans="2:35" ht="20.100000000000001" customHeight="1">
      <c r="B390" s="135">
        <v>377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6</v>
      </c>
      <c r="H390" s="104" t="s">
        <v>548</v>
      </c>
      <c r="I390" s="104" t="s">
        <v>547</v>
      </c>
      <c r="J390" s="85" t="s">
        <v>549</v>
      </c>
      <c r="K390" s="85"/>
      <c r="L390" s="85"/>
      <c r="M390" s="85"/>
      <c r="N390" s="85"/>
      <c r="O390" s="85"/>
      <c r="P390" s="85"/>
      <c r="Q390" s="51" t="s">
        <v>800</v>
      </c>
      <c r="R390" s="119" t="s">
        <v>522</v>
      </c>
      <c r="S390" s="85"/>
      <c r="T390" s="104" t="s">
        <v>550</v>
      </c>
      <c r="U390" s="123"/>
      <c r="V390" s="123"/>
      <c r="W390" s="104" t="s">
        <v>551</v>
      </c>
      <c r="X390" s="85"/>
      <c r="Y390" s="123"/>
      <c r="Z390" s="130" t="str">
        <f t="shared" si="156"/>
        <v>/* 테이블 : 메뉴 */ CREATE TABLE TB_MENU (</v>
      </c>
      <c r="AA390" s="125" t="str">
        <f t="shared" si="160"/>
        <v>PARNTS_MENU_YN BPCHAR(1) NOT NULL,</v>
      </c>
      <c r="AB390" s="125" t="str">
        <f t="shared" si="163"/>
        <v/>
      </c>
      <c r="AC390" s="125" t="str">
        <f t="shared" si="164"/>
        <v/>
      </c>
      <c r="AD390" s="125" t="str">
        <f t="shared" si="159"/>
        <v/>
      </c>
      <c r="AE390" s="125" t="str">
        <f t="shared" si="157"/>
        <v/>
      </c>
      <c r="AF390" s="125" t="str">
        <f t="shared" si="158"/>
        <v>COMMENT ON COLUMN TB_MENU.PARNTS_MENU_YN IS '부모 메뉴 여부' ;</v>
      </c>
      <c r="AG390" s="125" t="str">
        <f t="shared" si="161"/>
        <v>ALTER TABLE TB_MENU ALTER COLUMN PARNTS_MENU_YN TYPE BPCHAR(1);</v>
      </c>
      <c r="AH390" s="131" t="str">
        <f t="shared" si="149"/>
        <v>ALTER TABLE TB_MENU ADD COLUMN PARNTS_MENU_YN BPCHAR(1) NOT NULL;</v>
      </c>
      <c r="AI390" s="125" t="str">
        <f t="shared" si="162"/>
        <v>ALTER TABLE TB_MENU DROP COLUMN PARNTS_MENU_YN;</v>
      </c>
    </row>
    <row r="391" spans="2:35" ht="20.100000000000001" customHeight="1">
      <c r="B391" s="55">
        <v>378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7</v>
      </c>
      <c r="H391" s="104" t="s">
        <v>405</v>
      </c>
      <c r="I391" s="104" t="s">
        <v>399</v>
      </c>
      <c r="J391" s="85" t="s">
        <v>418</v>
      </c>
      <c r="K391" s="85"/>
      <c r="L391" s="85"/>
      <c r="M391" s="85"/>
      <c r="N391" s="85"/>
      <c r="O391" s="85"/>
      <c r="P391" s="85"/>
      <c r="Q391" s="104" t="s">
        <v>229</v>
      </c>
      <c r="R391" s="47"/>
      <c r="S391" s="85"/>
      <c r="T391" s="104" t="s">
        <v>474</v>
      </c>
      <c r="U391" s="125"/>
      <c r="V391" s="125"/>
      <c r="W391" s="104"/>
      <c r="X391" s="85"/>
      <c r="Y391" s="123"/>
      <c r="Z391" s="130" t="str">
        <f t="shared" si="156"/>
        <v>/* 테이블 : 메뉴 */ CREATE TABLE TB_MENU (</v>
      </c>
      <c r="AA391" s="125" t="str">
        <f t="shared" si="160"/>
        <v>MENU_SEQ INTEGER NOT NULL,</v>
      </c>
      <c r="AB391" s="125" t="str">
        <f t="shared" si="163"/>
        <v/>
      </c>
      <c r="AC391" s="125" t="str">
        <f t="shared" si="164"/>
        <v/>
      </c>
      <c r="AD391" s="125" t="str">
        <f t="shared" si="159"/>
        <v/>
      </c>
      <c r="AE391" s="125" t="str">
        <f t="shared" si="157"/>
        <v/>
      </c>
      <c r="AF391" s="125" t="str">
        <f t="shared" si="158"/>
        <v>COMMENT ON COLUMN TB_MENU.MENU_SEQ IS '메뉴 순번' ;</v>
      </c>
      <c r="AG391" s="125" t="str">
        <f t="shared" si="161"/>
        <v>ALTER TABLE TB_MENU ALTER COLUMN MENU_SEQ TYPE INTEGER;</v>
      </c>
      <c r="AH391" s="131" t="str">
        <f t="shared" si="149"/>
        <v>ALTER TABLE TB_MENU ADD COLUMN MENU_SEQ INTEGER NOT NULL;</v>
      </c>
      <c r="AI391" s="125" t="str">
        <f t="shared" si="162"/>
        <v>ALTER TABLE TB_MENU DROP COLUMN MENU_SEQ;</v>
      </c>
    </row>
    <row r="392" spans="2:35" ht="20.100000000000001" customHeight="1">
      <c r="B392" s="55">
        <v>379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8</v>
      </c>
      <c r="H392" s="104" t="s">
        <v>576</v>
      </c>
      <c r="I392" s="104" t="s">
        <v>577</v>
      </c>
      <c r="J392" s="85"/>
      <c r="K392" s="85"/>
      <c r="L392" s="85"/>
      <c r="M392" s="85"/>
      <c r="N392" s="85"/>
      <c r="O392" s="85"/>
      <c r="P392" s="85"/>
      <c r="Q392" s="51" t="s">
        <v>800</v>
      </c>
      <c r="R392" s="119" t="s">
        <v>522</v>
      </c>
      <c r="S392" s="85"/>
      <c r="T392" s="104" t="s">
        <v>578</v>
      </c>
      <c r="U392" s="125"/>
      <c r="V392" s="125"/>
      <c r="W392" s="104"/>
      <c r="X392" s="85"/>
      <c r="Y392" s="123"/>
      <c r="Z392" s="130" t="str">
        <f t="shared" si="156"/>
        <v>/* 테이블 : 메뉴 */ CREATE TABLE TB_MENU (</v>
      </c>
      <c r="AA392" s="125" t="str">
        <f t="shared" si="160"/>
        <v>MENU_DC_SET_YN BPCHAR(1),</v>
      </c>
      <c r="AB392" s="125" t="str">
        <f t="shared" si="163"/>
        <v/>
      </c>
      <c r="AC392" s="125" t="str">
        <f t="shared" si="164"/>
        <v/>
      </c>
      <c r="AD392" s="125" t="str">
        <f t="shared" si="159"/>
        <v/>
      </c>
      <c r="AE392" s="125" t="str">
        <f t="shared" si="157"/>
        <v/>
      </c>
      <c r="AF392" s="125" t="str">
        <f t="shared" si="158"/>
        <v>COMMENT ON COLUMN TB_MENU.MENU_DC_SET_YN IS '메뉴 설명 설정 여부' ;</v>
      </c>
      <c r="AG392" s="125" t="str">
        <f t="shared" si="161"/>
        <v>ALTER TABLE TB_MENU ALTER COLUMN MENU_DC_SET_YN TYPE BPCHAR(1);</v>
      </c>
      <c r="AH392" s="131" t="str">
        <f t="shared" si="149"/>
        <v>ALTER TABLE TB_MENU ADD COLUMN MENU_DC_SET_YN BPCHAR(1);</v>
      </c>
      <c r="AI392" s="125" t="str">
        <f t="shared" si="162"/>
        <v>ALTER TABLE TB_MENU DROP COLUMN MENU_DC_SET_YN;</v>
      </c>
    </row>
    <row r="393" spans="2:35" ht="20.100000000000001" customHeight="1">
      <c r="B393" s="55">
        <v>380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9</v>
      </c>
      <c r="H393" s="104" t="s">
        <v>406</v>
      </c>
      <c r="I393" s="104" t="s">
        <v>400</v>
      </c>
      <c r="J393" s="85"/>
      <c r="K393" s="85"/>
      <c r="L393" s="85"/>
      <c r="M393" s="85"/>
      <c r="N393" s="85"/>
      <c r="O393" s="85"/>
      <c r="P393" s="85"/>
      <c r="Q393" s="100" t="s">
        <v>563</v>
      </c>
      <c r="R393" s="119" t="s">
        <v>528</v>
      </c>
      <c r="S393" s="85"/>
      <c r="T393" s="104" t="s">
        <v>564</v>
      </c>
      <c r="U393" s="125"/>
      <c r="V393" s="125"/>
      <c r="W393" s="104" t="s">
        <v>566</v>
      </c>
      <c r="X393" s="85"/>
      <c r="Y393" s="123"/>
      <c r="Z393" s="130" t="str">
        <f t="shared" si="156"/>
        <v>/* 테이블 : 메뉴 */ CREATE TABLE TB_MENU (</v>
      </c>
      <c r="AA393" s="125" t="str">
        <f t="shared" si="160"/>
        <v>MENU_DC VARCHAR(255),</v>
      </c>
      <c r="AB393" s="125" t="str">
        <f t="shared" si="163"/>
        <v/>
      </c>
      <c r="AC393" s="125" t="str">
        <f t="shared" si="164"/>
        <v/>
      </c>
      <c r="AD393" s="125" t="str">
        <f t="shared" si="159"/>
        <v/>
      </c>
      <c r="AE393" s="125" t="str">
        <f t="shared" si="157"/>
        <v/>
      </c>
      <c r="AF393" s="125" t="str">
        <f t="shared" si="158"/>
        <v>COMMENT ON COLUMN TB_MENU.MENU_DC IS '메뉴 설명' ;</v>
      </c>
      <c r="AG393" s="125" t="str">
        <f t="shared" si="161"/>
        <v>ALTER TABLE TB_MENU ALTER COLUMN MENU_DC TYPE VARCHAR(255);</v>
      </c>
      <c r="AH393" s="131" t="str">
        <f t="shared" si="149"/>
        <v>ALTER TABLE TB_MENU ADD COLUMN MENU_DC VARCHAR(255);</v>
      </c>
      <c r="AI393" s="125" t="str">
        <f t="shared" si="162"/>
        <v>ALTER TABLE TB_MENU DROP COLUMN MENU_DC;</v>
      </c>
    </row>
    <row r="394" spans="2:35" ht="20.100000000000001" customHeight="1">
      <c r="B394" s="135">
        <v>381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10</v>
      </c>
      <c r="H394" s="104" t="s">
        <v>562</v>
      </c>
      <c r="I394" s="104" t="s">
        <v>561</v>
      </c>
      <c r="J394" s="85"/>
      <c r="K394" s="85"/>
      <c r="L394" s="85"/>
      <c r="M394" s="85"/>
      <c r="N394" s="85"/>
      <c r="O394" s="85"/>
      <c r="P394" s="85"/>
      <c r="Q394" s="104" t="s">
        <v>421</v>
      </c>
      <c r="R394" s="87"/>
      <c r="S394" s="85"/>
      <c r="T394" s="104" t="s">
        <v>565</v>
      </c>
      <c r="U394" s="123"/>
      <c r="V394" s="123"/>
      <c r="W394" s="104" t="s">
        <v>567</v>
      </c>
      <c r="X394" s="85"/>
      <c r="Y394" s="123"/>
      <c r="Z394" s="130" t="str">
        <f t="shared" si="156"/>
        <v>/* 테이블 : 메뉴 */ CREATE TABLE TB_MENU (</v>
      </c>
      <c r="AA394" s="125" t="str">
        <f t="shared" si="160"/>
        <v>MENU_DETAIL_DC TEXT,</v>
      </c>
      <c r="AB394" s="125" t="str">
        <f t="shared" si="163"/>
        <v/>
      </c>
      <c r="AC394" s="125" t="str">
        <f t="shared" si="164"/>
        <v/>
      </c>
      <c r="AD394" s="125" t="str">
        <f t="shared" si="159"/>
        <v/>
      </c>
      <c r="AE394" s="125" t="str">
        <f t="shared" si="157"/>
        <v/>
      </c>
      <c r="AF394" s="125" t="str">
        <f t="shared" si="158"/>
        <v>COMMENT ON COLUMN TB_MENU.MENU_DETAIL_DC IS '메뉴 상세 설명' ;</v>
      </c>
      <c r="AG394" s="125" t="str">
        <f t="shared" si="161"/>
        <v>ALTER TABLE TB_MENU ALTER COLUMN MENU_DETAIL_DC TYPE TEXT;</v>
      </c>
      <c r="AH394" s="131" t="str">
        <f t="shared" si="149"/>
        <v>ALTER TABLE TB_MENU ADD COLUMN MENU_DETAIL_DC TEXT;</v>
      </c>
      <c r="AI394" s="125" t="str">
        <f t="shared" si="162"/>
        <v>ALTER TABLE TB_MENU DROP COLUMN MENU_DETAIL_DC;</v>
      </c>
    </row>
    <row r="395" spans="2:35" ht="20.100000000000001" customHeight="1">
      <c r="B395" s="55">
        <v>382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11</v>
      </c>
      <c r="H395" s="104" t="s">
        <v>727</v>
      </c>
      <c r="I395" s="104" t="s">
        <v>724</v>
      </c>
      <c r="J395" s="85"/>
      <c r="K395" s="85"/>
      <c r="L395" s="85"/>
      <c r="M395" s="85"/>
      <c r="N395" s="85"/>
      <c r="O395" s="85"/>
      <c r="P395" s="85"/>
      <c r="Q395" s="51" t="s">
        <v>800</v>
      </c>
      <c r="R395" s="119" t="s">
        <v>522</v>
      </c>
      <c r="S395" s="82" t="s">
        <v>799</v>
      </c>
      <c r="T395" s="104" t="s">
        <v>726</v>
      </c>
      <c r="U395" s="123"/>
      <c r="V395" s="123"/>
      <c r="W395" s="104" t="s">
        <v>725</v>
      </c>
      <c r="X395" s="85"/>
      <c r="Y395" s="123"/>
      <c r="Z395" s="130" t="str">
        <f t="shared" si="156"/>
        <v>/* 테이블 : 메뉴 */ CREATE TABLE TB_MENU (</v>
      </c>
      <c r="AA395" s="125" t="str">
        <f t="shared" si="160"/>
        <v>NEW_WINDOW_YN BPCHAR(1),</v>
      </c>
      <c r="AB395" s="125" t="str">
        <f t="shared" si="163"/>
        <v/>
      </c>
      <c r="AC395" s="125" t="str">
        <f t="shared" si="164"/>
        <v/>
      </c>
      <c r="AD395" s="125" t="str">
        <f t="shared" si="159"/>
        <v/>
      </c>
      <c r="AE395" s="125" t="str">
        <f t="shared" si="157"/>
        <v>ALTER TABLE TB_MENU ALTER COLUMN NEW_WINDOW_YN SET DEFAULT 'N'::bpchar;</v>
      </c>
      <c r="AF395" s="125" t="str">
        <f t="shared" si="158"/>
        <v>COMMENT ON COLUMN TB_MENU.NEW_WINDOW_YN IS '새창 여부' ;</v>
      </c>
      <c r="AG395" s="125" t="str">
        <f t="shared" si="161"/>
        <v>ALTER TABLE TB_MENU ALTER COLUMN NEW_WINDOW_YN TYPE BPCHAR(1);</v>
      </c>
      <c r="AH395" s="131" t="str">
        <f t="shared" si="149"/>
        <v>ALTER TABLE TB_MENU ADD COLUMN NEW_WINDOW_YN BPCHAR(1) DEFAULT 'N'::bpchar;</v>
      </c>
      <c r="AI395" s="125" t="str">
        <f t="shared" si="162"/>
        <v>ALTER TABLE TB_MENU DROP COLUMN NEW_WINDOW_YN;</v>
      </c>
    </row>
    <row r="396" spans="2:35" ht="20.100000000000001" customHeight="1">
      <c r="B396" s="55">
        <v>383</v>
      </c>
      <c r="C396" s="26" t="s">
        <v>7</v>
      </c>
      <c r="D396" s="26" t="s">
        <v>19</v>
      </c>
      <c r="E396" s="10" t="s">
        <v>40</v>
      </c>
      <c r="F396" s="10" t="s">
        <v>41</v>
      </c>
      <c r="G396" s="87">
        <v>12</v>
      </c>
      <c r="H396" s="104" t="s">
        <v>492</v>
      </c>
      <c r="I396" s="104" t="s">
        <v>491</v>
      </c>
      <c r="J396" s="85"/>
      <c r="K396" s="85"/>
      <c r="L396" s="85">
        <v>1</v>
      </c>
      <c r="M396" s="10" t="s">
        <v>364</v>
      </c>
      <c r="N396" s="96" t="s">
        <v>365</v>
      </c>
      <c r="O396" s="96" t="s">
        <v>539</v>
      </c>
      <c r="P396" s="96" t="s">
        <v>540</v>
      </c>
      <c r="Q396" s="104" t="s">
        <v>229</v>
      </c>
      <c r="R396" s="87"/>
      <c r="S396" s="85"/>
      <c r="T396" s="104" t="s">
        <v>510</v>
      </c>
      <c r="U396" s="123"/>
      <c r="V396" s="123"/>
      <c r="W396" s="104" t="s">
        <v>568</v>
      </c>
      <c r="X396" s="85"/>
      <c r="Y396" s="123"/>
      <c r="Z396" s="130" t="str">
        <f t="shared" si="156"/>
        <v>/* 테이블 : 메뉴 */ CREATE TABLE TB_MENU (</v>
      </c>
      <c r="AA396" s="125" t="str">
        <f t="shared" si="160"/>
        <v>ATCH_FILE_SN INTEGER,</v>
      </c>
      <c r="AB396" s="125" t="str">
        <f t="shared" si="163"/>
        <v>ALTER TABLE TB_MENU ADD CONSTRAINT TB_MENU_FKEY1 FOREIGN KEY(ATCH_FILE_SN) REFERENCES TB_ATCH_FILE(ATCH_FILE_SN) ON UPDATE CASCADE ON DELETE SET NULL;</v>
      </c>
      <c r="AC396" s="125" t="str">
        <f t="shared" si="164"/>
        <v/>
      </c>
      <c r="AD396" s="125" t="str">
        <f t="shared" si="159"/>
        <v/>
      </c>
      <c r="AE396" s="125" t="str">
        <f t="shared" si="157"/>
        <v/>
      </c>
      <c r="AF396" s="125" t="str">
        <f t="shared" si="158"/>
        <v>COMMENT ON COLUMN TB_MENU.ATCH_FILE_SN IS '첨부 파일 일련번호' ;</v>
      </c>
      <c r="AG396" s="125" t="str">
        <f t="shared" si="161"/>
        <v>ALTER TABLE TB_MENU ALTER COLUMN ATCH_FILE_SN TYPE INTEGER;</v>
      </c>
      <c r="AH396" s="131" t="str">
        <f t="shared" ref="AH396:AH459" si="165">"ALTER TABLE "&amp;$E396&amp;" ADD COLUMN "&amp;$H396&amp;" "&amp;$Q396&amp;IF(ISBLANK(R396),"",$R396)&amp;IF(ISBLANK($J396),""," NOT NULL")&amp;IF(ISBLANK($S396),""," DEFAULT " &amp; $S396 ) &amp; ";"</f>
        <v>ALTER TABLE TB_MENU ADD COLUMN ATCH_FILE_SN INTEGER;</v>
      </c>
      <c r="AI396" s="125" t="str">
        <f t="shared" si="162"/>
        <v>ALTER TABLE TB_MENU DROP COLUMN ATCH_FILE_SN;</v>
      </c>
    </row>
    <row r="397" spans="2:35" ht="20.100000000000001" customHeight="1">
      <c r="B397" s="55">
        <v>384</v>
      </c>
      <c r="C397" s="26" t="s">
        <v>7</v>
      </c>
      <c r="D397" s="26" t="s">
        <v>19</v>
      </c>
      <c r="E397" s="10" t="s">
        <v>40</v>
      </c>
      <c r="F397" s="10" t="s">
        <v>41</v>
      </c>
      <c r="G397" s="87">
        <v>13</v>
      </c>
      <c r="H397" s="104" t="s">
        <v>408</v>
      </c>
      <c r="I397" s="104" t="s">
        <v>407</v>
      </c>
      <c r="J397" s="85" t="s">
        <v>418</v>
      </c>
      <c r="K397" s="85"/>
      <c r="L397" s="85"/>
      <c r="M397" s="85"/>
      <c r="N397" s="85"/>
      <c r="O397" s="85"/>
      <c r="P397" s="85"/>
      <c r="Q397" s="51" t="s">
        <v>800</v>
      </c>
      <c r="R397" s="119" t="s">
        <v>522</v>
      </c>
      <c r="S397" s="85"/>
      <c r="T397" s="104" t="s">
        <v>465</v>
      </c>
      <c r="U397" s="123"/>
      <c r="V397" s="123"/>
      <c r="W397" s="104"/>
      <c r="X397" s="85"/>
      <c r="Y397" s="123"/>
      <c r="Z397" s="130" t="str">
        <f t="shared" si="156"/>
        <v>/* 테이블 : 메뉴 */ CREATE TABLE TB_MENU (</v>
      </c>
      <c r="AA397" s="125" t="str">
        <f t="shared" si="160"/>
        <v>USE_YN BPCHAR(1) NOT NULL,</v>
      </c>
      <c r="AB397" s="125" t="str">
        <f t="shared" si="163"/>
        <v/>
      </c>
      <c r="AC397" s="125" t="str">
        <f t="shared" si="164"/>
        <v/>
      </c>
      <c r="AD397" s="125" t="str">
        <f t="shared" si="159"/>
        <v/>
      </c>
      <c r="AE397" s="125" t="str">
        <f t="shared" si="157"/>
        <v/>
      </c>
      <c r="AF397" s="125" t="str">
        <f t="shared" si="158"/>
        <v>COMMENT ON COLUMN TB_MENU.USE_YN IS '사용 여부' ;</v>
      </c>
      <c r="AG397" s="125" t="str">
        <f t="shared" si="161"/>
        <v>ALTER TABLE TB_MENU ALTER COLUMN USE_YN TYPE BPCHAR(1);</v>
      </c>
      <c r="AH397" s="131" t="str">
        <f t="shared" si="165"/>
        <v>ALTER TABLE TB_MENU ADD COLUMN USE_YN BPCHAR(1) NOT NULL;</v>
      </c>
      <c r="AI397" s="125" t="str">
        <f t="shared" si="162"/>
        <v>ALTER TABLE TB_MENU DROP COLUMN USE_YN;</v>
      </c>
    </row>
    <row r="398" spans="2:35" ht="20.100000000000001" customHeight="1">
      <c r="B398" s="135">
        <v>385</v>
      </c>
      <c r="C398" s="26" t="s">
        <v>7</v>
      </c>
      <c r="D398" s="26" t="s">
        <v>19</v>
      </c>
      <c r="E398" s="10" t="s">
        <v>40</v>
      </c>
      <c r="F398" s="10" t="s">
        <v>41</v>
      </c>
      <c r="G398" s="87">
        <v>14</v>
      </c>
      <c r="H398" s="97" t="s">
        <v>107</v>
      </c>
      <c r="I398" s="51" t="s">
        <v>76</v>
      </c>
      <c r="J398" s="73" t="s">
        <v>72</v>
      </c>
      <c r="K398" s="67"/>
      <c r="L398" s="67"/>
      <c r="M398" s="77"/>
      <c r="N398" s="77"/>
      <c r="O398" s="77"/>
      <c r="P398" s="77"/>
      <c r="Q398" s="100" t="s">
        <v>521</v>
      </c>
      <c r="R398" s="119" t="s">
        <v>526</v>
      </c>
      <c r="S398" s="80"/>
      <c r="T398" s="107" t="s">
        <v>219</v>
      </c>
      <c r="U398" s="123"/>
      <c r="V398" s="123"/>
      <c r="W398" s="116" t="s">
        <v>496</v>
      </c>
      <c r="X398" s="85"/>
      <c r="Y398" s="123"/>
      <c r="Z398" s="130" t="str">
        <f t="shared" si="156"/>
        <v>/* 테이블 : 메뉴 */ CREATE TABLE TB_MENU (</v>
      </c>
      <c r="AA398" s="125" t="str">
        <f t="shared" si="160"/>
        <v>REGISTER_ID VARCHAR(50) NOT NULL,</v>
      </c>
      <c r="AB398" s="125" t="str">
        <f t="shared" si="163"/>
        <v/>
      </c>
      <c r="AC398" s="125" t="str">
        <f t="shared" si="164"/>
        <v/>
      </c>
      <c r="AD398" s="125" t="str">
        <f t="shared" si="159"/>
        <v/>
      </c>
      <c r="AE398" s="125" t="str">
        <f t="shared" si="157"/>
        <v/>
      </c>
      <c r="AF398" s="125" t="str">
        <f t="shared" si="158"/>
        <v>COMMENT ON COLUMN TB_MENU.REGISTER_ID IS '등록자 ID' ;</v>
      </c>
      <c r="AG398" s="125" t="str">
        <f t="shared" si="161"/>
        <v>ALTER TABLE TB_MENU ALTER COLUMN REGISTER_ID TYPE VARCHAR(50);</v>
      </c>
      <c r="AH398" s="131" t="str">
        <f t="shared" si="165"/>
        <v>ALTER TABLE TB_MENU ADD COLUMN REGISTER_ID VARCHAR(50) NOT NULL;</v>
      </c>
      <c r="AI398" s="125" t="str">
        <f t="shared" si="162"/>
        <v>ALTER TABLE TB_MENU DROP COLUMN REGISTER_ID;</v>
      </c>
    </row>
    <row r="399" spans="2:35" ht="20.100000000000001" customHeight="1">
      <c r="B399" s="55">
        <v>386</v>
      </c>
      <c r="C399" s="26" t="s">
        <v>7</v>
      </c>
      <c r="D399" s="26" t="s">
        <v>19</v>
      </c>
      <c r="E399" s="10" t="s">
        <v>40</v>
      </c>
      <c r="F399" s="10" t="s">
        <v>41</v>
      </c>
      <c r="G399" s="87">
        <v>15</v>
      </c>
      <c r="H399" s="97" t="s">
        <v>91</v>
      </c>
      <c r="I399" s="51" t="s">
        <v>77</v>
      </c>
      <c r="J399" s="73" t="s">
        <v>72</v>
      </c>
      <c r="K399" s="52"/>
      <c r="L399" s="52"/>
      <c r="M399" s="52"/>
      <c r="N399" s="52"/>
      <c r="O399" s="52"/>
      <c r="P399" s="52"/>
      <c r="Q399" s="56" t="s">
        <v>106</v>
      </c>
      <c r="R399" s="120" t="s">
        <v>527</v>
      </c>
      <c r="S399" s="80"/>
      <c r="T399" s="107" t="s">
        <v>218</v>
      </c>
      <c r="U399" s="123"/>
      <c r="V399" s="123"/>
      <c r="W399" s="104"/>
      <c r="X399" s="85"/>
      <c r="Y399" s="123"/>
      <c r="Z399" s="130" t="str">
        <f t="shared" si="156"/>
        <v>/* 테이블 : 메뉴 */ CREATE TABLE TB_MENU (</v>
      </c>
      <c r="AA399" s="125" t="str">
        <f t="shared" si="160"/>
        <v>REGISTER_IP VARCHAR(100) NOT NULL,</v>
      </c>
      <c r="AB399" s="125" t="str">
        <f t="shared" si="163"/>
        <v/>
      </c>
      <c r="AC399" s="125" t="str">
        <f t="shared" si="164"/>
        <v/>
      </c>
      <c r="AD399" s="125" t="str">
        <f t="shared" si="159"/>
        <v/>
      </c>
      <c r="AE399" s="125" t="str">
        <f t="shared" si="157"/>
        <v/>
      </c>
      <c r="AF399" s="125" t="str">
        <f t="shared" si="158"/>
        <v>COMMENT ON COLUMN TB_MENU.REGISTER_IP IS '등록자 IP' ;</v>
      </c>
      <c r="AG399" s="125" t="str">
        <f t="shared" si="161"/>
        <v>ALTER TABLE TB_MENU ALTER COLUMN REGISTER_IP TYPE VARCHAR(100);</v>
      </c>
      <c r="AH399" s="131" t="str">
        <f t="shared" si="165"/>
        <v>ALTER TABLE TB_MENU ADD COLUMN REGISTER_IP VARCHAR(100) NOT NULL;</v>
      </c>
      <c r="AI399" s="125" t="str">
        <f t="shared" si="162"/>
        <v>ALTER TABLE TB_MENU DROP COLUMN REGISTER_IP;</v>
      </c>
    </row>
    <row r="400" spans="2:35" ht="20.100000000000001" customHeight="1">
      <c r="B400" s="55">
        <v>387</v>
      </c>
      <c r="C400" s="26" t="s">
        <v>7</v>
      </c>
      <c r="D400" s="26" t="s">
        <v>19</v>
      </c>
      <c r="E400" s="10" t="s">
        <v>40</v>
      </c>
      <c r="F400" s="10" t="s">
        <v>41</v>
      </c>
      <c r="G400" s="87">
        <v>16</v>
      </c>
      <c r="H400" s="97" t="s">
        <v>92</v>
      </c>
      <c r="I400" s="96" t="s">
        <v>78</v>
      </c>
      <c r="J400" s="73" t="s">
        <v>72</v>
      </c>
      <c r="K400" s="52"/>
      <c r="L400" s="52"/>
      <c r="M400" s="52"/>
      <c r="N400" s="52"/>
      <c r="O400" s="52"/>
      <c r="P400" s="52"/>
      <c r="Q400" s="51" t="s">
        <v>702</v>
      </c>
      <c r="R400" s="120"/>
      <c r="S400" s="80"/>
      <c r="T400" s="107" t="s">
        <v>217</v>
      </c>
      <c r="U400" s="123"/>
      <c r="V400" s="123"/>
      <c r="W400" s="104"/>
      <c r="X400" s="85"/>
      <c r="Y400" s="123"/>
      <c r="Z400" s="130" t="str">
        <f t="shared" si="156"/>
        <v>/* 테이블 : 메뉴 */ CREATE TABLE TB_MENU (</v>
      </c>
      <c r="AA400" s="125" t="str">
        <f t="shared" si="160"/>
        <v>REG_DT TIMESTAMP NOT NULL,</v>
      </c>
      <c r="AB400" s="125" t="str">
        <f t="shared" si="163"/>
        <v/>
      </c>
      <c r="AC400" s="125" t="str">
        <f t="shared" si="164"/>
        <v/>
      </c>
      <c r="AD400" s="125" t="str">
        <f t="shared" si="159"/>
        <v/>
      </c>
      <c r="AE400" s="125" t="str">
        <f t="shared" si="157"/>
        <v/>
      </c>
      <c r="AF400" s="125" t="str">
        <f t="shared" si="158"/>
        <v>COMMENT ON COLUMN TB_MENU.REG_DT IS '등록 일시' ;</v>
      </c>
      <c r="AG400" s="125" t="str">
        <f t="shared" si="161"/>
        <v>ALTER TABLE TB_MENU ALTER COLUMN REG_DT TYPE TIMESTAMP;</v>
      </c>
      <c r="AH400" s="131" t="str">
        <f t="shared" si="165"/>
        <v>ALTER TABLE TB_MENU ADD COLUMN REG_DT TIMESTAMP NOT NULL;</v>
      </c>
      <c r="AI400" s="125" t="str">
        <f t="shared" si="162"/>
        <v>ALTER TABLE TB_MENU DROP COLUMN REG_DT;</v>
      </c>
    </row>
    <row r="401" spans="2:35" ht="20.100000000000001" customHeight="1">
      <c r="B401" s="55">
        <v>388</v>
      </c>
      <c r="C401" s="26" t="s">
        <v>7</v>
      </c>
      <c r="D401" s="26" t="s">
        <v>19</v>
      </c>
      <c r="E401" s="10" t="s">
        <v>40</v>
      </c>
      <c r="F401" s="10" t="s">
        <v>41</v>
      </c>
      <c r="G401" s="87">
        <v>17</v>
      </c>
      <c r="H401" s="97" t="s">
        <v>93</v>
      </c>
      <c r="I401" s="96" t="s">
        <v>80</v>
      </c>
      <c r="J401" s="52"/>
      <c r="K401" s="52"/>
      <c r="L401" s="52"/>
      <c r="M401" s="79"/>
      <c r="N401" s="79"/>
      <c r="O401" s="79"/>
      <c r="P401" s="79"/>
      <c r="Q401" s="100" t="s">
        <v>521</v>
      </c>
      <c r="R401" s="119" t="s">
        <v>526</v>
      </c>
      <c r="S401" s="80"/>
      <c r="T401" s="107" t="s">
        <v>216</v>
      </c>
      <c r="U401" s="123"/>
      <c r="V401" s="123"/>
      <c r="W401" s="116" t="s">
        <v>496</v>
      </c>
      <c r="X401" s="85"/>
      <c r="Y401" s="123"/>
      <c r="Z401" s="130" t="str">
        <f t="shared" si="156"/>
        <v>/* 테이블 : 메뉴 */ CREATE TABLE TB_MENU (</v>
      </c>
      <c r="AA401" s="125" t="str">
        <f t="shared" si="160"/>
        <v>UPDUSR_ID VARCHAR(50),</v>
      </c>
      <c r="AB401" s="125" t="str">
        <f t="shared" si="163"/>
        <v/>
      </c>
      <c r="AC401" s="125" t="str">
        <f t="shared" si="164"/>
        <v/>
      </c>
      <c r="AD401" s="125" t="str">
        <f t="shared" si="159"/>
        <v/>
      </c>
      <c r="AE401" s="125" t="str">
        <f t="shared" si="157"/>
        <v/>
      </c>
      <c r="AF401" s="125" t="str">
        <f t="shared" si="158"/>
        <v>COMMENT ON COLUMN TB_MENU.UPDUSR_ID IS '수정자 ID' ;</v>
      </c>
      <c r="AG401" s="125" t="str">
        <f t="shared" si="161"/>
        <v>ALTER TABLE TB_MENU ALTER COLUMN UPDUSR_ID TYPE VARCHAR(50);</v>
      </c>
      <c r="AH401" s="131" t="str">
        <f t="shared" si="165"/>
        <v>ALTER TABLE TB_MENU ADD COLUMN UPDUSR_ID VARCHAR(50);</v>
      </c>
      <c r="AI401" s="125" t="str">
        <f t="shared" si="162"/>
        <v>ALTER TABLE TB_MENU DROP COLUMN UPDUSR_ID;</v>
      </c>
    </row>
    <row r="402" spans="2:35" ht="20.100000000000001" customHeight="1">
      <c r="B402" s="135">
        <v>389</v>
      </c>
      <c r="C402" s="26" t="s">
        <v>7</v>
      </c>
      <c r="D402" s="26" t="s">
        <v>19</v>
      </c>
      <c r="E402" s="10" t="s">
        <v>40</v>
      </c>
      <c r="F402" s="10" t="s">
        <v>41</v>
      </c>
      <c r="G402" s="87">
        <v>18</v>
      </c>
      <c r="H402" s="97" t="s">
        <v>94</v>
      </c>
      <c r="I402" s="96" t="s">
        <v>79</v>
      </c>
      <c r="J402" s="52"/>
      <c r="K402" s="52"/>
      <c r="L402" s="52"/>
      <c r="M402" s="52"/>
      <c r="N402" s="52"/>
      <c r="O402" s="52"/>
      <c r="P402" s="52"/>
      <c r="Q402" s="56" t="s">
        <v>106</v>
      </c>
      <c r="R402" s="120" t="s">
        <v>527</v>
      </c>
      <c r="S402" s="80"/>
      <c r="T402" s="107" t="s">
        <v>215</v>
      </c>
      <c r="U402" s="123"/>
      <c r="V402" s="123"/>
      <c r="W402" s="104"/>
      <c r="X402" s="85"/>
      <c r="Y402" s="123"/>
      <c r="Z402" s="130" t="str">
        <f t="shared" si="156"/>
        <v>/* 테이블 : 메뉴 */ CREATE TABLE TB_MENU (</v>
      </c>
      <c r="AA402" s="125" t="str">
        <f t="shared" si="160"/>
        <v>UPDUSR_IP VARCHAR(100),</v>
      </c>
      <c r="AB402" s="125" t="str">
        <f t="shared" si="163"/>
        <v/>
      </c>
      <c r="AC402" s="125" t="str">
        <f t="shared" si="164"/>
        <v/>
      </c>
      <c r="AD402" s="125" t="str">
        <f t="shared" si="159"/>
        <v/>
      </c>
      <c r="AE402" s="125" t="str">
        <f t="shared" si="157"/>
        <v/>
      </c>
      <c r="AF402" s="125" t="str">
        <f t="shared" si="158"/>
        <v>COMMENT ON COLUMN TB_MENU.UPDUSR_IP IS '수정자 IP' ;</v>
      </c>
      <c r="AG402" s="125" t="str">
        <f t="shared" si="161"/>
        <v>ALTER TABLE TB_MENU ALTER COLUMN UPDUSR_IP TYPE VARCHAR(100);</v>
      </c>
      <c r="AH402" s="131" t="str">
        <f t="shared" si="165"/>
        <v>ALTER TABLE TB_MENU ADD COLUMN UPDUSR_IP VARCHAR(100);</v>
      </c>
      <c r="AI402" s="125" t="str">
        <f t="shared" si="162"/>
        <v>ALTER TABLE TB_MENU DROP COLUMN UPDUSR_IP;</v>
      </c>
    </row>
    <row r="403" spans="2:35" ht="20.100000000000001" customHeight="1">
      <c r="B403" s="55">
        <v>390</v>
      </c>
      <c r="C403" s="26" t="s">
        <v>7</v>
      </c>
      <c r="D403" s="26" t="s">
        <v>19</v>
      </c>
      <c r="E403" s="10" t="s">
        <v>40</v>
      </c>
      <c r="F403" s="10" t="s">
        <v>41</v>
      </c>
      <c r="G403" s="87">
        <v>19</v>
      </c>
      <c r="H403" s="98" t="s">
        <v>95</v>
      </c>
      <c r="I403" s="97" t="s">
        <v>81</v>
      </c>
      <c r="J403" s="61"/>
      <c r="K403" s="61"/>
      <c r="L403" s="61"/>
      <c r="M403" s="61"/>
      <c r="N403" s="61"/>
      <c r="O403" s="61"/>
      <c r="P403" s="61"/>
      <c r="Q403" s="51" t="s">
        <v>702</v>
      </c>
      <c r="R403" s="120"/>
      <c r="S403" s="77"/>
      <c r="T403" s="107" t="s">
        <v>214</v>
      </c>
      <c r="U403" s="123"/>
      <c r="V403" s="123"/>
      <c r="W403" s="104"/>
      <c r="X403" s="85"/>
      <c r="Y403" s="123"/>
      <c r="Z403" s="130" t="str">
        <f t="shared" si="156"/>
        <v>/* 테이블 : 메뉴 */ CREATE TABLE TB_MENU (</v>
      </c>
      <c r="AA403" s="125" t="str">
        <f t="shared" si="160"/>
        <v>UPDT_DT TIMESTAMP,</v>
      </c>
      <c r="AB403" s="125" t="str">
        <f t="shared" si="163"/>
        <v/>
      </c>
      <c r="AC403" s="125" t="str">
        <f t="shared" si="164"/>
        <v/>
      </c>
      <c r="AD403" s="125" t="str">
        <f t="shared" si="159"/>
        <v/>
      </c>
      <c r="AE403" s="125" t="str">
        <f t="shared" si="157"/>
        <v/>
      </c>
      <c r="AF403" s="125" t="str">
        <f t="shared" si="158"/>
        <v>COMMENT ON COLUMN TB_MENU.UPDT_DT IS '수정 일시' ;</v>
      </c>
      <c r="AG403" s="125" t="str">
        <f t="shared" si="161"/>
        <v>ALTER TABLE TB_MENU ALTER COLUMN UPDT_DT TYPE TIMESTAMP;</v>
      </c>
      <c r="AH403" s="131" t="str">
        <f t="shared" si="165"/>
        <v>ALTER TABLE TB_MENU ADD COLUMN UPDT_DT TIMESTAMP;</v>
      </c>
      <c r="AI403" s="125" t="str">
        <f t="shared" si="162"/>
        <v>ALTER TABLE TB_MENU DROP COLUMN UPDT_DT;</v>
      </c>
    </row>
    <row r="404" spans="2:35" ht="20.100000000000001" customHeight="1">
      <c r="B404" s="55">
        <v>391</v>
      </c>
      <c r="C404" s="26" t="s">
        <v>7</v>
      </c>
      <c r="D404" s="26" t="s">
        <v>19</v>
      </c>
      <c r="E404" s="10" t="s">
        <v>40</v>
      </c>
      <c r="F404" s="10" t="s">
        <v>41</v>
      </c>
      <c r="G404" s="87">
        <v>20</v>
      </c>
      <c r="H404" s="97" t="s">
        <v>96</v>
      </c>
      <c r="I404" s="97" t="s">
        <v>82</v>
      </c>
      <c r="J404" s="73" t="s">
        <v>72</v>
      </c>
      <c r="K404" s="61"/>
      <c r="L404" s="61"/>
      <c r="M404" s="61"/>
      <c r="N404" s="61"/>
      <c r="O404" s="61"/>
      <c r="P404" s="61"/>
      <c r="Q404" s="51" t="s">
        <v>800</v>
      </c>
      <c r="R404" s="120" t="s">
        <v>522</v>
      </c>
      <c r="S404" s="82" t="s">
        <v>799</v>
      </c>
      <c r="T404" s="107" t="s">
        <v>213</v>
      </c>
      <c r="U404" s="123"/>
      <c r="V404" s="123"/>
      <c r="W404" s="104"/>
      <c r="X404" s="85"/>
      <c r="Y404" s="123"/>
      <c r="Z404" s="130" t="str">
        <f t="shared" ref="Z404:Z467" si="166">"/* 테이블 : "&amp; $F404 &amp;" */ CREATE TABLE "&amp;$E404&amp;" ("</f>
        <v>/* 테이블 : 메뉴 */ CREATE TABLE TB_MENU (</v>
      </c>
      <c r="AA404" s="125" t="str">
        <f t="shared" si="160"/>
        <v>DEL_YN BPCHAR(1) NOT NULL,</v>
      </c>
      <c r="AB404" s="125" t="str">
        <f t="shared" si="163"/>
        <v/>
      </c>
      <c r="AC404" s="125" t="str">
        <f t="shared" si="164"/>
        <v/>
      </c>
      <c r="AD404" s="125" t="str">
        <f t="shared" si="159"/>
        <v/>
      </c>
      <c r="AE404" s="125" t="str">
        <f t="shared" ref="AE404:AE467" si="167">IF(ISBLANK($S404),"","ALTER TABLE " &amp; $E404 &amp; " ALTER COLUMN " &amp; $H404 &amp; " SET DEFAULT " &amp; $S404 &amp; ";")</f>
        <v>ALTER TABLE TB_MENU ALTER COLUMN DEL_YN SET DEFAULT 'N'::bpchar;</v>
      </c>
      <c r="AF404" s="125" t="str">
        <f t="shared" ref="AF404:AF467" si="168">"COMMENT ON COLUMN "&amp;$E404&amp;"."&amp;$H404&amp;" IS '"&amp;$T404&amp;"' ;"</f>
        <v>COMMENT ON COLUMN TB_MENU.DEL_YN IS '삭제 여부' ;</v>
      </c>
      <c r="AG404" s="125" t="str">
        <f t="shared" si="161"/>
        <v>ALTER TABLE TB_MENU ALTER COLUMN DEL_YN TYPE BPCHAR(1);</v>
      </c>
      <c r="AH404" s="131" t="str">
        <f t="shared" si="165"/>
        <v>ALTER TABLE TB_MENU ADD COLUMN DEL_YN BPCHAR(1) NOT NULL DEFAULT 'N'::bpchar;</v>
      </c>
      <c r="AI404" s="125" t="str">
        <f t="shared" si="162"/>
        <v>ALTER TABLE TB_MENU DROP COLUMN DEL_YN;</v>
      </c>
    </row>
    <row r="405" spans="2:35" ht="20.100000000000001" customHeight="1">
      <c r="B405" s="55">
        <v>392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1</v>
      </c>
      <c r="H405" s="104" t="s">
        <v>414</v>
      </c>
      <c r="I405" s="104" t="s">
        <v>415</v>
      </c>
      <c r="J405" s="85" t="s">
        <v>418</v>
      </c>
      <c r="K405" s="85">
        <v>1</v>
      </c>
      <c r="L405" s="85"/>
      <c r="M405" s="85"/>
      <c r="N405" s="85"/>
      <c r="O405" s="85"/>
      <c r="P405" s="85"/>
      <c r="Q405" s="104" t="s">
        <v>419</v>
      </c>
      <c r="R405" s="87"/>
      <c r="S405" s="85"/>
      <c r="T405" s="104" t="s">
        <v>475</v>
      </c>
      <c r="U405" s="125" t="str">
        <f>"SEQ_"&amp;E405&amp;"_SN"</f>
        <v>SEQ_TB_MENU_ROLE_SN</v>
      </c>
      <c r="V405" s="125"/>
      <c r="W405" s="104"/>
      <c r="X405" s="85"/>
      <c r="Y405" s="123"/>
      <c r="Z405" s="130" t="str">
        <f t="shared" si="166"/>
        <v>/* 테이블 : 메뉴권한 */ CREATE TABLE TB_MENU_ROLE (</v>
      </c>
      <c r="AA405" s="125" t="str">
        <f t="shared" si="160"/>
        <v>MENU_ROLE_SN INTEGER PRIMARY KEY,</v>
      </c>
      <c r="AB405" s="125" t="str">
        <f t="shared" si="163"/>
        <v/>
      </c>
      <c r="AC405" s="125" t="str">
        <f t="shared" si="164"/>
        <v>CREATE SEQUENCE SEQ_TB_MENU_ROLE_SN START 100000;</v>
      </c>
      <c r="AD405" s="125" t="str">
        <f t="shared" si="159"/>
        <v>ALTER TABLE TB_MENU_ROLE ALTER COLUMN MENU_ROLE_SN SET DEFAULT NEXTVAL('SEQ_TB_MENU_ROLE_SN');</v>
      </c>
      <c r="AE405" s="125" t="str">
        <f t="shared" si="167"/>
        <v/>
      </c>
      <c r="AF405" s="125" t="str">
        <f t="shared" si="168"/>
        <v>COMMENT ON COLUMN TB_MENU_ROLE.MENU_ROLE_SN IS '메뉴 권한 일련번호' ;</v>
      </c>
      <c r="AG405" s="125" t="str">
        <f t="shared" si="161"/>
        <v>ALTER TABLE TB_MENU_ROLE ALTER COLUMN MENU_ROLE_SN TYPE INTEGER;</v>
      </c>
      <c r="AH405" s="131" t="str">
        <f t="shared" si="165"/>
        <v>ALTER TABLE TB_MENU_ROLE ADD COLUMN MENU_ROLE_SN INTEGER NOT NULL;</v>
      </c>
      <c r="AI405" s="125" t="str">
        <f t="shared" si="162"/>
        <v>ALTER TABLE TB_MENU_ROLE DROP COLUMN MENU_ROLE_SN;</v>
      </c>
    </row>
    <row r="406" spans="2:35" ht="20.100000000000001" customHeight="1">
      <c r="B406" s="135">
        <v>393</v>
      </c>
      <c r="C406" s="26" t="s">
        <v>7</v>
      </c>
      <c r="D406" s="26" t="s">
        <v>19</v>
      </c>
      <c r="E406" s="10" t="s">
        <v>412</v>
      </c>
      <c r="F406" s="10" t="s">
        <v>413</v>
      </c>
      <c r="G406" s="87">
        <v>2</v>
      </c>
      <c r="H406" s="104" t="s">
        <v>417</v>
      </c>
      <c r="I406" s="104" t="s">
        <v>416</v>
      </c>
      <c r="J406" s="85" t="s">
        <v>418</v>
      </c>
      <c r="K406" s="85"/>
      <c r="L406" s="85">
        <v>1</v>
      </c>
      <c r="M406" s="10" t="s">
        <v>40</v>
      </c>
      <c r="N406" s="104" t="s">
        <v>401</v>
      </c>
      <c r="O406" s="95" t="s">
        <v>539</v>
      </c>
      <c r="P406" s="95" t="s">
        <v>541</v>
      </c>
      <c r="Q406" s="104" t="s">
        <v>419</v>
      </c>
      <c r="R406" s="87"/>
      <c r="S406" s="85"/>
      <c r="T406" s="104" t="s">
        <v>476</v>
      </c>
      <c r="U406" s="123"/>
      <c r="V406" s="123"/>
      <c r="W406" s="104"/>
      <c r="X406" s="85"/>
      <c r="Y406" s="123"/>
      <c r="Z406" s="130" t="str">
        <f t="shared" si="166"/>
        <v>/* 테이블 : 메뉴권한 */ CREATE TABLE TB_MENU_ROLE (</v>
      </c>
      <c r="AA406" s="125" t="str">
        <f t="shared" si="160"/>
        <v>MENU_SN INTEGER NOT NULL,</v>
      </c>
      <c r="AB406" s="125" t="str">
        <f t="shared" si="163"/>
        <v>ALTER TABLE TB_MENU_ROLE ADD CONSTRAINT TB_MENU_ROLE_FKEY1 FOREIGN KEY(MENU_SN) REFERENCES TB_MENU(MENU_SN) ON UPDATE CASCADE ON DELETE CASCADE;</v>
      </c>
      <c r="AC406" s="125" t="str">
        <f t="shared" si="164"/>
        <v/>
      </c>
      <c r="AD406" s="125" t="str">
        <f t="shared" si="159"/>
        <v/>
      </c>
      <c r="AE406" s="125" t="str">
        <f t="shared" si="167"/>
        <v/>
      </c>
      <c r="AF406" s="125" t="str">
        <f t="shared" si="168"/>
        <v>COMMENT ON COLUMN TB_MENU_ROLE.MENU_SN IS '메뉴 일련번호' ;</v>
      </c>
      <c r="AG406" s="125" t="str">
        <f t="shared" si="161"/>
        <v>ALTER TABLE TB_MENU_ROLE ALTER COLUMN MENU_SN TYPE INTEGER;</v>
      </c>
      <c r="AH406" s="131" t="str">
        <f t="shared" si="165"/>
        <v>ALTER TABLE TB_MENU_ROLE ADD COLUMN MENU_SN INTEGER NOT NULL;</v>
      </c>
      <c r="AI406" s="125" t="str">
        <f t="shared" si="162"/>
        <v>ALTER TABLE TB_MENU_ROLE DROP COLUMN MENU_SN;</v>
      </c>
    </row>
    <row r="407" spans="2:35" ht="20.100000000000001" customHeight="1">
      <c r="B407" s="55">
        <v>394</v>
      </c>
      <c r="C407" s="26" t="s">
        <v>7</v>
      </c>
      <c r="D407" s="26" t="s">
        <v>19</v>
      </c>
      <c r="E407" s="10" t="s">
        <v>412</v>
      </c>
      <c r="F407" s="10" t="s">
        <v>413</v>
      </c>
      <c r="G407" s="87">
        <v>3</v>
      </c>
      <c r="H407" s="101" t="s">
        <v>136</v>
      </c>
      <c r="I407" s="101" t="s">
        <v>135</v>
      </c>
      <c r="J407" s="85" t="s">
        <v>418</v>
      </c>
      <c r="K407" s="85"/>
      <c r="L407" s="85">
        <v>2</v>
      </c>
      <c r="M407" s="10" t="s">
        <v>116</v>
      </c>
      <c r="N407" s="101" t="s">
        <v>136</v>
      </c>
      <c r="O407" s="95" t="s">
        <v>539</v>
      </c>
      <c r="P407" s="95" t="s">
        <v>541</v>
      </c>
      <c r="Q407" s="104" t="s">
        <v>419</v>
      </c>
      <c r="R407" s="87"/>
      <c r="S407" s="85"/>
      <c r="T407" s="104" t="s">
        <v>477</v>
      </c>
      <c r="U407" s="123"/>
      <c r="V407" s="123"/>
      <c r="W407" s="104"/>
      <c r="X407" s="85"/>
      <c r="Y407" s="123"/>
      <c r="Z407" s="130" t="str">
        <f t="shared" si="166"/>
        <v>/* 테이블 : 메뉴권한 */ CREATE TABLE TB_MENU_ROLE (</v>
      </c>
      <c r="AA407" s="125" t="str">
        <f t="shared" si="160"/>
        <v>ROLE_SN INTEGER NOT NULL,</v>
      </c>
      <c r="AB407" s="125" t="str">
        <f t="shared" si="163"/>
        <v>ALTER TABLE TB_MENU_ROLE ADD CONSTRAINT TB_MENU_ROLE_FKEY2 FOREIGN KEY(ROLE_SN) REFERENCES TB_ROLE(ROLE_SN) ON UPDATE CASCADE ON DELETE CASCADE;</v>
      </c>
      <c r="AC407" s="125" t="str">
        <f t="shared" si="164"/>
        <v/>
      </c>
      <c r="AD407" s="125" t="str">
        <f t="shared" si="159"/>
        <v/>
      </c>
      <c r="AE407" s="125" t="str">
        <f t="shared" si="167"/>
        <v/>
      </c>
      <c r="AF407" s="125" t="str">
        <f t="shared" si="168"/>
        <v>COMMENT ON COLUMN TB_MENU_ROLE.ROLE_SN IS '권한 일련번호' ;</v>
      </c>
      <c r="AG407" s="125" t="str">
        <f t="shared" si="161"/>
        <v>ALTER TABLE TB_MENU_ROLE ALTER COLUMN ROLE_SN TYPE INTEGER;</v>
      </c>
      <c r="AH407" s="131" t="str">
        <f t="shared" si="165"/>
        <v>ALTER TABLE TB_MENU_ROLE ADD COLUMN ROLE_SN INTEGER NOT NULL;</v>
      </c>
      <c r="AI407" s="125" t="str">
        <f t="shared" si="162"/>
        <v>ALTER TABLE TB_MENU_ROLE DROP COLUMN ROLE_SN;</v>
      </c>
    </row>
    <row r="408" spans="2:35" ht="20.100000000000001" customHeight="1">
      <c r="B408" s="55">
        <v>395</v>
      </c>
      <c r="C408" s="26" t="s">
        <v>7</v>
      </c>
      <c r="D408" s="26" t="s">
        <v>19</v>
      </c>
      <c r="E408" s="10" t="s">
        <v>412</v>
      </c>
      <c r="F408" s="10" t="s">
        <v>413</v>
      </c>
      <c r="G408" s="87">
        <v>4</v>
      </c>
      <c r="H408" s="97" t="s">
        <v>107</v>
      </c>
      <c r="I408" s="51" t="s">
        <v>76</v>
      </c>
      <c r="J408" s="73" t="s">
        <v>72</v>
      </c>
      <c r="K408" s="67"/>
      <c r="L408" s="67"/>
      <c r="M408" s="77"/>
      <c r="N408" s="77"/>
      <c r="O408" s="77"/>
      <c r="P408" s="77"/>
      <c r="Q408" s="100" t="s">
        <v>521</v>
      </c>
      <c r="R408" s="119" t="s">
        <v>526</v>
      </c>
      <c r="S408" s="80"/>
      <c r="T408" s="107" t="s">
        <v>219</v>
      </c>
      <c r="U408" s="123"/>
      <c r="V408" s="123"/>
      <c r="W408" s="116" t="s">
        <v>496</v>
      </c>
      <c r="X408" s="85"/>
      <c r="Y408" s="123"/>
      <c r="Z408" s="130" t="str">
        <f t="shared" si="166"/>
        <v>/* 테이블 : 메뉴권한 */ CREATE TABLE TB_MENU_ROLE (</v>
      </c>
      <c r="AA408" s="125" t="str">
        <f t="shared" si="160"/>
        <v>REGISTER_ID VARCHAR(50) NOT NULL,</v>
      </c>
      <c r="AB408" s="125" t="str">
        <f t="shared" si="163"/>
        <v/>
      </c>
      <c r="AC408" s="125" t="str">
        <f t="shared" si="164"/>
        <v/>
      </c>
      <c r="AD408" s="125" t="str">
        <f t="shared" si="159"/>
        <v/>
      </c>
      <c r="AE408" s="125" t="str">
        <f t="shared" si="167"/>
        <v/>
      </c>
      <c r="AF408" s="125" t="str">
        <f t="shared" si="168"/>
        <v>COMMENT ON COLUMN TB_MENU_ROLE.REGISTER_ID IS '등록자 ID' ;</v>
      </c>
      <c r="AG408" s="125" t="str">
        <f t="shared" si="161"/>
        <v>ALTER TABLE TB_MENU_ROLE ALTER COLUMN REGISTER_ID TYPE VARCHAR(50);</v>
      </c>
      <c r="AH408" s="131" t="str">
        <f t="shared" si="165"/>
        <v>ALTER TABLE TB_MENU_ROLE ADD COLUMN REGISTER_ID VARCHAR(50) NOT NULL;</v>
      </c>
      <c r="AI408" s="125" t="str">
        <f t="shared" si="162"/>
        <v>ALTER TABLE TB_MENU_ROLE DROP COLUMN REGISTER_ID;</v>
      </c>
    </row>
    <row r="409" spans="2:35" ht="20.100000000000001" customHeight="1">
      <c r="B409" s="55">
        <v>396</v>
      </c>
      <c r="C409" s="26" t="s">
        <v>7</v>
      </c>
      <c r="D409" s="26" t="s">
        <v>19</v>
      </c>
      <c r="E409" s="10" t="s">
        <v>412</v>
      </c>
      <c r="F409" s="10" t="s">
        <v>413</v>
      </c>
      <c r="G409" s="87">
        <v>5</v>
      </c>
      <c r="H409" s="97" t="s">
        <v>91</v>
      </c>
      <c r="I409" s="51" t="s">
        <v>77</v>
      </c>
      <c r="J409" s="73" t="s">
        <v>72</v>
      </c>
      <c r="K409" s="52"/>
      <c r="L409" s="52"/>
      <c r="M409" s="52"/>
      <c r="N409" s="52"/>
      <c r="O409" s="52"/>
      <c r="P409" s="52"/>
      <c r="Q409" s="56" t="s">
        <v>106</v>
      </c>
      <c r="R409" s="120" t="s">
        <v>527</v>
      </c>
      <c r="S409" s="80"/>
      <c r="T409" s="107" t="s">
        <v>218</v>
      </c>
      <c r="U409" s="123"/>
      <c r="V409" s="123"/>
      <c r="W409" s="104"/>
      <c r="X409" s="85"/>
      <c r="Y409" s="123"/>
      <c r="Z409" s="130" t="str">
        <f t="shared" si="166"/>
        <v>/* 테이블 : 메뉴권한 */ CREATE TABLE TB_MENU_ROLE (</v>
      </c>
      <c r="AA409" s="125" t="str">
        <f t="shared" si="160"/>
        <v>REGISTER_IP VARCHAR(100) NOT NULL,</v>
      </c>
      <c r="AB409" s="125" t="str">
        <f t="shared" si="163"/>
        <v/>
      </c>
      <c r="AC409" s="125" t="str">
        <f t="shared" si="164"/>
        <v/>
      </c>
      <c r="AD409" s="125" t="str">
        <f t="shared" si="159"/>
        <v/>
      </c>
      <c r="AE409" s="125" t="str">
        <f t="shared" si="167"/>
        <v/>
      </c>
      <c r="AF409" s="125" t="str">
        <f t="shared" si="168"/>
        <v>COMMENT ON COLUMN TB_MENU_ROLE.REGISTER_IP IS '등록자 IP' ;</v>
      </c>
      <c r="AG409" s="125" t="str">
        <f t="shared" si="161"/>
        <v>ALTER TABLE TB_MENU_ROLE ALTER COLUMN REGISTER_IP TYPE VARCHAR(100);</v>
      </c>
      <c r="AH409" s="131" t="str">
        <f t="shared" si="165"/>
        <v>ALTER TABLE TB_MENU_ROLE ADD COLUMN REGISTER_IP VARCHAR(100) NOT NULL;</v>
      </c>
      <c r="AI409" s="125" t="str">
        <f t="shared" si="162"/>
        <v>ALTER TABLE TB_MENU_ROLE DROP COLUMN REGISTER_IP;</v>
      </c>
    </row>
    <row r="410" spans="2:35" ht="20.100000000000001" customHeight="1">
      <c r="B410" s="135">
        <v>397</v>
      </c>
      <c r="C410" s="26" t="s">
        <v>7</v>
      </c>
      <c r="D410" s="26" t="s">
        <v>19</v>
      </c>
      <c r="E410" s="10" t="s">
        <v>412</v>
      </c>
      <c r="F410" s="10" t="s">
        <v>413</v>
      </c>
      <c r="G410" s="87">
        <v>6</v>
      </c>
      <c r="H410" s="97" t="s">
        <v>92</v>
      </c>
      <c r="I410" s="96" t="s">
        <v>78</v>
      </c>
      <c r="J410" s="73" t="s">
        <v>72</v>
      </c>
      <c r="K410" s="52"/>
      <c r="L410" s="52"/>
      <c r="M410" s="52"/>
      <c r="N410" s="52"/>
      <c r="O410" s="52"/>
      <c r="P410" s="52"/>
      <c r="Q410" s="51" t="s">
        <v>702</v>
      </c>
      <c r="R410" s="120"/>
      <c r="S410" s="80"/>
      <c r="T410" s="107" t="s">
        <v>217</v>
      </c>
      <c r="U410" s="123"/>
      <c r="V410" s="123"/>
      <c r="W410" s="104"/>
      <c r="X410" s="85"/>
      <c r="Y410" s="123"/>
      <c r="Z410" s="130" t="str">
        <f t="shared" si="166"/>
        <v>/* 테이블 : 메뉴권한 */ CREATE TABLE TB_MENU_ROLE (</v>
      </c>
      <c r="AA410" s="125" t="str">
        <f t="shared" si="160"/>
        <v>REG_DT TIMESTAMP NOT NULL,</v>
      </c>
      <c r="AB410" s="125" t="str">
        <f t="shared" si="163"/>
        <v/>
      </c>
      <c r="AC410" s="125" t="str">
        <f t="shared" si="164"/>
        <v/>
      </c>
      <c r="AD410" s="125" t="str">
        <f t="shared" si="159"/>
        <v/>
      </c>
      <c r="AE410" s="125" t="str">
        <f t="shared" si="167"/>
        <v/>
      </c>
      <c r="AF410" s="125" t="str">
        <f t="shared" si="168"/>
        <v>COMMENT ON COLUMN TB_MENU_ROLE.REG_DT IS '등록 일시' ;</v>
      </c>
      <c r="AG410" s="125" t="str">
        <f t="shared" si="161"/>
        <v>ALTER TABLE TB_MENU_ROLE ALTER COLUMN REG_DT TYPE TIMESTAMP;</v>
      </c>
      <c r="AH410" s="131" t="str">
        <f t="shared" si="165"/>
        <v>ALTER TABLE TB_MENU_ROLE ADD COLUMN REG_DT TIMESTAMP NOT NULL;</v>
      </c>
      <c r="AI410" s="125" t="str">
        <f t="shared" si="162"/>
        <v>ALTER TABLE TB_MENU_ROLE DROP COLUMN REG_DT;</v>
      </c>
    </row>
    <row r="411" spans="2:35" ht="20.100000000000001" customHeight="1">
      <c r="B411" s="55">
        <v>398</v>
      </c>
      <c r="C411" s="26" t="s">
        <v>7</v>
      </c>
      <c r="D411" s="26" t="s">
        <v>19</v>
      </c>
      <c r="E411" s="10" t="s">
        <v>412</v>
      </c>
      <c r="F411" s="10" t="s">
        <v>413</v>
      </c>
      <c r="G411" s="87">
        <v>7</v>
      </c>
      <c r="H411" s="97" t="s">
        <v>93</v>
      </c>
      <c r="I411" s="96" t="s">
        <v>80</v>
      </c>
      <c r="J411" s="52"/>
      <c r="K411" s="52"/>
      <c r="L411" s="52"/>
      <c r="M411" s="79"/>
      <c r="N411" s="79"/>
      <c r="O411" s="79"/>
      <c r="P411" s="79"/>
      <c r="Q411" s="100" t="s">
        <v>521</v>
      </c>
      <c r="R411" s="119" t="s">
        <v>526</v>
      </c>
      <c r="S411" s="80"/>
      <c r="T411" s="107" t="s">
        <v>216</v>
      </c>
      <c r="U411" s="123"/>
      <c r="V411" s="123"/>
      <c r="W411" s="116" t="s">
        <v>496</v>
      </c>
      <c r="X411" s="85"/>
      <c r="Y411" s="123"/>
      <c r="Z411" s="130" t="str">
        <f t="shared" si="166"/>
        <v>/* 테이블 : 메뉴권한 */ CREATE TABLE TB_MENU_ROLE (</v>
      </c>
      <c r="AA411" s="125" t="str">
        <f t="shared" si="160"/>
        <v>UPDUSR_ID VARCHAR(50),</v>
      </c>
      <c r="AB411" s="125" t="str">
        <f t="shared" si="163"/>
        <v/>
      </c>
      <c r="AC411" s="125" t="str">
        <f t="shared" si="164"/>
        <v/>
      </c>
      <c r="AD411" s="125" t="str">
        <f t="shared" si="159"/>
        <v/>
      </c>
      <c r="AE411" s="125" t="str">
        <f t="shared" si="167"/>
        <v/>
      </c>
      <c r="AF411" s="125" t="str">
        <f t="shared" si="168"/>
        <v>COMMENT ON COLUMN TB_MENU_ROLE.UPDUSR_ID IS '수정자 ID' ;</v>
      </c>
      <c r="AG411" s="125" t="str">
        <f t="shared" si="161"/>
        <v>ALTER TABLE TB_MENU_ROLE ALTER COLUMN UPDUSR_ID TYPE VARCHAR(50);</v>
      </c>
      <c r="AH411" s="131" t="str">
        <f t="shared" si="165"/>
        <v>ALTER TABLE TB_MENU_ROLE ADD COLUMN UPDUSR_ID VARCHAR(50);</v>
      </c>
      <c r="AI411" s="125" t="str">
        <f t="shared" si="162"/>
        <v>ALTER TABLE TB_MENU_ROLE DROP COLUMN UPDUSR_ID;</v>
      </c>
    </row>
    <row r="412" spans="2:35" ht="20.100000000000001" customHeight="1">
      <c r="B412" s="55">
        <v>399</v>
      </c>
      <c r="C412" s="26" t="s">
        <v>7</v>
      </c>
      <c r="D412" s="26" t="s">
        <v>19</v>
      </c>
      <c r="E412" s="10" t="s">
        <v>412</v>
      </c>
      <c r="F412" s="10" t="s">
        <v>413</v>
      </c>
      <c r="G412" s="87">
        <v>8</v>
      </c>
      <c r="H412" s="97" t="s">
        <v>94</v>
      </c>
      <c r="I412" s="96" t="s">
        <v>79</v>
      </c>
      <c r="J412" s="52"/>
      <c r="K412" s="52"/>
      <c r="L412" s="52"/>
      <c r="M412" s="52"/>
      <c r="N412" s="52"/>
      <c r="O412" s="52"/>
      <c r="P412" s="52"/>
      <c r="Q412" s="56" t="s">
        <v>106</v>
      </c>
      <c r="R412" s="120" t="s">
        <v>527</v>
      </c>
      <c r="S412" s="80"/>
      <c r="T412" s="107" t="s">
        <v>215</v>
      </c>
      <c r="U412" s="123"/>
      <c r="V412" s="123"/>
      <c r="W412" s="104"/>
      <c r="X412" s="85"/>
      <c r="Y412" s="123"/>
      <c r="Z412" s="130" t="str">
        <f t="shared" si="166"/>
        <v>/* 테이블 : 메뉴권한 */ CREATE TABLE TB_MENU_ROLE (</v>
      </c>
      <c r="AA412" s="125" t="str">
        <f t="shared" si="160"/>
        <v>UPDUSR_IP VARCHAR(100),</v>
      </c>
      <c r="AB412" s="125" t="str">
        <f t="shared" si="163"/>
        <v/>
      </c>
      <c r="AC412" s="125" t="str">
        <f t="shared" si="164"/>
        <v/>
      </c>
      <c r="AD412" s="125" t="str">
        <f t="shared" si="159"/>
        <v/>
      </c>
      <c r="AE412" s="125" t="str">
        <f t="shared" si="167"/>
        <v/>
      </c>
      <c r="AF412" s="125" t="str">
        <f t="shared" si="168"/>
        <v>COMMENT ON COLUMN TB_MENU_ROLE.UPDUSR_IP IS '수정자 IP' ;</v>
      </c>
      <c r="AG412" s="125" t="str">
        <f t="shared" si="161"/>
        <v>ALTER TABLE TB_MENU_ROLE ALTER COLUMN UPDUSR_IP TYPE VARCHAR(100);</v>
      </c>
      <c r="AH412" s="131" t="str">
        <f t="shared" si="165"/>
        <v>ALTER TABLE TB_MENU_ROLE ADD COLUMN UPDUSR_IP VARCHAR(100);</v>
      </c>
      <c r="AI412" s="125" t="str">
        <f t="shared" si="162"/>
        <v>ALTER TABLE TB_MENU_ROLE DROP COLUMN UPDUSR_IP;</v>
      </c>
    </row>
    <row r="413" spans="2:35" ht="20.100000000000001" customHeight="1">
      <c r="B413" s="55">
        <v>400</v>
      </c>
      <c r="C413" s="26" t="s">
        <v>7</v>
      </c>
      <c r="D413" s="26" t="s">
        <v>19</v>
      </c>
      <c r="E413" s="10" t="s">
        <v>412</v>
      </c>
      <c r="F413" s="10" t="s">
        <v>413</v>
      </c>
      <c r="G413" s="87">
        <v>9</v>
      </c>
      <c r="H413" s="98" t="s">
        <v>95</v>
      </c>
      <c r="I413" s="97" t="s">
        <v>81</v>
      </c>
      <c r="J413" s="61"/>
      <c r="K413" s="61"/>
      <c r="L413" s="61"/>
      <c r="M413" s="61"/>
      <c r="N413" s="61"/>
      <c r="O413" s="61"/>
      <c r="P413" s="61"/>
      <c r="Q413" s="51" t="s">
        <v>702</v>
      </c>
      <c r="R413" s="120"/>
      <c r="S413" s="77"/>
      <c r="T413" s="107" t="s">
        <v>214</v>
      </c>
      <c r="U413" s="123"/>
      <c r="V413" s="123"/>
      <c r="W413" s="104"/>
      <c r="X413" s="85"/>
      <c r="Y413" s="123"/>
      <c r="Z413" s="130" t="str">
        <f t="shared" si="166"/>
        <v>/* 테이블 : 메뉴권한 */ CREATE TABLE TB_MENU_ROLE (</v>
      </c>
      <c r="AA413" s="125" t="str">
        <f t="shared" si="160"/>
        <v>UPDT_DT TIMESTAMP,</v>
      </c>
      <c r="AB413" s="125" t="str">
        <f t="shared" si="163"/>
        <v/>
      </c>
      <c r="AC413" s="125" t="str">
        <f t="shared" si="164"/>
        <v/>
      </c>
      <c r="AD413" s="125" t="str">
        <f t="shared" si="159"/>
        <v/>
      </c>
      <c r="AE413" s="125" t="str">
        <f t="shared" si="167"/>
        <v/>
      </c>
      <c r="AF413" s="125" t="str">
        <f t="shared" si="168"/>
        <v>COMMENT ON COLUMN TB_MENU_ROLE.UPDT_DT IS '수정 일시' ;</v>
      </c>
      <c r="AG413" s="125" t="str">
        <f t="shared" si="161"/>
        <v>ALTER TABLE TB_MENU_ROLE ALTER COLUMN UPDT_DT TYPE TIMESTAMP;</v>
      </c>
      <c r="AH413" s="131" t="str">
        <f t="shared" si="165"/>
        <v>ALTER TABLE TB_MENU_ROLE ADD COLUMN UPDT_DT TIMESTAMP;</v>
      </c>
      <c r="AI413" s="125" t="str">
        <f t="shared" si="162"/>
        <v>ALTER TABLE TB_MENU_ROLE DROP COLUMN UPDT_DT;</v>
      </c>
    </row>
    <row r="414" spans="2:35" ht="20.100000000000001" customHeight="1">
      <c r="B414" s="135">
        <v>401</v>
      </c>
      <c r="C414" s="26" t="s">
        <v>7</v>
      </c>
      <c r="D414" s="26" t="s">
        <v>19</v>
      </c>
      <c r="E414" s="10" t="s">
        <v>412</v>
      </c>
      <c r="F414" s="10" t="s">
        <v>413</v>
      </c>
      <c r="G414" s="87">
        <v>10</v>
      </c>
      <c r="H414" s="97" t="s">
        <v>96</v>
      </c>
      <c r="I414" s="97" t="s">
        <v>82</v>
      </c>
      <c r="J414" s="73" t="s">
        <v>72</v>
      </c>
      <c r="K414" s="61"/>
      <c r="L414" s="61"/>
      <c r="M414" s="61"/>
      <c r="N414" s="61"/>
      <c r="O414" s="61"/>
      <c r="P414" s="61"/>
      <c r="Q414" s="51" t="s">
        <v>800</v>
      </c>
      <c r="R414" s="120" t="s">
        <v>522</v>
      </c>
      <c r="S414" s="82" t="s">
        <v>799</v>
      </c>
      <c r="T414" s="107" t="s">
        <v>213</v>
      </c>
      <c r="U414" s="123"/>
      <c r="V414" s="123"/>
      <c r="W414" s="104"/>
      <c r="X414" s="85"/>
      <c r="Y414" s="123"/>
      <c r="Z414" s="130" t="str">
        <f t="shared" si="166"/>
        <v>/* 테이블 : 메뉴권한 */ CREATE TABLE TB_MENU_ROLE (</v>
      </c>
      <c r="AA414" s="125" t="str">
        <f t="shared" si="160"/>
        <v>DEL_YN BPCHAR(1) NOT NULL,</v>
      </c>
      <c r="AB414" s="125" t="str">
        <f t="shared" si="163"/>
        <v/>
      </c>
      <c r="AC414" s="125" t="str">
        <f t="shared" si="164"/>
        <v/>
      </c>
      <c r="AD414" s="125" t="str">
        <f t="shared" si="159"/>
        <v/>
      </c>
      <c r="AE414" s="125" t="str">
        <f t="shared" si="167"/>
        <v>ALTER TABLE TB_MENU_ROLE ALTER COLUMN DEL_YN SET DEFAULT 'N'::bpchar;</v>
      </c>
      <c r="AF414" s="125" t="str">
        <f t="shared" si="168"/>
        <v>COMMENT ON COLUMN TB_MENU_ROLE.DEL_YN IS '삭제 여부' ;</v>
      </c>
      <c r="AG414" s="125" t="str">
        <f t="shared" si="161"/>
        <v>ALTER TABLE TB_MENU_ROLE ALTER COLUMN DEL_YN TYPE BPCHAR(1);</v>
      </c>
      <c r="AH414" s="131" t="str">
        <f t="shared" si="165"/>
        <v>ALTER TABLE TB_MENU_ROLE ADD COLUMN DEL_YN BPCHAR(1) NOT NULL DEFAULT 'N'::bpchar;</v>
      </c>
      <c r="AI414" s="125" t="str">
        <f t="shared" si="162"/>
        <v>ALTER TABLE TB_MENU_ROLE DROP COLUMN DEL_YN;</v>
      </c>
    </row>
    <row r="415" spans="2:35" ht="20.100000000000001" customHeight="1">
      <c r="B415" s="55">
        <v>402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1</v>
      </c>
      <c r="H415" s="104" t="s">
        <v>434</v>
      </c>
      <c r="I415" s="104" t="s">
        <v>426</v>
      </c>
      <c r="J415" s="73" t="s">
        <v>72</v>
      </c>
      <c r="K415" s="85">
        <v>1</v>
      </c>
      <c r="L415" s="85"/>
      <c r="M415" s="85"/>
      <c r="N415" s="85"/>
      <c r="O415" s="85"/>
      <c r="P415" s="85"/>
      <c r="Q415" s="104" t="s">
        <v>419</v>
      </c>
      <c r="R415" s="87"/>
      <c r="S415" s="85"/>
      <c r="T415" s="104" t="s">
        <v>456</v>
      </c>
      <c r="U415" s="125" t="str">
        <f>"SEQ_"&amp;E415&amp;"_SN"</f>
        <v>SEQ_TB_CMMN_CD_SN</v>
      </c>
      <c r="V415" s="125"/>
      <c r="W415" s="104"/>
      <c r="X415" s="85"/>
      <c r="Y415" s="123"/>
      <c r="Z415" s="130" t="str">
        <f t="shared" si="166"/>
        <v>/* 테이블 : 공통코드 */ CREATE TABLE TB_CMMN_CD (</v>
      </c>
      <c r="AA415" s="125" t="str">
        <f t="shared" si="160"/>
        <v>CD_SN INTEGER PRIMARY KEY,</v>
      </c>
      <c r="AB415" s="125" t="str">
        <f t="shared" si="163"/>
        <v/>
      </c>
      <c r="AC415" s="125" t="str">
        <f t="shared" si="164"/>
        <v>CREATE SEQUENCE SEQ_TB_CMMN_CD_SN START 100000;</v>
      </c>
      <c r="AD415" s="125" t="str">
        <f t="shared" si="159"/>
        <v>ALTER TABLE TB_CMMN_CD ALTER COLUMN CD_SN SET DEFAULT NEXTVAL('SEQ_TB_CMMN_CD_SN');</v>
      </c>
      <c r="AE415" s="125" t="str">
        <f t="shared" si="167"/>
        <v/>
      </c>
      <c r="AF415" s="125" t="str">
        <f t="shared" si="168"/>
        <v>COMMENT ON COLUMN TB_CMMN_CD.CD_SN IS '코드 일련번호' ;</v>
      </c>
      <c r="AG415" s="125" t="str">
        <f t="shared" si="161"/>
        <v>ALTER TABLE TB_CMMN_CD ALTER COLUMN CD_SN TYPE INTEGER;</v>
      </c>
      <c r="AH415" s="131" t="str">
        <f t="shared" si="165"/>
        <v>ALTER TABLE TB_CMMN_CD ADD COLUMN CD_SN INTEGER NOT NULL;</v>
      </c>
      <c r="AI415" s="125" t="str">
        <f t="shared" si="162"/>
        <v>ALTER TABLE TB_CMMN_CD DROP COLUMN CD_SN;</v>
      </c>
    </row>
    <row r="416" spans="2:35" ht="20.100000000000001" customHeight="1">
      <c r="B416" s="55">
        <v>403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2</v>
      </c>
      <c r="H416" s="104" t="s">
        <v>435</v>
      </c>
      <c r="I416" s="104" t="s">
        <v>427</v>
      </c>
      <c r="J416" s="73" t="s">
        <v>72</v>
      </c>
      <c r="K416" s="85">
        <v>2</v>
      </c>
      <c r="L416" s="85"/>
      <c r="M416" s="85"/>
      <c r="N416" s="85"/>
      <c r="O416" s="85"/>
      <c r="P416" s="85"/>
      <c r="Q416" s="104" t="s">
        <v>420</v>
      </c>
      <c r="R416" s="119" t="s">
        <v>526</v>
      </c>
      <c r="S416" s="85"/>
      <c r="T416" s="104" t="s">
        <v>467</v>
      </c>
      <c r="U416" s="123"/>
      <c r="V416" s="123"/>
      <c r="W416" s="104"/>
      <c r="X416" s="85"/>
      <c r="Y416" s="123"/>
      <c r="Z416" s="130" t="str">
        <f t="shared" si="166"/>
        <v>/* 테이블 : 공통코드 */ CREATE TABLE TB_CMMN_CD (</v>
      </c>
      <c r="AA416" s="125" t="str">
        <f t="shared" si="160"/>
        <v>CD_NM VARCHAR(50) PRIMARY KEY,</v>
      </c>
      <c r="AB416" s="125" t="str">
        <f t="shared" si="163"/>
        <v/>
      </c>
      <c r="AC416" s="125" t="str">
        <f t="shared" si="164"/>
        <v/>
      </c>
      <c r="AD416" s="125" t="str">
        <f t="shared" si="159"/>
        <v/>
      </c>
      <c r="AE416" s="125" t="str">
        <f t="shared" si="167"/>
        <v/>
      </c>
      <c r="AF416" s="125" t="str">
        <f t="shared" si="168"/>
        <v>COMMENT ON COLUMN TB_CMMN_CD.CD_NM IS '코드 이름' ;</v>
      </c>
      <c r="AG416" s="125" t="str">
        <f t="shared" si="161"/>
        <v>ALTER TABLE TB_CMMN_CD ALTER COLUMN CD_NM TYPE VARCHAR(50);</v>
      </c>
      <c r="AH416" s="131" t="str">
        <f t="shared" si="165"/>
        <v>ALTER TABLE TB_CMMN_CD ADD COLUMN CD_NM VARCHAR(50) NOT NULL;</v>
      </c>
      <c r="AI416" s="125" t="str">
        <f t="shared" si="162"/>
        <v>ALTER TABLE TB_CMMN_CD DROP COLUMN CD_NM;</v>
      </c>
    </row>
    <row r="417" spans="2:35" ht="20.100000000000001" customHeight="1">
      <c r="B417" s="55">
        <v>404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3</v>
      </c>
      <c r="H417" s="104" t="s">
        <v>436</v>
      </c>
      <c r="I417" s="104" t="s">
        <v>428</v>
      </c>
      <c r="J417" s="85"/>
      <c r="K417" s="85"/>
      <c r="L417" s="85"/>
      <c r="M417" s="85"/>
      <c r="N417" s="85"/>
      <c r="O417" s="85"/>
      <c r="P417" s="85"/>
      <c r="Q417" s="104" t="s">
        <v>171</v>
      </c>
      <c r="R417" s="87"/>
      <c r="S417" s="85"/>
      <c r="T417" s="104" t="s">
        <v>468</v>
      </c>
      <c r="U417" s="123"/>
      <c r="V417" s="123"/>
      <c r="W417" s="104"/>
      <c r="X417" s="85"/>
      <c r="Y417" s="123"/>
      <c r="Z417" s="130" t="str">
        <f t="shared" si="166"/>
        <v>/* 테이블 : 공통코드 */ CREATE TABLE TB_CMMN_CD (</v>
      </c>
      <c r="AA417" s="125" t="str">
        <f t="shared" si="160"/>
        <v>CD_DC TEXT,</v>
      </c>
      <c r="AB417" s="125" t="str">
        <f t="shared" si="163"/>
        <v/>
      </c>
      <c r="AC417" s="125" t="str">
        <f t="shared" si="164"/>
        <v/>
      </c>
      <c r="AD417" s="125" t="str">
        <f t="shared" si="159"/>
        <v/>
      </c>
      <c r="AE417" s="125" t="str">
        <f t="shared" si="167"/>
        <v/>
      </c>
      <c r="AF417" s="125" t="str">
        <f t="shared" si="168"/>
        <v>COMMENT ON COLUMN TB_CMMN_CD.CD_DC IS '코드 설명' ;</v>
      </c>
      <c r="AG417" s="125" t="str">
        <f t="shared" si="161"/>
        <v>ALTER TABLE TB_CMMN_CD ALTER COLUMN CD_DC TYPE TEXT;</v>
      </c>
      <c r="AH417" s="131" t="str">
        <f t="shared" si="165"/>
        <v>ALTER TABLE TB_CMMN_CD ADD COLUMN CD_DC TEXT;</v>
      </c>
      <c r="AI417" s="125" t="str">
        <f t="shared" si="162"/>
        <v>ALTER TABLE TB_CMMN_CD DROP COLUMN CD_DC;</v>
      </c>
    </row>
    <row r="418" spans="2:35" ht="20.100000000000001" customHeight="1">
      <c r="B418" s="135">
        <v>405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4</v>
      </c>
      <c r="H418" s="104" t="s">
        <v>784</v>
      </c>
      <c r="I418" s="104" t="s">
        <v>785</v>
      </c>
      <c r="J418" s="85"/>
      <c r="K418" s="85"/>
      <c r="L418" s="85"/>
      <c r="M418" s="85"/>
      <c r="N418" s="85"/>
      <c r="O418" s="85"/>
      <c r="P418" s="85"/>
      <c r="Q418" s="104" t="s">
        <v>420</v>
      </c>
      <c r="R418" s="119" t="s">
        <v>530</v>
      </c>
      <c r="S418" s="85"/>
      <c r="T418" s="104" t="s">
        <v>794</v>
      </c>
      <c r="U418" s="123"/>
      <c r="V418" s="123"/>
      <c r="W418" s="104"/>
      <c r="X418" s="85"/>
      <c r="Y418" s="123"/>
      <c r="Z418" s="130" t="str">
        <f t="shared" si="166"/>
        <v>/* 테이블 : 공통코드 */ CREATE TABLE TB_CMMN_CD (</v>
      </c>
      <c r="AA418" s="125" t="str">
        <f t="shared" si="160"/>
        <v>CD_VAL1 VARCHAR(2000),</v>
      </c>
      <c r="AB418" s="125" t="str">
        <f t="shared" si="163"/>
        <v/>
      </c>
      <c r="AC418" s="125" t="str">
        <f t="shared" si="164"/>
        <v/>
      </c>
      <c r="AD418" s="125" t="str">
        <f t="shared" si="159"/>
        <v/>
      </c>
      <c r="AE418" s="125" t="str">
        <f t="shared" si="167"/>
        <v/>
      </c>
      <c r="AF418" s="125" t="str">
        <f t="shared" si="168"/>
        <v>COMMENT ON COLUMN TB_CMMN_CD.CD_VAL1 IS '코드 값 1' ;</v>
      </c>
      <c r="AG418" s="125" t="str">
        <f t="shared" si="161"/>
        <v>ALTER TABLE TB_CMMN_CD ALTER COLUMN CD_VAL1 TYPE VARCHAR(2000);</v>
      </c>
      <c r="AH418" s="131" t="str">
        <f t="shared" si="165"/>
        <v>ALTER TABLE TB_CMMN_CD ADD COLUMN CD_VAL1 VARCHAR(2000);</v>
      </c>
      <c r="AI418" s="125" t="str">
        <f t="shared" si="162"/>
        <v>ALTER TABLE TB_CMMN_CD DROP COLUMN CD_VAL1;</v>
      </c>
    </row>
    <row r="419" spans="2:35" ht="20.100000000000001" customHeight="1">
      <c r="B419" s="55">
        <v>406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5</v>
      </c>
      <c r="H419" s="104" t="s">
        <v>786</v>
      </c>
      <c r="I419" s="104" t="s">
        <v>790</v>
      </c>
      <c r="J419" s="85"/>
      <c r="K419" s="85"/>
      <c r="L419" s="85"/>
      <c r="M419" s="85"/>
      <c r="N419" s="85"/>
      <c r="O419" s="85"/>
      <c r="P419" s="85"/>
      <c r="Q419" s="104" t="s">
        <v>420</v>
      </c>
      <c r="R419" s="119" t="s">
        <v>530</v>
      </c>
      <c r="S419" s="85"/>
      <c r="T419" s="104" t="s">
        <v>796</v>
      </c>
      <c r="U419" s="123"/>
      <c r="V419" s="123"/>
      <c r="W419" s="104"/>
      <c r="X419" s="85"/>
      <c r="Y419" s="123"/>
      <c r="Z419" s="130" t="str">
        <f t="shared" si="166"/>
        <v>/* 테이블 : 공통코드 */ CREATE TABLE TB_CMMN_CD (</v>
      </c>
      <c r="AA419" s="125" t="str">
        <f t="shared" si="160"/>
        <v>CD_VAL2 VARCHAR(2000),</v>
      </c>
      <c r="AB419" s="125" t="str">
        <f t="shared" si="163"/>
        <v/>
      </c>
      <c r="AC419" s="125" t="str">
        <f t="shared" si="164"/>
        <v/>
      </c>
      <c r="AD419" s="125" t="str">
        <f t="shared" si="159"/>
        <v/>
      </c>
      <c r="AE419" s="125" t="str">
        <f t="shared" si="167"/>
        <v/>
      </c>
      <c r="AF419" s="125" t="str">
        <f t="shared" si="168"/>
        <v>COMMENT ON COLUMN TB_CMMN_CD.CD_VAL2 IS '코드 값 2' ;</v>
      </c>
      <c r="AG419" s="125" t="str">
        <f t="shared" si="161"/>
        <v>ALTER TABLE TB_CMMN_CD ALTER COLUMN CD_VAL2 TYPE VARCHAR(2000);</v>
      </c>
      <c r="AH419" s="131" t="str">
        <f t="shared" si="165"/>
        <v>ALTER TABLE TB_CMMN_CD ADD COLUMN CD_VAL2 VARCHAR(2000);</v>
      </c>
      <c r="AI419" s="125" t="str">
        <f t="shared" si="162"/>
        <v>ALTER TABLE TB_CMMN_CD DROP COLUMN CD_VAL2;</v>
      </c>
    </row>
    <row r="420" spans="2:35" ht="20.100000000000001" customHeight="1">
      <c r="B420" s="55">
        <v>407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6</v>
      </c>
      <c r="H420" s="104" t="s">
        <v>787</v>
      </c>
      <c r="I420" s="104" t="s">
        <v>791</v>
      </c>
      <c r="J420" s="85"/>
      <c r="K420" s="85"/>
      <c r="L420" s="85"/>
      <c r="M420" s="85"/>
      <c r="N420" s="85"/>
      <c r="O420" s="85"/>
      <c r="P420" s="85"/>
      <c r="Q420" s="104" t="s">
        <v>420</v>
      </c>
      <c r="R420" s="119" t="s">
        <v>530</v>
      </c>
      <c r="S420" s="85"/>
      <c r="T420" s="104" t="s">
        <v>797</v>
      </c>
      <c r="U420" s="123"/>
      <c r="V420" s="123"/>
      <c r="W420" s="104"/>
      <c r="X420" s="85"/>
      <c r="Y420" s="123"/>
      <c r="Z420" s="130" t="str">
        <f t="shared" si="166"/>
        <v>/* 테이블 : 공통코드 */ CREATE TABLE TB_CMMN_CD (</v>
      </c>
      <c r="AA420" s="125" t="str">
        <f t="shared" si="160"/>
        <v>CD_VAL3 VARCHAR(2000),</v>
      </c>
      <c r="AB420" s="125" t="str">
        <f t="shared" si="163"/>
        <v/>
      </c>
      <c r="AC420" s="125" t="str">
        <f t="shared" si="164"/>
        <v/>
      </c>
      <c r="AD420" s="125" t="str">
        <f t="shared" si="159"/>
        <v/>
      </c>
      <c r="AE420" s="125" t="str">
        <f t="shared" si="167"/>
        <v/>
      </c>
      <c r="AF420" s="125" t="str">
        <f t="shared" si="168"/>
        <v>COMMENT ON COLUMN TB_CMMN_CD.CD_VAL3 IS '코드 값 3' ;</v>
      </c>
      <c r="AG420" s="125" t="str">
        <f t="shared" si="161"/>
        <v>ALTER TABLE TB_CMMN_CD ALTER COLUMN CD_VAL3 TYPE VARCHAR(2000);</v>
      </c>
      <c r="AH420" s="131" t="str">
        <f t="shared" si="165"/>
        <v>ALTER TABLE TB_CMMN_CD ADD COLUMN CD_VAL3 VARCHAR(2000);</v>
      </c>
      <c r="AI420" s="125" t="str">
        <f t="shared" si="162"/>
        <v>ALTER TABLE TB_CMMN_CD DROP COLUMN CD_VAL3;</v>
      </c>
    </row>
    <row r="421" spans="2:35" ht="20.100000000000001" customHeight="1">
      <c r="B421" s="55">
        <v>408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7</v>
      </c>
      <c r="H421" s="104" t="s">
        <v>788</v>
      </c>
      <c r="I421" s="104" t="s">
        <v>792</v>
      </c>
      <c r="J421" s="85"/>
      <c r="K421" s="85"/>
      <c r="L421" s="85"/>
      <c r="M421" s="85"/>
      <c r="N421" s="85"/>
      <c r="O421" s="85"/>
      <c r="P421" s="85"/>
      <c r="Q421" s="104" t="s">
        <v>420</v>
      </c>
      <c r="R421" s="119" t="s">
        <v>530</v>
      </c>
      <c r="S421" s="85"/>
      <c r="T421" s="104" t="s">
        <v>798</v>
      </c>
      <c r="U421" s="123"/>
      <c r="V421" s="123"/>
      <c r="W421" s="104"/>
      <c r="X421" s="85"/>
      <c r="Y421" s="123"/>
      <c r="Z421" s="130" t="str">
        <f t="shared" si="166"/>
        <v>/* 테이블 : 공통코드 */ CREATE TABLE TB_CMMN_CD (</v>
      </c>
      <c r="AA421" s="125" t="str">
        <f t="shared" si="160"/>
        <v>CD_VAL4 VARCHAR(2000),</v>
      </c>
      <c r="AB421" s="125" t="str">
        <f t="shared" si="163"/>
        <v/>
      </c>
      <c r="AC421" s="125" t="str">
        <f t="shared" si="164"/>
        <v/>
      </c>
      <c r="AD421" s="125" t="str">
        <f t="shared" si="159"/>
        <v/>
      </c>
      <c r="AE421" s="125" t="str">
        <f t="shared" si="167"/>
        <v/>
      </c>
      <c r="AF421" s="125" t="str">
        <f t="shared" si="168"/>
        <v>COMMENT ON COLUMN TB_CMMN_CD.CD_VAL4 IS '코드 값 4' ;</v>
      </c>
      <c r="AG421" s="125" t="str">
        <f t="shared" si="161"/>
        <v>ALTER TABLE TB_CMMN_CD ALTER COLUMN CD_VAL4 TYPE VARCHAR(2000);</v>
      </c>
      <c r="AH421" s="131" t="str">
        <f t="shared" si="165"/>
        <v>ALTER TABLE TB_CMMN_CD ADD COLUMN CD_VAL4 VARCHAR(2000);</v>
      </c>
      <c r="AI421" s="125" t="str">
        <f t="shared" si="162"/>
        <v>ALTER TABLE TB_CMMN_CD DROP COLUMN CD_VAL4;</v>
      </c>
    </row>
    <row r="422" spans="2:35" ht="20.100000000000001" customHeight="1">
      <c r="B422" s="135">
        <v>409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8</v>
      </c>
      <c r="H422" s="104" t="s">
        <v>789</v>
      </c>
      <c r="I422" s="104" t="s">
        <v>793</v>
      </c>
      <c r="J422" s="85"/>
      <c r="K422" s="85"/>
      <c r="L422" s="85"/>
      <c r="M422" s="85"/>
      <c r="N422" s="85"/>
      <c r="O422" s="85"/>
      <c r="P422" s="85"/>
      <c r="Q422" s="104" t="s">
        <v>420</v>
      </c>
      <c r="R422" s="119" t="s">
        <v>530</v>
      </c>
      <c r="S422" s="85"/>
      <c r="T422" s="104" t="s">
        <v>795</v>
      </c>
      <c r="U422" s="123"/>
      <c r="V422" s="123"/>
      <c r="W422" s="104"/>
      <c r="X422" s="85"/>
      <c r="Y422" s="123"/>
      <c r="Z422" s="130" t="str">
        <f t="shared" si="166"/>
        <v>/* 테이블 : 공통코드 */ CREATE TABLE TB_CMMN_CD (</v>
      </c>
      <c r="AA422" s="125" t="str">
        <f t="shared" si="160"/>
        <v>CD_VAL5 VARCHAR(2000),</v>
      </c>
      <c r="AB422" s="125" t="str">
        <f t="shared" si="163"/>
        <v/>
      </c>
      <c r="AC422" s="125" t="str">
        <f t="shared" si="164"/>
        <v/>
      </c>
      <c r="AD422" s="125" t="str">
        <f t="shared" si="159"/>
        <v/>
      </c>
      <c r="AE422" s="125" t="str">
        <f t="shared" si="167"/>
        <v/>
      </c>
      <c r="AF422" s="125" t="str">
        <f t="shared" si="168"/>
        <v>COMMENT ON COLUMN TB_CMMN_CD.CD_VAL5 IS '코드 값 5' ;</v>
      </c>
      <c r="AG422" s="125" t="str">
        <f t="shared" si="161"/>
        <v>ALTER TABLE TB_CMMN_CD ALTER COLUMN CD_VAL5 TYPE VARCHAR(2000);</v>
      </c>
      <c r="AH422" s="131" t="str">
        <f t="shared" si="165"/>
        <v>ALTER TABLE TB_CMMN_CD ADD COLUMN CD_VAL5 VARCHAR(2000);</v>
      </c>
      <c r="AI422" s="125" t="str">
        <f t="shared" si="162"/>
        <v>ALTER TABLE TB_CMMN_CD DROP COLUMN CD_VAL5;</v>
      </c>
    </row>
    <row r="423" spans="2:35" ht="20.100000000000001" customHeight="1">
      <c r="B423" s="55">
        <v>410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9</v>
      </c>
      <c r="H423" s="104" t="s">
        <v>432</v>
      </c>
      <c r="I423" s="104" t="s">
        <v>429</v>
      </c>
      <c r="J423" s="73" t="s">
        <v>72</v>
      </c>
      <c r="K423" s="85"/>
      <c r="L423" s="85"/>
      <c r="M423" s="85"/>
      <c r="N423" s="85"/>
      <c r="O423" s="85"/>
      <c r="P423" s="85"/>
      <c r="Q423" s="51" t="s">
        <v>800</v>
      </c>
      <c r="R423" s="119" t="s">
        <v>522</v>
      </c>
      <c r="S423" s="85"/>
      <c r="T423" s="104" t="s">
        <v>465</v>
      </c>
      <c r="U423" s="123"/>
      <c r="V423" s="123"/>
      <c r="W423" s="104"/>
      <c r="X423" s="85"/>
      <c r="Y423" s="123"/>
      <c r="Z423" s="130" t="str">
        <f t="shared" si="166"/>
        <v>/* 테이블 : 공통코드 */ CREATE TABLE TB_CMMN_CD (</v>
      </c>
      <c r="AA423" s="125" t="str">
        <f t="shared" si="160"/>
        <v>USE_YN BPCHAR(1) NOT NULL,</v>
      </c>
      <c r="AB423" s="125" t="str">
        <f t="shared" si="163"/>
        <v/>
      </c>
      <c r="AC423" s="125" t="str">
        <f t="shared" si="164"/>
        <v/>
      </c>
      <c r="AD423" s="125" t="str">
        <f t="shared" si="159"/>
        <v/>
      </c>
      <c r="AE423" s="125" t="str">
        <f t="shared" si="167"/>
        <v/>
      </c>
      <c r="AF423" s="125" t="str">
        <f t="shared" si="168"/>
        <v>COMMENT ON COLUMN TB_CMMN_CD.USE_YN IS '사용 여부' ;</v>
      </c>
      <c r="AG423" s="125" t="str">
        <f t="shared" si="161"/>
        <v>ALTER TABLE TB_CMMN_CD ALTER COLUMN USE_YN TYPE BPCHAR(1);</v>
      </c>
      <c r="AH423" s="131" t="str">
        <f t="shared" si="165"/>
        <v>ALTER TABLE TB_CMMN_CD ADD COLUMN USE_YN BPCHAR(1) NOT NULL;</v>
      </c>
      <c r="AI423" s="125" t="str">
        <f t="shared" si="162"/>
        <v>ALTER TABLE TB_CMMN_CD DROP COLUMN USE_YN;</v>
      </c>
    </row>
    <row r="424" spans="2:35" ht="20.100000000000001" customHeight="1">
      <c r="B424" s="55">
        <v>411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10</v>
      </c>
      <c r="H424" s="104" t="s">
        <v>580</v>
      </c>
      <c r="I424" s="104" t="s">
        <v>579</v>
      </c>
      <c r="J424" s="73" t="s">
        <v>72</v>
      </c>
      <c r="K424" s="85"/>
      <c r="L424" s="85"/>
      <c r="M424" s="85"/>
      <c r="N424" s="85"/>
      <c r="O424" s="85"/>
      <c r="P424" s="85"/>
      <c r="Q424" s="51" t="s">
        <v>800</v>
      </c>
      <c r="R424" s="119" t="s">
        <v>522</v>
      </c>
      <c r="S424" s="85"/>
      <c r="T424" s="104" t="s">
        <v>581</v>
      </c>
      <c r="U424" s="123"/>
      <c r="V424" s="123"/>
      <c r="W424" s="104" t="s">
        <v>582</v>
      </c>
      <c r="X424" s="85"/>
      <c r="Y424" s="123"/>
      <c r="Z424" s="130" t="str">
        <f t="shared" si="166"/>
        <v>/* 테이블 : 공통코드 */ CREATE TABLE TB_CMMN_CD (</v>
      </c>
      <c r="AA424" s="125" t="str">
        <f t="shared" si="160"/>
        <v>SYS_ESSNTL_CMMN_YN BPCHAR(1) NOT NULL,</v>
      </c>
      <c r="AB424" s="125" t="str">
        <f t="shared" si="163"/>
        <v/>
      </c>
      <c r="AC424" s="125" t="str">
        <f t="shared" si="164"/>
        <v/>
      </c>
      <c r="AD424" s="125" t="str">
        <f t="shared" si="159"/>
        <v/>
      </c>
      <c r="AE424" s="125" t="str">
        <f t="shared" si="167"/>
        <v/>
      </c>
      <c r="AF424" s="125" t="str">
        <f t="shared" si="168"/>
        <v>COMMENT ON COLUMN TB_CMMN_CD.SYS_ESSNTL_CMMN_YN IS '시스템 필수 코드 여부' ;</v>
      </c>
      <c r="AG424" s="125" t="str">
        <f t="shared" si="161"/>
        <v>ALTER TABLE TB_CMMN_CD ALTER COLUMN SYS_ESSNTL_CMMN_YN TYPE BPCHAR(1);</v>
      </c>
      <c r="AH424" s="131" t="str">
        <f t="shared" si="165"/>
        <v>ALTER TABLE TB_CMMN_CD ADD COLUMN SYS_ESSNTL_CMMN_YN BPCHAR(1) NOT NULL;</v>
      </c>
      <c r="AI424" s="125" t="str">
        <f t="shared" si="162"/>
        <v>ALTER TABLE TB_CMMN_CD DROP COLUMN SYS_ESSNTL_CMMN_YN;</v>
      </c>
    </row>
    <row r="425" spans="2:35" ht="20.100000000000001" customHeight="1">
      <c r="B425" s="55">
        <v>412</v>
      </c>
      <c r="C425" s="26" t="s">
        <v>7</v>
      </c>
      <c r="D425" s="26" t="s">
        <v>19</v>
      </c>
      <c r="E425" s="10" t="s">
        <v>43</v>
      </c>
      <c r="F425" s="10" t="s">
        <v>134</v>
      </c>
      <c r="G425" s="87">
        <v>11</v>
      </c>
      <c r="H425" s="104" t="s">
        <v>433</v>
      </c>
      <c r="I425" s="104" t="s">
        <v>430</v>
      </c>
      <c r="J425" s="85"/>
      <c r="K425" s="85"/>
      <c r="L425" s="85"/>
      <c r="M425" s="85"/>
      <c r="N425" s="85"/>
      <c r="O425" s="85"/>
      <c r="P425" s="85"/>
      <c r="Q425" s="104" t="s">
        <v>420</v>
      </c>
      <c r="R425" s="119" t="s">
        <v>526</v>
      </c>
      <c r="S425" s="85"/>
      <c r="T425" s="104" t="s">
        <v>469</v>
      </c>
      <c r="U425" s="123"/>
      <c r="V425" s="123"/>
      <c r="W425" s="104" t="s">
        <v>466</v>
      </c>
      <c r="X425" s="85"/>
      <c r="Y425" s="123"/>
      <c r="Z425" s="130" t="str">
        <f t="shared" si="166"/>
        <v>/* 테이블 : 공통코드 */ CREATE TABLE TB_CMMN_CD (</v>
      </c>
      <c r="AA425" s="125" t="str">
        <f t="shared" si="160"/>
        <v>CL_CD VARCHAR(50),</v>
      </c>
      <c r="AB425" s="125" t="str">
        <f t="shared" si="163"/>
        <v/>
      </c>
      <c r="AC425" s="125" t="str">
        <f t="shared" si="164"/>
        <v/>
      </c>
      <c r="AD425" s="125" t="str">
        <f t="shared" si="159"/>
        <v/>
      </c>
      <c r="AE425" s="125" t="str">
        <f t="shared" si="167"/>
        <v/>
      </c>
      <c r="AF425" s="125" t="str">
        <f t="shared" si="168"/>
        <v>COMMENT ON COLUMN TB_CMMN_CD.CL_CD IS '분류 코드' ;</v>
      </c>
      <c r="AG425" s="125" t="str">
        <f t="shared" si="161"/>
        <v>ALTER TABLE TB_CMMN_CD ALTER COLUMN CL_CD TYPE VARCHAR(50);</v>
      </c>
      <c r="AH425" s="131" t="str">
        <f t="shared" si="165"/>
        <v>ALTER TABLE TB_CMMN_CD ADD COLUMN CL_CD VARCHAR(50);</v>
      </c>
      <c r="AI425" s="125" t="str">
        <f t="shared" si="162"/>
        <v>ALTER TABLE TB_CMMN_CD DROP COLUMN CL_CD;</v>
      </c>
    </row>
    <row r="426" spans="2:35" ht="20.100000000000001" customHeight="1">
      <c r="B426" s="135">
        <v>413</v>
      </c>
      <c r="C426" s="26" t="s">
        <v>7</v>
      </c>
      <c r="D426" s="26" t="s">
        <v>19</v>
      </c>
      <c r="E426" s="10" t="s">
        <v>43</v>
      </c>
      <c r="F426" s="10" t="s">
        <v>134</v>
      </c>
      <c r="G426" s="87">
        <v>12</v>
      </c>
      <c r="H426" s="104" t="s">
        <v>437</v>
      </c>
      <c r="I426" s="104" t="s">
        <v>431</v>
      </c>
      <c r="J426" s="85"/>
      <c r="K426" s="85"/>
      <c r="L426" s="85"/>
      <c r="M426" s="85"/>
      <c r="N426" s="85"/>
      <c r="O426" s="85"/>
      <c r="P426" s="85"/>
      <c r="Q426" s="104" t="s">
        <v>520</v>
      </c>
      <c r="R426" s="87"/>
      <c r="S426" s="85"/>
      <c r="T426" s="104" t="s">
        <v>431</v>
      </c>
      <c r="U426" s="123"/>
      <c r="V426" s="123"/>
      <c r="W426" s="104"/>
      <c r="X426" s="85"/>
      <c r="Y426" s="123"/>
      <c r="Z426" s="130" t="str">
        <f t="shared" si="166"/>
        <v>/* 테이블 : 공통코드 */ CREATE TABLE TB_CMMN_CD (</v>
      </c>
      <c r="AA426" s="125" t="str">
        <f t="shared" si="160"/>
        <v>REMARK TEXT,</v>
      </c>
      <c r="AB426" s="125" t="str">
        <f t="shared" si="163"/>
        <v/>
      </c>
      <c r="AC426" s="125" t="str">
        <f t="shared" si="164"/>
        <v/>
      </c>
      <c r="AD426" s="125" t="str">
        <f t="shared" si="159"/>
        <v/>
      </c>
      <c r="AE426" s="125" t="str">
        <f t="shared" si="167"/>
        <v/>
      </c>
      <c r="AF426" s="125" t="str">
        <f t="shared" si="168"/>
        <v>COMMENT ON COLUMN TB_CMMN_CD.REMARK IS '비고' ;</v>
      </c>
      <c r="AG426" s="125" t="str">
        <f t="shared" si="161"/>
        <v>ALTER TABLE TB_CMMN_CD ALTER COLUMN REMARK TYPE TEXT;</v>
      </c>
      <c r="AH426" s="131" t="str">
        <f t="shared" si="165"/>
        <v>ALTER TABLE TB_CMMN_CD ADD COLUMN REMARK TEXT;</v>
      </c>
      <c r="AI426" s="125" t="str">
        <f t="shared" si="162"/>
        <v>ALTER TABLE TB_CMMN_CD DROP COLUMN REMARK;</v>
      </c>
    </row>
    <row r="427" spans="2:35" ht="20.100000000000001" customHeight="1">
      <c r="B427" s="55">
        <v>414</v>
      </c>
      <c r="C427" s="26" t="s">
        <v>7</v>
      </c>
      <c r="D427" s="26" t="s">
        <v>19</v>
      </c>
      <c r="E427" s="10" t="s">
        <v>43</v>
      </c>
      <c r="F427" s="10" t="s">
        <v>134</v>
      </c>
      <c r="G427" s="87">
        <v>13</v>
      </c>
      <c r="H427" s="97" t="s">
        <v>107</v>
      </c>
      <c r="I427" s="51" t="s">
        <v>76</v>
      </c>
      <c r="J427" s="73" t="s">
        <v>72</v>
      </c>
      <c r="K427" s="67"/>
      <c r="L427" s="67"/>
      <c r="M427" s="77"/>
      <c r="N427" s="77"/>
      <c r="O427" s="77"/>
      <c r="P427" s="77"/>
      <c r="Q427" s="100" t="s">
        <v>521</v>
      </c>
      <c r="R427" s="119" t="s">
        <v>526</v>
      </c>
      <c r="S427" s="80"/>
      <c r="T427" s="107" t="s">
        <v>219</v>
      </c>
      <c r="U427" s="123"/>
      <c r="V427" s="123"/>
      <c r="W427" s="116" t="s">
        <v>496</v>
      </c>
      <c r="X427" s="85"/>
      <c r="Y427" s="123"/>
      <c r="Z427" s="130" t="str">
        <f t="shared" si="166"/>
        <v>/* 테이블 : 공통코드 */ CREATE TABLE TB_CMMN_CD (</v>
      </c>
      <c r="AA427" s="125" t="str">
        <f t="shared" si="160"/>
        <v>REGISTER_ID VARCHAR(50) NOT NULL,</v>
      </c>
      <c r="AB427" s="125" t="str">
        <f t="shared" si="163"/>
        <v/>
      </c>
      <c r="AC427" s="125" t="str">
        <f t="shared" si="164"/>
        <v/>
      </c>
      <c r="AD427" s="125" t="str">
        <f t="shared" si="159"/>
        <v/>
      </c>
      <c r="AE427" s="125" t="str">
        <f t="shared" si="167"/>
        <v/>
      </c>
      <c r="AF427" s="125" t="str">
        <f t="shared" si="168"/>
        <v>COMMENT ON COLUMN TB_CMMN_CD.REGISTER_ID IS '등록자 ID' ;</v>
      </c>
      <c r="AG427" s="125" t="str">
        <f t="shared" si="161"/>
        <v>ALTER TABLE TB_CMMN_CD ALTER COLUMN REGISTER_ID TYPE VARCHAR(50);</v>
      </c>
      <c r="AH427" s="131" t="str">
        <f t="shared" si="165"/>
        <v>ALTER TABLE TB_CMMN_CD ADD COLUMN REGISTER_ID VARCHAR(50) NOT NULL;</v>
      </c>
      <c r="AI427" s="125" t="str">
        <f t="shared" si="162"/>
        <v>ALTER TABLE TB_CMMN_CD DROP COLUMN REGISTER_ID;</v>
      </c>
    </row>
    <row r="428" spans="2:35" ht="20.100000000000001" customHeight="1">
      <c r="B428" s="55">
        <v>415</v>
      </c>
      <c r="C428" s="26" t="s">
        <v>7</v>
      </c>
      <c r="D428" s="26" t="s">
        <v>19</v>
      </c>
      <c r="E428" s="10" t="s">
        <v>43</v>
      </c>
      <c r="F428" s="10" t="s">
        <v>134</v>
      </c>
      <c r="G428" s="87">
        <v>14</v>
      </c>
      <c r="H428" s="97" t="s">
        <v>91</v>
      </c>
      <c r="I428" s="51" t="s">
        <v>77</v>
      </c>
      <c r="J428" s="73" t="s">
        <v>72</v>
      </c>
      <c r="K428" s="52"/>
      <c r="L428" s="52"/>
      <c r="M428" s="52"/>
      <c r="N428" s="52"/>
      <c r="O428" s="52"/>
      <c r="P428" s="52"/>
      <c r="Q428" s="56" t="s">
        <v>106</v>
      </c>
      <c r="R428" s="120" t="s">
        <v>527</v>
      </c>
      <c r="S428" s="80"/>
      <c r="T428" s="107" t="s">
        <v>218</v>
      </c>
      <c r="U428" s="123"/>
      <c r="V428" s="123"/>
      <c r="W428" s="104"/>
      <c r="X428" s="85"/>
      <c r="Y428" s="123"/>
      <c r="Z428" s="130" t="str">
        <f t="shared" si="166"/>
        <v>/* 테이블 : 공통코드 */ CREATE TABLE TB_CMMN_CD (</v>
      </c>
      <c r="AA428" s="125" t="str">
        <f t="shared" si="160"/>
        <v>REGISTER_IP VARCHAR(100) NOT NULL,</v>
      </c>
      <c r="AB428" s="125" t="str">
        <f t="shared" si="163"/>
        <v/>
      </c>
      <c r="AC428" s="125" t="str">
        <f t="shared" si="164"/>
        <v/>
      </c>
      <c r="AD428" s="125" t="str">
        <f t="shared" si="159"/>
        <v/>
      </c>
      <c r="AE428" s="125" t="str">
        <f t="shared" si="167"/>
        <v/>
      </c>
      <c r="AF428" s="125" t="str">
        <f t="shared" si="168"/>
        <v>COMMENT ON COLUMN TB_CMMN_CD.REGISTER_IP IS '등록자 IP' ;</v>
      </c>
      <c r="AG428" s="125" t="str">
        <f t="shared" si="161"/>
        <v>ALTER TABLE TB_CMMN_CD ALTER COLUMN REGISTER_IP TYPE VARCHAR(100);</v>
      </c>
      <c r="AH428" s="131" t="str">
        <f t="shared" si="165"/>
        <v>ALTER TABLE TB_CMMN_CD ADD COLUMN REGISTER_IP VARCHAR(100) NOT NULL;</v>
      </c>
      <c r="AI428" s="125" t="str">
        <f t="shared" si="162"/>
        <v>ALTER TABLE TB_CMMN_CD DROP COLUMN REGISTER_IP;</v>
      </c>
    </row>
    <row r="429" spans="2:35" ht="20.100000000000001" customHeight="1">
      <c r="B429" s="55">
        <v>416</v>
      </c>
      <c r="C429" s="26" t="s">
        <v>7</v>
      </c>
      <c r="D429" s="26" t="s">
        <v>19</v>
      </c>
      <c r="E429" s="10" t="s">
        <v>43</v>
      </c>
      <c r="F429" s="10" t="s">
        <v>134</v>
      </c>
      <c r="G429" s="87">
        <v>15</v>
      </c>
      <c r="H429" s="97" t="s">
        <v>92</v>
      </c>
      <c r="I429" s="96" t="s">
        <v>78</v>
      </c>
      <c r="J429" s="73" t="s">
        <v>72</v>
      </c>
      <c r="K429" s="52"/>
      <c r="L429" s="52"/>
      <c r="M429" s="52"/>
      <c r="N429" s="52"/>
      <c r="O429" s="52"/>
      <c r="P429" s="52"/>
      <c r="Q429" s="51" t="s">
        <v>702</v>
      </c>
      <c r="R429" s="120"/>
      <c r="S429" s="80"/>
      <c r="T429" s="107" t="s">
        <v>217</v>
      </c>
      <c r="U429" s="123"/>
      <c r="V429" s="123"/>
      <c r="W429" s="104"/>
      <c r="X429" s="85"/>
      <c r="Y429" s="123"/>
      <c r="Z429" s="130" t="str">
        <f t="shared" si="166"/>
        <v>/* 테이블 : 공통코드 */ CREATE TABLE TB_CMMN_CD (</v>
      </c>
      <c r="AA429" s="125" t="str">
        <f t="shared" si="160"/>
        <v>REG_DT TIMESTAMP NOT NULL,</v>
      </c>
      <c r="AB429" s="125" t="str">
        <f t="shared" si="163"/>
        <v/>
      </c>
      <c r="AC429" s="125" t="str">
        <f t="shared" si="164"/>
        <v/>
      </c>
      <c r="AD429" s="125" t="str">
        <f t="shared" si="159"/>
        <v/>
      </c>
      <c r="AE429" s="125" t="str">
        <f t="shared" si="167"/>
        <v/>
      </c>
      <c r="AF429" s="125" t="str">
        <f t="shared" si="168"/>
        <v>COMMENT ON COLUMN TB_CMMN_CD.REG_DT IS '등록 일시' ;</v>
      </c>
      <c r="AG429" s="125" t="str">
        <f t="shared" si="161"/>
        <v>ALTER TABLE TB_CMMN_CD ALTER COLUMN REG_DT TYPE TIMESTAMP;</v>
      </c>
      <c r="AH429" s="131" t="str">
        <f t="shared" si="165"/>
        <v>ALTER TABLE TB_CMMN_CD ADD COLUMN REG_DT TIMESTAMP NOT NULL;</v>
      </c>
      <c r="AI429" s="125" t="str">
        <f t="shared" si="162"/>
        <v>ALTER TABLE TB_CMMN_CD DROP COLUMN REG_DT;</v>
      </c>
    </row>
    <row r="430" spans="2:35" ht="20.100000000000001" customHeight="1">
      <c r="B430" s="135">
        <v>417</v>
      </c>
      <c r="C430" s="26" t="s">
        <v>7</v>
      </c>
      <c r="D430" s="26" t="s">
        <v>19</v>
      </c>
      <c r="E430" s="10" t="s">
        <v>43</v>
      </c>
      <c r="F430" s="10" t="s">
        <v>134</v>
      </c>
      <c r="G430" s="87">
        <v>16</v>
      </c>
      <c r="H430" s="97" t="s">
        <v>93</v>
      </c>
      <c r="I430" s="96" t="s">
        <v>80</v>
      </c>
      <c r="J430" s="52"/>
      <c r="K430" s="52"/>
      <c r="L430" s="52"/>
      <c r="M430" s="79"/>
      <c r="N430" s="79"/>
      <c r="O430" s="79"/>
      <c r="P430" s="79"/>
      <c r="Q430" s="100" t="s">
        <v>521</v>
      </c>
      <c r="R430" s="119" t="s">
        <v>526</v>
      </c>
      <c r="S430" s="80"/>
      <c r="T430" s="107" t="s">
        <v>216</v>
      </c>
      <c r="U430" s="123"/>
      <c r="V430" s="123"/>
      <c r="W430" s="116" t="s">
        <v>496</v>
      </c>
      <c r="X430" s="85"/>
      <c r="Y430" s="123"/>
      <c r="Z430" s="130" t="str">
        <f t="shared" si="166"/>
        <v>/* 테이블 : 공통코드 */ CREATE TABLE TB_CMMN_CD (</v>
      </c>
      <c r="AA430" s="125" t="str">
        <f t="shared" si="160"/>
        <v>UPDUSR_ID VARCHAR(50),</v>
      </c>
      <c r="AB430" s="125" t="str">
        <f t="shared" si="163"/>
        <v/>
      </c>
      <c r="AC430" s="125" t="str">
        <f t="shared" si="164"/>
        <v/>
      </c>
      <c r="AD430" s="125" t="str">
        <f t="shared" si="159"/>
        <v/>
      </c>
      <c r="AE430" s="125" t="str">
        <f t="shared" si="167"/>
        <v/>
      </c>
      <c r="AF430" s="125" t="str">
        <f t="shared" si="168"/>
        <v>COMMENT ON COLUMN TB_CMMN_CD.UPDUSR_ID IS '수정자 ID' ;</v>
      </c>
      <c r="AG430" s="125" t="str">
        <f t="shared" si="161"/>
        <v>ALTER TABLE TB_CMMN_CD ALTER COLUMN UPDUSR_ID TYPE VARCHAR(50);</v>
      </c>
      <c r="AH430" s="131" t="str">
        <f t="shared" si="165"/>
        <v>ALTER TABLE TB_CMMN_CD ADD COLUMN UPDUSR_ID VARCHAR(50);</v>
      </c>
      <c r="AI430" s="125" t="str">
        <f t="shared" si="162"/>
        <v>ALTER TABLE TB_CMMN_CD DROP COLUMN UPDUSR_ID;</v>
      </c>
    </row>
    <row r="431" spans="2:35" ht="20.100000000000001" customHeight="1">
      <c r="B431" s="55">
        <v>418</v>
      </c>
      <c r="C431" s="26" t="s">
        <v>7</v>
      </c>
      <c r="D431" s="26" t="s">
        <v>19</v>
      </c>
      <c r="E431" s="10" t="s">
        <v>43</v>
      </c>
      <c r="F431" s="10" t="s">
        <v>134</v>
      </c>
      <c r="G431" s="87">
        <v>17</v>
      </c>
      <c r="H431" s="97" t="s">
        <v>94</v>
      </c>
      <c r="I431" s="96" t="s">
        <v>79</v>
      </c>
      <c r="J431" s="52"/>
      <c r="K431" s="52"/>
      <c r="L431" s="52"/>
      <c r="M431" s="52"/>
      <c r="N431" s="52"/>
      <c r="O431" s="52"/>
      <c r="P431" s="52"/>
      <c r="Q431" s="56" t="s">
        <v>106</v>
      </c>
      <c r="R431" s="120" t="s">
        <v>527</v>
      </c>
      <c r="S431" s="80"/>
      <c r="T431" s="107" t="s">
        <v>215</v>
      </c>
      <c r="U431" s="123"/>
      <c r="V431" s="123"/>
      <c r="W431" s="104"/>
      <c r="X431" s="85"/>
      <c r="Y431" s="123"/>
      <c r="Z431" s="130" t="str">
        <f t="shared" si="166"/>
        <v>/* 테이블 : 공통코드 */ CREATE TABLE TB_CMMN_CD (</v>
      </c>
      <c r="AA431" s="125" t="str">
        <f t="shared" si="160"/>
        <v>UPDUSR_IP VARCHAR(100),</v>
      </c>
      <c r="AB431" s="125" t="str">
        <f t="shared" si="163"/>
        <v/>
      </c>
      <c r="AC431" s="125" t="str">
        <f t="shared" si="164"/>
        <v/>
      </c>
      <c r="AD431" s="125" t="str">
        <f t="shared" si="159"/>
        <v/>
      </c>
      <c r="AE431" s="125" t="str">
        <f t="shared" si="167"/>
        <v/>
      </c>
      <c r="AF431" s="125" t="str">
        <f t="shared" si="168"/>
        <v>COMMENT ON COLUMN TB_CMMN_CD.UPDUSR_IP IS '수정자 IP' ;</v>
      </c>
      <c r="AG431" s="125" t="str">
        <f t="shared" si="161"/>
        <v>ALTER TABLE TB_CMMN_CD ALTER COLUMN UPDUSR_IP TYPE VARCHAR(100);</v>
      </c>
      <c r="AH431" s="131" t="str">
        <f t="shared" si="165"/>
        <v>ALTER TABLE TB_CMMN_CD ADD COLUMN UPDUSR_IP VARCHAR(100);</v>
      </c>
      <c r="AI431" s="125" t="str">
        <f t="shared" si="162"/>
        <v>ALTER TABLE TB_CMMN_CD DROP COLUMN UPDUSR_IP;</v>
      </c>
    </row>
    <row r="432" spans="2:35" ht="20.100000000000001" customHeight="1">
      <c r="B432" s="55">
        <v>419</v>
      </c>
      <c r="C432" s="26" t="s">
        <v>7</v>
      </c>
      <c r="D432" s="26" t="s">
        <v>19</v>
      </c>
      <c r="E432" s="10" t="s">
        <v>43</v>
      </c>
      <c r="F432" s="10" t="s">
        <v>134</v>
      </c>
      <c r="G432" s="87">
        <v>18</v>
      </c>
      <c r="H432" s="98" t="s">
        <v>95</v>
      </c>
      <c r="I432" s="97" t="s">
        <v>81</v>
      </c>
      <c r="J432" s="61"/>
      <c r="K432" s="61"/>
      <c r="L432" s="61"/>
      <c r="M432" s="61"/>
      <c r="N432" s="61"/>
      <c r="O432" s="61"/>
      <c r="P432" s="61"/>
      <c r="Q432" s="51" t="s">
        <v>702</v>
      </c>
      <c r="R432" s="120"/>
      <c r="S432" s="77"/>
      <c r="T432" s="107" t="s">
        <v>214</v>
      </c>
      <c r="U432" s="123"/>
      <c r="V432" s="123"/>
      <c r="W432" s="104"/>
      <c r="X432" s="85"/>
      <c r="Y432" s="123"/>
      <c r="Z432" s="130" t="str">
        <f t="shared" si="166"/>
        <v>/* 테이블 : 공통코드 */ CREATE TABLE TB_CMMN_CD (</v>
      </c>
      <c r="AA432" s="125" t="str">
        <f t="shared" si="160"/>
        <v>UPDT_DT TIMESTAMP,</v>
      </c>
      <c r="AB432" s="125" t="str">
        <f t="shared" si="163"/>
        <v/>
      </c>
      <c r="AC432" s="125" t="str">
        <f t="shared" si="164"/>
        <v/>
      </c>
      <c r="AD432" s="125" t="str">
        <f t="shared" si="159"/>
        <v/>
      </c>
      <c r="AE432" s="125" t="str">
        <f t="shared" si="167"/>
        <v/>
      </c>
      <c r="AF432" s="125" t="str">
        <f t="shared" si="168"/>
        <v>COMMENT ON COLUMN TB_CMMN_CD.UPDT_DT IS '수정 일시' ;</v>
      </c>
      <c r="AG432" s="125" t="str">
        <f t="shared" si="161"/>
        <v>ALTER TABLE TB_CMMN_CD ALTER COLUMN UPDT_DT TYPE TIMESTAMP;</v>
      </c>
      <c r="AH432" s="131" t="str">
        <f t="shared" si="165"/>
        <v>ALTER TABLE TB_CMMN_CD ADD COLUMN UPDT_DT TIMESTAMP;</v>
      </c>
      <c r="AI432" s="125" t="str">
        <f t="shared" si="162"/>
        <v>ALTER TABLE TB_CMMN_CD DROP COLUMN UPDT_DT;</v>
      </c>
    </row>
    <row r="433" spans="2:35" ht="20.100000000000001" customHeight="1">
      <c r="B433" s="55">
        <v>420</v>
      </c>
      <c r="C433" s="26" t="s">
        <v>7</v>
      </c>
      <c r="D433" s="26" t="s">
        <v>19</v>
      </c>
      <c r="E433" s="10" t="s">
        <v>43</v>
      </c>
      <c r="F433" s="10" t="s">
        <v>134</v>
      </c>
      <c r="G433" s="87">
        <v>19</v>
      </c>
      <c r="H433" s="97" t="s">
        <v>96</v>
      </c>
      <c r="I433" s="97" t="s">
        <v>82</v>
      </c>
      <c r="J433" s="73" t="s">
        <v>72</v>
      </c>
      <c r="K433" s="61"/>
      <c r="L433" s="61"/>
      <c r="M433" s="61"/>
      <c r="N433" s="61"/>
      <c r="O433" s="61"/>
      <c r="P433" s="61"/>
      <c r="Q433" s="51" t="s">
        <v>800</v>
      </c>
      <c r="R433" s="120" t="s">
        <v>522</v>
      </c>
      <c r="S433" s="82" t="s">
        <v>799</v>
      </c>
      <c r="T433" s="107" t="s">
        <v>213</v>
      </c>
      <c r="U433" s="123"/>
      <c r="V433" s="123"/>
      <c r="W433" s="104"/>
      <c r="X433" s="85"/>
      <c r="Y433" s="123"/>
      <c r="Z433" s="130" t="str">
        <f t="shared" si="166"/>
        <v>/* 테이블 : 공통코드 */ CREATE TABLE TB_CMMN_CD (</v>
      </c>
      <c r="AA433" s="125" t="str">
        <f t="shared" si="160"/>
        <v>DEL_YN BPCHAR(1) NOT NULL,</v>
      </c>
      <c r="AB433" s="125" t="str">
        <f t="shared" si="163"/>
        <v/>
      </c>
      <c r="AC433" s="125" t="str">
        <f t="shared" si="164"/>
        <v/>
      </c>
      <c r="AD433" s="125" t="str">
        <f t="shared" si="159"/>
        <v/>
      </c>
      <c r="AE433" s="125" t="str">
        <f t="shared" si="167"/>
        <v>ALTER TABLE TB_CMMN_CD ALTER COLUMN DEL_YN SET DEFAULT 'N'::bpchar;</v>
      </c>
      <c r="AF433" s="125" t="str">
        <f t="shared" si="168"/>
        <v>COMMENT ON COLUMN TB_CMMN_CD.DEL_YN IS '삭제 여부' ;</v>
      </c>
      <c r="AG433" s="125" t="str">
        <f t="shared" si="161"/>
        <v>ALTER TABLE TB_CMMN_CD ALTER COLUMN DEL_YN TYPE BPCHAR(1);</v>
      </c>
      <c r="AH433" s="131" t="str">
        <f t="shared" si="165"/>
        <v>ALTER TABLE TB_CMMN_CD ADD COLUMN DEL_YN BPCHAR(1) NOT NULL DEFAULT 'N'::bpchar;</v>
      </c>
      <c r="AI433" s="125" t="str">
        <f t="shared" si="162"/>
        <v>ALTER TABLE TB_CMMN_CD DROP COLUMN DEL_YN;</v>
      </c>
    </row>
    <row r="434" spans="2:35" ht="20.100000000000001" customHeight="1">
      <c r="B434" s="135">
        <v>421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1</v>
      </c>
      <c r="H434" s="104" t="s">
        <v>438</v>
      </c>
      <c r="I434" s="104" t="s">
        <v>453</v>
      </c>
      <c r="J434" s="85" t="s">
        <v>418</v>
      </c>
      <c r="K434" s="85">
        <v>1</v>
      </c>
      <c r="L434" s="85"/>
      <c r="M434" s="85"/>
      <c r="N434" s="85"/>
      <c r="O434" s="85"/>
      <c r="P434" s="85"/>
      <c r="Q434" s="104" t="s">
        <v>419</v>
      </c>
      <c r="R434" s="87"/>
      <c r="S434" s="85"/>
      <c r="T434" s="104" t="s">
        <v>455</v>
      </c>
      <c r="U434" s="125" t="str">
        <f>"SEQ_"&amp;E434&amp;"_SN"</f>
        <v>SEQ_TB_CMMN_CD_DETAIL_SN</v>
      </c>
      <c r="V434" s="125"/>
      <c r="W434" s="104"/>
      <c r="X434" s="85"/>
      <c r="Y434" s="123"/>
      <c r="Z434" s="130" t="str">
        <f t="shared" si="166"/>
        <v>/* 테이블 : 공통코드상세 */ CREATE TABLE TB_CMMN_CD_DETAIL (</v>
      </c>
      <c r="AA434" s="125" t="str">
        <f t="shared" si="160"/>
        <v>CD_DETAIL_SN INTEGER PRIMARY KEY,</v>
      </c>
      <c r="AB434" s="125" t="str">
        <f t="shared" si="163"/>
        <v/>
      </c>
      <c r="AC434" s="125" t="str">
        <f t="shared" si="164"/>
        <v>CREATE SEQUENCE SEQ_TB_CMMN_CD_DETAIL_SN START 100000;</v>
      </c>
      <c r="AD434" s="125" t="str">
        <f t="shared" ref="AD434:AD473" si="169">IF(ISBLANK(U434),"","ALTER TABLE "&amp;E434&amp;" ALTER COLUMN "&amp;H434&amp;" SET DEFAULT NEXTVAL('"&amp;U434&amp;"');")</f>
        <v>ALTER TABLE TB_CMMN_CD_DETAIL ALTER COLUMN CD_DETAIL_SN SET DEFAULT NEXTVAL('SEQ_TB_CMMN_CD_DETAIL_SN');</v>
      </c>
      <c r="AE434" s="125" t="str">
        <f t="shared" si="167"/>
        <v/>
      </c>
      <c r="AF434" s="125" t="str">
        <f t="shared" si="168"/>
        <v>COMMENT ON COLUMN TB_CMMN_CD_DETAIL.CD_DETAIL_SN IS '코드 상세 일련번호' ;</v>
      </c>
      <c r="AG434" s="125" t="str">
        <f t="shared" si="161"/>
        <v>ALTER TABLE TB_CMMN_CD_DETAIL ALTER COLUMN CD_DETAIL_SN TYPE INTEGER;</v>
      </c>
      <c r="AH434" s="131" t="str">
        <f t="shared" si="165"/>
        <v>ALTER TABLE TB_CMMN_CD_DETAIL ADD COLUMN CD_DETAIL_SN INTEGER NOT NULL;</v>
      </c>
      <c r="AI434" s="125" t="str">
        <f t="shared" si="162"/>
        <v>ALTER TABLE TB_CMMN_CD_DETAIL DROP COLUMN CD_DETAIL_SN;</v>
      </c>
    </row>
    <row r="435" spans="2:35" ht="20.100000000000001" customHeight="1">
      <c r="B435" s="55">
        <v>422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2</v>
      </c>
      <c r="H435" s="104" t="s">
        <v>435</v>
      </c>
      <c r="I435" s="104" t="s">
        <v>427</v>
      </c>
      <c r="J435" s="85" t="s">
        <v>418</v>
      </c>
      <c r="K435" s="85"/>
      <c r="L435" s="85"/>
      <c r="M435" s="10"/>
      <c r="N435" s="104"/>
      <c r="O435" s="95"/>
      <c r="P435" s="95"/>
      <c r="Q435" s="104" t="s">
        <v>106</v>
      </c>
      <c r="R435" s="119" t="s">
        <v>526</v>
      </c>
      <c r="S435" s="85"/>
      <c r="T435" s="104" t="s">
        <v>467</v>
      </c>
      <c r="U435" s="123"/>
      <c r="V435" s="123"/>
      <c r="W435" s="104" t="s">
        <v>753</v>
      </c>
      <c r="X435" s="85"/>
      <c r="Y435" s="123"/>
      <c r="Z435" s="130" t="str">
        <f t="shared" si="166"/>
        <v>/* 테이블 : 공통코드상세 */ CREATE TABLE TB_CMMN_CD_DETAIL (</v>
      </c>
      <c r="AA435" s="125" t="str">
        <f t="shared" ref="AA435:AA473" si="170">H435&amp;" "&amp;Q435&amp;R435&amp;IF(ISBLANK(K435),""," PRIMARY KEY")&amp;IF(AND(ISBLANK(K435),J435="Y")," NOT NULL","")&amp;","</f>
        <v>CD_NM VARCHAR(50) NOT NULL,</v>
      </c>
      <c r="AB435" s="125" t="str">
        <f t="shared" si="163"/>
        <v/>
      </c>
      <c r="AC435" s="125" t="str">
        <f t="shared" si="164"/>
        <v/>
      </c>
      <c r="AD435" s="125" t="str">
        <f t="shared" si="169"/>
        <v/>
      </c>
      <c r="AE435" s="125" t="str">
        <f t="shared" si="167"/>
        <v/>
      </c>
      <c r="AF435" s="125" t="str">
        <f t="shared" si="168"/>
        <v>COMMENT ON COLUMN TB_CMMN_CD_DETAIL.CD_NM IS '코드 이름' ;</v>
      </c>
      <c r="AG435" s="125" t="str">
        <f t="shared" si="161"/>
        <v>ALTER TABLE TB_CMMN_CD_DETAIL ALTER COLUMN CD_NM TYPE VARCHAR(50);</v>
      </c>
      <c r="AH435" s="131" t="str">
        <f t="shared" si="165"/>
        <v>ALTER TABLE TB_CMMN_CD_DETAIL ADD COLUMN CD_NM VARCHAR(50) NOT NULL;</v>
      </c>
      <c r="AI435" s="125" t="str">
        <f t="shared" si="162"/>
        <v>ALTER TABLE TB_CMMN_CD_DETAIL DROP COLUMN CD_NM;</v>
      </c>
    </row>
    <row r="436" spans="2:35" ht="20.100000000000001" customHeight="1">
      <c r="B436" s="55">
        <v>423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3</v>
      </c>
      <c r="H436" s="104" t="s">
        <v>454</v>
      </c>
      <c r="I436" s="104" t="s">
        <v>532</v>
      </c>
      <c r="J436" s="85"/>
      <c r="K436" s="85"/>
      <c r="L436" s="85"/>
      <c r="M436" s="85"/>
      <c r="N436" s="85"/>
      <c r="O436" s="85"/>
      <c r="P436" s="85"/>
      <c r="Q436" s="104" t="s">
        <v>229</v>
      </c>
      <c r="R436" s="47"/>
      <c r="S436" s="85"/>
      <c r="T436" s="104" t="s">
        <v>457</v>
      </c>
      <c r="U436" s="125"/>
      <c r="V436" s="125"/>
      <c r="W436" s="104"/>
      <c r="X436" s="85"/>
      <c r="Y436" s="123"/>
      <c r="Z436" s="130" t="str">
        <f t="shared" si="166"/>
        <v>/* 테이블 : 공통코드상세 */ CREATE TABLE TB_CMMN_CD_DETAIL (</v>
      </c>
      <c r="AA436" s="125" t="str">
        <f t="shared" si="170"/>
        <v>CD_DETAIL_SEQ INTEGER,</v>
      </c>
      <c r="AB436" s="125" t="str">
        <f t="shared" si="163"/>
        <v/>
      </c>
      <c r="AC436" s="125" t="str">
        <f t="shared" si="164"/>
        <v/>
      </c>
      <c r="AD436" s="125" t="str">
        <f t="shared" si="169"/>
        <v/>
      </c>
      <c r="AE436" s="125" t="str">
        <f t="shared" si="167"/>
        <v/>
      </c>
      <c r="AF436" s="125" t="str">
        <f t="shared" si="168"/>
        <v>COMMENT ON COLUMN TB_CMMN_CD_DETAIL.CD_DETAIL_SEQ IS '코드 상세 순번' ;</v>
      </c>
      <c r="AG436" s="125" t="str">
        <f t="shared" si="161"/>
        <v>ALTER TABLE TB_CMMN_CD_DETAIL ALTER COLUMN CD_DETAIL_SEQ TYPE INTEGER;</v>
      </c>
      <c r="AH436" s="131" t="str">
        <f t="shared" si="165"/>
        <v>ALTER TABLE TB_CMMN_CD_DETAIL ADD COLUMN CD_DETAIL_SEQ INTEGER;</v>
      </c>
      <c r="AI436" s="125" t="str">
        <f t="shared" si="162"/>
        <v>ALTER TABLE TB_CMMN_CD_DETAIL DROP COLUMN CD_DETAIL_SEQ;</v>
      </c>
    </row>
    <row r="437" spans="2:35" ht="20.100000000000001" customHeight="1">
      <c r="B437" s="55">
        <v>424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4</v>
      </c>
      <c r="H437" s="104" t="s">
        <v>439</v>
      </c>
      <c r="I437" s="104" t="s">
        <v>440</v>
      </c>
      <c r="J437" s="85" t="s">
        <v>418</v>
      </c>
      <c r="K437" s="85"/>
      <c r="L437" s="85"/>
      <c r="M437" s="85"/>
      <c r="N437" s="85"/>
      <c r="O437" s="85"/>
      <c r="P437" s="85"/>
      <c r="Q437" s="104" t="s">
        <v>420</v>
      </c>
      <c r="R437" s="119" t="s">
        <v>526</v>
      </c>
      <c r="S437" s="85"/>
      <c r="T437" s="104" t="s">
        <v>458</v>
      </c>
      <c r="U437" s="123"/>
      <c r="V437" s="123"/>
      <c r="W437" s="104"/>
      <c r="X437" s="85"/>
      <c r="Y437" s="123"/>
      <c r="Z437" s="130" t="str">
        <f t="shared" si="166"/>
        <v>/* 테이블 : 공통코드상세 */ CREATE TABLE TB_CMMN_CD_DETAIL (</v>
      </c>
      <c r="AA437" s="125" t="str">
        <f t="shared" si="170"/>
        <v>CD_DETAIL_NM VARCHAR(50) NOT NULL,</v>
      </c>
      <c r="AB437" s="125" t="str">
        <f t="shared" si="163"/>
        <v/>
      </c>
      <c r="AC437" s="125" t="str">
        <f t="shared" si="164"/>
        <v/>
      </c>
      <c r="AD437" s="125" t="str">
        <f t="shared" si="169"/>
        <v/>
      </c>
      <c r="AE437" s="125" t="str">
        <f t="shared" si="167"/>
        <v/>
      </c>
      <c r="AF437" s="125" t="str">
        <f t="shared" si="168"/>
        <v>COMMENT ON COLUMN TB_CMMN_CD_DETAIL.CD_DETAIL_NM IS '코드 상세 이름' ;</v>
      </c>
      <c r="AG437" s="125" t="str">
        <f t="shared" si="161"/>
        <v>ALTER TABLE TB_CMMN_CD_DETAIL ALTER COLUMN CD_DETAIL_NM TYPE VARCHAR(50);</v>
      </c>
      <c r="AH437" s="131" t="str">
        <f t="shared" si="165"/>
        <v>ALTER TABLE TB_CMMN_CD_DETAIL ADD COLUMN CD_DETAIL_NM VARCHAR(50) NOT NULL;</v>
      </c>
      <c r="AI437" s="125" t="str">
        <f t="shared" si="162"/>
        <v>ALTER TABLE TB_CMMN_CD_DETAIL DROP COLUMN CD_DETAIL_NM;</v>
      </c>
    </row>
    <row r="438" spans="2:35" ht="20.100000000000001" customHeight="1">
      <c r="B438" s="135">
        <v>425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5</v>
      </c>
      <c r="H438" s="104" t="s">
        <v>441</v>
      </c>
      <c r="I438" s="104" t="s">
        <v>442</v>
      </c>
      <c r="J438" s="85"/>
      <c r="K438" s="85"/>
      <c r="L438" s="85"/>
      <c r="M438" s="85"/>
      <c r="N438" s="85"/>
      <c r="O438" s="85"/>
      <c r="P438" s="85"/>
      <c r="Q438" s="104" t="s">
        <v>421</v>
      </c>
      <c r="R438" s="87"/>
      <c r="S438" s="85"/>
      <c r="T438" s="104" t="s">
        <v>459</v>
      </c>
      <c r="U438" s="123"/>
      <c r="V438" s="123"/>
      <c r="W438" s="104"/>
      <c r="X438" s="85"/>
      <c r="Y438" s="123"/>
      <c r="Z438" s="130" t="str">
        <f t="shared" si="166"/>
        <v>/* 테이블 : 공통코드상세 */ CREATE TABLE TB_CMMN_CD_DETAIL (</v>
      </c>
      <c r="AA438" s="125" t="str">
        <f t="shared" si="170"/>
        <v>CD_DETAIL_DC TEXT,</v>
      </c>
      <c r="AB438" s="125" t="str">
        <f t="shared" si="163"/>
        <v/>
      </c>
      <c r="AC438" s="125" t="str">
        <f t="shared" si="164"/>
        <v/>
      </c>
      <c r="AD438" s="125" t="str">
        <f t="shared" si="169"/>
        <v/>
      </c>
      <c r="AE438" s="125" t="str">
        <f t="shared" si="167"/>
        <v/>
      </c>
      <c r="AF438" s="125" t="str">
        <f t="shared" si="168"/>
        <v>COMMENT ON COLUMN TB_CMMN_CD_DETAIL.CD_DETAIL_DC IS '코드 상세 설명' ;</v>
      </c>
      <c r="AG438" s="125" t="str">
        <f t="shared" si="161"/>
        <v>ALTER TABLE TB_CMMN_CD_DETAIL ALTER COLUMN CD_DETAIL_DC TYPE TEXT;</v>
      </c>
      <c r="AH438" s="131" t="str">
        <f t="shared" si="165"/>
        <v>ALTER TABLE TB_CMMN_CD_DETAIL ADD COLUMN CD_DETAIL_DC TEXT;</v>
      </c>
      <c r="AI438" s="125" t="str">
        <f t="shared" si="162"/>
        <v>ALTER TABLE TB_CMMN_CD_DETAIL DROP COLUMN CD_DETAIL_DC;</v>
      </c>
    </row>
    <row r="439" spans="2:35" ht="20.100000000000001" customHeight="1">
      <c r="B439" s="55">
        <v>426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6</v>
      </c>
      <c r="H439" s="104" t="s">
        <v>443</v>
      </c>
      <c r="I439" s="104" t="s">
        <v>448</v>
      </c>
      <c r="J439" s="85"/>
      <c r="K439" s="85"/>
      <c r="L439" s="85"/>
      <c r="M439" s="85"/>
      <c r="N439" s="85"/>
      <c r="O439" s="85"/>
      <c r="P439" s="85"/>
      <c r="Q439" s="104" t="s">
        <v>420</v>
      </c>
      <c r="R439" s="119" t="s">
        <v>530</v>
      </c>
      <c r="S439" s="85"/>
      <c r="T439" s="104" t="s">
        <v>460</v>
      </c>
      <c r="U439" s="123"/>
      <c r="V439" s="123"/>
      <c r="W439" s="104" t="s">
        <v>470</v>
      </c>
      <c r="X439" s="85"/>
      <c r="Y439" s="123"/>
      <c r="Z439" s="130" t="str">
        <f t="shared" si="166"/>
        <v>/* 테이블 : 공통코드상세 */ CREATE TABLE TB_CMMN_CD_DETAIL (</v>
      </c>
      <c r="AA439" s="125" t="str">
        <f t="shared" si="170"/>
        <v>CD_DETAIL_VAL1 VARCHAR(2000),</v>
      </c>
      <c r="AB439" s="125" t="str">
        <f t="shared" si="163"/>
        <v/>
      </c>
      <c r="AC439" s="125" t="str">
        <f t="shared" si="164"/>
        <v/>
      </c>
      <c r="AD439" s="125" t="str">
        <f t="shared" si="169"/>
        <v/>
      </c>
      <c r="AE439" s="125" t="str">
        <f t="shared" si="167"/>
        <v/>
      </c>
      <c r="AF439" s="125" t="str">
        <f t="shared" si="168"/>
        <v>COMMENT ON COLUMN TB_CMMN_CD_DETAIL.CD_DETAIL_VAL1 IS '코드 상세값 1' ;</v>
      </c>
      <c r="AG439" s="125" t="str">
        <f t="shared" si="161"/>
        <v>ALTER TABLE TB_CMMN_CD_DETAIL ALTER COLUMN CD_DETAIL_VAL1 TYPE VARCHAR(2000);</v>
      </c>
      <c r="AH439" s="131" t="str">
        <f t="shared" si="165"/>
        <v>ALTER TABLE TB_CMMN_CD_DETAIL ADD COLUMN CD_DETAIL_VAL1 VARCHAR(2000);</v>
      </c>
      <c r="AI439" s="125" t="str">
        <f t="shared" si="162"/>
        <v>ALTER TABLE TB_CMMN_CD_DETAIL DROP COLUMN CD_DETAIL_VAL1;</v>
      </c>
    </row>
    <row r="440" spans="2:35" ht="20.100000000000001" customHeight="1">
      <c r="B440" s="55">
        <v>427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7</v>
      </c>
      <c r="H440" s="104" t="s">
        <v>445</v>
      </c>
      <c r="I440" s="104" t="s">
        <v>449</v>
      </c>
      <c r="J440" s="85"/>
      <c r="K440" s="85"/>
      <c r="L440" s="85"/>
      <c r="M440" s="85"/>
      <c r="N440" s="85"/>
      <c r="O440" s="85"/>
      <c r="P440" s="85"/>
      <c r="Q440" s="104" t="s">
        <v>420</v>
      </c>
      <c r="R440" s="119" t="s">
        <v>530</v>
      </c>
      <c r="S440" s="85"/>
      <c r="T440" s="104" t="s">
        <v>461</v>
      </c>
      <c r="U440" s="123"/>
      <c r="V440" s="123"/>
      <c r="W440" s="104" t="s">
        <v>470</v>
      </c>
      <c r="X440" s="85"/>
      <c r="Y440" s="123"/>
      <c r="Z440" s="130" t="str">
        <f t="shared" si="166"/>
        <v>/* 테이블 : 공통코드상세 */ CREATE TABLE TB_CMMN_CD_DETAIL (</v>
      </c>
      <c r="AA440" s="125" t="str">
        <f t="shared" si="170"/>
        <v>CD_DETAIL_VAL2 VARCHAR(2000),</v>
      </c>
      <c r="AB440" s="125" t="str">
        <f t="shared" si="163"/>
        <v/>
      </c>
      <c r="AC440" s="125" t="str">
        <f t="shared" si="164"/>
        <v/>
      </c>
      <c r="AD440" s="125" t="str">
        <f t="shared" si="169"/>
        <v/>
      </c>
      <c r="AE440" s="125" t="str">
        <f t="shared" si="167"/>
        <v/>
      </c>
      <c r="AF440" s="125" t="str">
        <f t="shared" si="168"/>
        <v>COMMENT ON COLUMN TB_CMMN_CD_DETAIL.CD_DETAIL_VAL2 IS '코드 상세값 2' ;</v>
      </c>
      <c r="AG440" s="125" t="str">
        <f t="shared" si="161"/>
        <v>ALTER TABLE TB_CMMN_CD_DETAIL ALTER COLUMN CD_DETAIL_VAL2 TYPE VARCHAR(2000);</v>
      </c>
      <c r="AH440" s="131" t="str">
        <f t="shared" si="165"/>
        <v>ALTER TABLE TB_CMMN_CD_DETAIL ADD COLUMN CD_DETAIL_VAL2 VARCHAR(2000);</v>
      </c>
      <c r="AI440" s="125" t="str">
        <f t="shared" si="162"/>
        <v>ALTER TABLE TB_CMMN_CD_DETAIL DROP COLUMN CD_DETAIL_VAL2;</v>
      </c>
    </row>
    <row r="441" spans="2:35" ht="20.100000000000001" customHeight="1">
      <c r="B441" s="55">
        <v>428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8</v>
      </c>
      <c r="H441" s="104" t="s">
        <v>446</v>
      </c>
      <c r="I441" s="104" t="s">
        <v>450</v>
      </c>
      <c r="J441" s="85"/>
      <c r="K441" s="85"/>
      <c r="L441" s="85"/>
      <c r="M441" s="85"/>
      <c r="N441" s="85"/>
      <c r="O441" s="85"/>
      <c r="P441" s="85"/>
      <c r="Q441" s="104" t="s">
        <v>420</v>
      </c>
      <c r="R441" s="119" t="s">
        <v>530</v>
      </c>
      <c r="S441" s="85"/>
      <c r="T441" s="104" t="s">
        <v>462</v>
      </c>
      <c r="U441" s="123"/>
      <c r="V441" s="123"/>
      <c r="W441" s="104" t="s">
        <v>470</v>
      </c>
      <c r="X441" s="85"/>
      <c r="Y441" s="123"/>
      <c r="Z441" s="130" t="str">
        <f t="shared" si="166"/>
        <v>/* 테이블 : 공통코드상세 */ CREATE TABLE TB_CMMN_CD_DETAIL (</v>
      </c>
      <c r="AA441" s="125" t="str">
        <f t="shared" si="170"/>
        <v>CD_DETAIL_VAL3 VARCHAR(2000),</v>
      </c>
      <c r="AB441" s="125" t="str">
        <f t="shared" si="163"/>
        <v/>
      </c>
      <c r="AC441" s="125" t="str">
        <f t="shared" si="164"/>
        <v/>
      </c>
      <c r="AD441" s="125" t="str">
        <f t="shared" si="169"/>
        <v/>
      </c>
      <c r="AE441" s="125" t="str">
        <f t="shared" si="167"/>
        <v/>
      </c>
      <c r="AF441" s="125" t="str">
        <f t="shared" si="168"/>
        <v>COMMENT ON COLUMN TB_CMMN_CD_DETAIL.CD_DETAIL_VAL3 IS '코드 상세값 3' ;</v>
      </c>
      <c r="AG441" s="125" t="str">
        <f t="shared" si="161"/>
        <v>ALTER TABLE TB_CMMN_CD_DETAIL ALTER COLUMN CD_DETAIL_VAL3 TYPE VARCHAR(2000);</v>
      </c>
      <c r="AH441" s="131" t="str">
        <f t="shared" si="165"/>
        <v>ALTER TABLE TB_CMMN_CD_DETAIL ADD COLUMN CD_DETAIL_VAL3 VARCHAR(2000);</v>
      </c>
      <c r="AI441" s="125" t="str">
        <f t="shared" si="162"/>
        <v>ALTER TABLE TB_CMMN_CD_DETAIL DROP COLUMN CD_DETAIL_VAL3;</v>
      </c>
    </row>
    <row r="442" spans="2:35" ht="20.100000000000001" customHeight="1">
      <c r="B442" s="135">
        <v>429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9</v>
      </c>
      <c r="H442" s="104" t="s">
        <v>447</v>
      </c>
      <c r="I442" s="104" t="s">
        <v>451</v>
      </c>
      <c r="J442" s="85"/>
      <c r="K442" s="85"/>
      <c r="L442" s="85"/>
      <c r="M442" s="85"/>
      <c r="N442" s="85"/>
      <c r="O442" s="85"/>
      <c r="P442" s="85"/>
      <c r="Q442" s="104" t="s">
        <v>420</v>
      </c>
      <c r="R442" s="119" t="s">
        <v>530</v>
      </c>
      <c r="S442" s="85"/>
      <c r="T442" s="104" t="s">
        <v>463</v>
      </c>
      <c r="U442" s="123"/>
      <c r="V442" s="123"/>
      <c r="W442" s="104" t="s">
        <v>470</v>
      </c>
      <c r="X442" s="85"/>
      <c r="Y442" s="123"/>
      <c r="Z442" s="130" t="str">
        <f t="shared" si="166"/>
        <v>/* 테이블 : 공통코드상세 */ CREATE TABLE TB_CMMN_CD_DETAIL (</v>
      </c>
      <c r="AA442" s="125" t="str">
        <f t="shared" si="170"/>
        <v>CD_DETAIL_VAL4 VARCHAR(2000),</v>
      </c>
      <c r="AB442" s="125" t="str">
        <f t="shared" si="163"/>
        <v/>
      </c>
      <c r="AC442" s="125" t="str">
        <f t="shared" si="164"/>
        <v/>
      </c>
      <c r="AD442" s="125" t="str">
        <f t="shared" si="169"/>
        <v/>
      </c>
      <c r="AE442" s="125" t="str">
        <f t="shared" si="167"/>
        <v/>
      </c>
      <c r="AF442" s="125" t="str">
        <f t="shared" si="168"/>
        <v>COMMENT ON COLUMN TB_CMMN_CD_DETAIL.CD_DETAIL_VAL4 IS '코드 상세값 4' ;</v>
      </c>
      <c r="AG442" s="125" t="str">
        <f t="shared" ref="AG442:AG473" si="171">"ALTER TABLE "&amp;$E442&amp;" ALTER COLUMN "&amp;$H442&amp;" TYPE "&amp;$Q442&amp;IF(ISBLANK(R442),"",R442)&amp;";"</f>
        <v>ALTER TABLE TB_CMMN_CD_DETAIL ALTER COLUMN CD_DETAIL_VAL4 TYPE VARCHAR(2000);</v>
      </c>
      <c r="AH442" s="131" t="str">
        <f t="shared" si="165"/>
        <v>ALTER TABLE TB_CMMN_CD_DETAIL ADD COLUMN CD_DETAIL_VAL4 VARCHAR(2000);</v>
      </c>
      <c r="AI442" s="125" t="str">
        <f t="shared" ref="AI442:AI481" si="172">"ALTER TABLE "&amp;$E442&amp;" DROP COLUMN "&amp;$H442&amp;";"</f>
        <v>ALTER TABLE TB_CMMN_CD_DETAIL DROP COLUMN CD_DETAIL_VAL4;</v>
      </c>
    </row>
    <row r="443" spans="2:35" ht="20.100000000000001" customHeight="1">
      <c r="B443" s="55">
        <v>430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10</v>
      </c>
      <c r="H443" s="104" t="s">
        <v>444</v>
      </c>
      <c r="I443" s="104" t="s">
        <v>452</v>
      </c>
      <c r="J443" s="85"/>
      <c r="K443" s="85"/>
      <c r="L443" s="85"/>
      <c r="M443" s="85"/>
      <c r="N443" s="85"/>
      <c r="O443" s="85"/>
      <c r="P443" s="85"/>
      <c r="Q443" s="104" t="s">
        <v>420</v>
      </c>
      <c r="R443" s="119" t="s">
        <v>530</v>
      </c>
      <c r="S443" s="85"/>
      <c r="T443" s="104" t="s">
        <v>464</v>
      </c>
      <c r="U443" s="123"/>
      <c r="V443" s="123"/>
      <c r="W443" s="104" t="s">
        <v>470</v>
      </c>
      <c r="X443" s="85"/>
      <c r="Y443" s="123"/>
      <c r="Z443" s="130" t="str">
        <f t="shared" si="166"/>
        <v>/* 테이블 : 공통코드상세 */ CREATE TABLE TB_CMMN_CD_DETAIL (</v>
      </c>
      <c r="AA443" s="125" t="str">
        <f t="shared" si="170"/>
        <v>CD_DETAIL_VAL5 VARCHAR(2000),</v>
      </c>
      <c r="AB443" s="125" t="str">
        <f t="shared" si="163"/>
        <v/>
      </c>
      <c r="AC443" s="125" t="str">
        <f t="shared" si="164"/>
        <v/>
      </c>
      <c r="AD443" s="125" t="str">
        <f t="shared" si="169"/>
        <v/>
      </c>
      <c r="AE443" s="125" t="str">
        <f t="shared" si="167"/>
        <v/>
      </c>
      <c r="AF443" s="125" t="str">
        <f t="shared" si="168"/>
        <v>COMMENT ON COLUMN TB_CMMN_CD_DETAIL.CD_DETAIL_VAL5 IS '코드 상세값 5' ;</v>
      </c>
      <c r="AG443" s="125" t="str">
        <f t="shared" si="171"/>
        <v>ALTER TABLE TB_CMMN_CD_DETAIL ALTER COLUMN CD_DETAIL_VAL5 TYPE VARCHAR(2000);</v>
      </c>
      <c r="AH443" s="131" t="str">
        <f t="shared" si="165"/>
        <v>ALTER TABLE TB_CMMN_CD_DETAIL ADD COLUMN CD_DETAIL_VAL5 VARCHAR(2000);</v>
      </c>
      <c r="AI443" s="125" t="str">
        <f t="shared" si="172"/>
        <v>ALTER TABLE TB_CMMN_CD_DETAIL DROP COLUMN CD_DETAIL_VAL5;</v>
      </c>
    </row>
    <row r="444" spans="2:35" ht="20.100000000000001" customHeight="1">
      <c r="B444" s="55">
        <v>431</v>
      </c>
      <c r="C444" s="26" t="s">
        <v>7</v>
      </c>
      <c r="D444" s="26" t="s">
        <v>19</v>
      </c>
      <c r="E444" s="10" t="s">
        <v>424</v>
      </c>
      <c r="F444" s="10" t="s">
        <v>425</v>
      </c>
      <c r="G444" s="87">
        <v>11</v>
      </c>
      <c r="H444" s="104" t="s">
        <v>437</v>
      </c>
      <c r="I444" s="104" t="s">
        <v>431</v>
      </c>
      <c r="J444" s="85"/>
      <c r="K444" s="85"/>
      <c r="L444" s="85"/>
      <c r="M444" s="85"/>
      <c r="N444" s="85"/>
      <c r="O444" s="85"/>
      <c r="P444" s="85"/>
      <c r="Q444" s="104" t="s">
        <v>171</v>
      </c>
      <c r="R444" s="87"/>
      <c r="S444" s="85"/>
      <c r="T444" s="104" t="s">
        <v>431</v>
      </c>
      <c r="U444" s="123"/>
      <c r="V444" s="123"/>
      <c r="W444" s="104"/>
      <c r="X444" s="85"/>
      <c r="Y444" s="123"/>
      <c r="Z444" s="130" t="str">
        <f t="shared" si="166"/>
        <v>/* 테이블 : 공통코드상세 */ CREATE TABLE TB_CMMN_CD_DETAIL (</v>
      </c>
      <c r="AA444" s="125" t="str">
        <f t="shared" si="170"/>
        <v>REMARK TEXT,</v>
      </c>
      <c r="AB444" s="125" t="str">
        <f t="shared" si="163"/>
        <v/>
      </c>
      <c r="AC444" s="125" t="str">
        <f t="shared" si="164"/>
        <v/>
      </c>
      <c r="AD444" s="125" t="str">
        <f t="shared" si="169"/>
        <v/>
      </c>
      <c r="AE444" s="125" t="str">
        <f t="shared" si="167"/>
        <v/>
      </c>
      <c r="AF444" s="125" t="str">
        <f t="shared" si="168"/>
        <v>COMMENT ON COLUMN TB_CMMN_CD_DETAIL.REMARK IS '비고' ;</v>
      </c>
      <c r="AG444" s="125" t="str">
        <f t="shared" si="171"/>
        <v>ALTER TABLE TB_CMMN_CD_DETAIL ALTER COLUMN REMARK TYPE TEXT;</v>
      </c>
      <c r="AH444" s="131" t="str">
        <f t="shared" si="165"/>
        <v>ALTER TABLE TB_CMMN_CD_DETAIL ADD COLUMN REMARK TEXT;</v>
      </c>
      <c r="AI444" s="125" t="str">
        <f t="shared" si="172"/>
        <v>ALTER TABLE TB_CMMN_CD_DETAIL DROP COLUMN REMARK;</v>
      </c>
    </row>
    <row r="445" spans="2:35" ht="20.100000000000001" customHeight="1">
      <c r="B445" s="55">
        <v>432</v>
      </c>
      <c r="C445" s="26" t="s">
        <v>7</v>
      </c>
      <c r="D445" s="26" t="s">
        <v>19</v>
      </c>
      <c r="E445" s="10" t="s">
        <v>424</v>
      </c>
      <c r="F445" s="10" t="s">
        <v>425</v>
      </c>
      <c r="G445" s="87">
        <v>12</v>
      </c>
      <c r="H445" s="104" t="s">
        <v>408</v>
      </c>
      <c r="I445" s="104" t="s">
        <v>429</v>
      </c>
      <c r="J445" s="85" t="s">
        <v>418</v>
      </c>
      <c r="K445" s="85"/>
      <c r="L445" s="85"/>
      <c r="M445" s="85"/>
      <c r="N445" s="85"/>
      <c r="O445" s="85"/>
      <c r="P445" s="85"/>
      <c r="Q445" s="51" t="s">
        <v>800</v>
      </c>
      <c r="R445" s="119" t="s">
        <v>522</v>
      </c>
      <c r="S445" s="85"/>
      <c r="T445" s="104" t="s">
        <v>465</v>
      </c>
      <c r="U445" s="123"/>
      <c r="V445" s="123"/>
      <c r="W445" s="104"/>
      <c r="X445" s="85"/>
      <c r="Y445" s="123"/>
      <c r="Z445" s="130" t="str">
        <f t="shared" si="166"/>
        <v>/* 테이블 : 공통코드상세 */ CREATE TABLE TB_CMMN_CD_DETAIL (</v>
      </c>
      <c r="AA445" s="125" t="str">
        <f t="shared" si="170"/>
        <v>USE_YN BPCHAR(1) NOT NULL,</v>
      </c>
      <c r="AB445" s="125" t="str">
        <f t="shared" si="163"/>
        <v/>
      </c>
      <c r="AC445" s="125" t="str">
        <f t="shared" si="164"/>
        <v/>
      </c>
      <c r="AD445" s="125" t="str">
        <f t="shared" si="169"/>
        <v/>
      </c>
      <c r="AE445" s="125" t="str">
        <f t="shared" si="167"/>
        <v/>
      </c>
      <c r="AF445" s="125" t="str">
        <f t="shared" si="168"/>
        <v>COMMENT ON COLUMN TB_CMMN_CD_DETAIL.USE_YN IS '사용 여부' ;</v>
      </c>
      <c r="AG445" s="125" t="str">
        <f t="shared" si="171"/>
        <v>ALTER TABLE TB_CMMN_CD_DETAIL ALTER COLUMN USE_YN TYPE BPCHAR(1);</v>
      </c>
      <c r="AH445" s="131" t="str">
        <f t="shared" si="165"/>
        <v>ALTER TABLE TB_CMMN_CD_DETAIL ADD COLUMN USE_YN BPCHAR(1) NOT NULL;</v>
      </c>
      <c r="AI445" s="125" t="str">
        <f t="shared" si="172"/>
        <v>ALTER TABLE TB_CMMN_CD_DETAIL DROP COLUMN USE_YN;</v>
      </c>
    </row>
    <row r="446" spans="2:35" ht="20.100000000000001" customHeight="1">
      <c r="B446" s="135">
        <v>433</v>
      </c>
      <c r="C446" s="26" t="s">
        <v>7</v>
      </c>
      <c r="D446" s="26" t="s">
        <v>19</v>
      </c>
      <c r="E446" s="10" t="s">
        <v>424</v>
      </c>
      <c r="F446" s="10" t="s">
        <v>425</v>
      </c>
      <c r="G446" s="87">
        <v>13</v>
      </c>
      <c r="H446" s="97" t="s">
        <v>107</v>
      </c>
      <c r="I446" s="51" t="s">
        <v>76</v>
      </c>
      <c r="J446" s="73" t="s">
        <v>72</v>
      </c>
      <c r="K446" s="67"/>
      <c r="L446" s="67"/>
      <c r="M446" s="77"/>
      <c r="N446" s="77"/>
      <c r="O446" s="77"/>
      <c r="P446" s="77"/>
      <c r="Q446" s="100" t="s">
        <v>521</v>
      </c>
      <c r="R446" s="119" t="s">
        <v>526</v>
      </c>
      <c r="S446" s="80"/>
      <c r="T446" s="107" t="s">
        <v>219</v>
      </c>
      <c r="U446" s="123"/>
      <c r="V446" s="123"/>
      <c r="W446" s="116" t="s">
        <v>496</v>
      </c>
      <c r="X446" s="85"/>
      <c r="Y446" s="123"/>
      <c r="Z446" s="130" t="str">
        <f t="shared" si="166"/>
        <v>/* 테이블 : 공통코드상세 */ CREATE TABLE TB_CMMN_CD_DETAIL (</v>
      </c>
      <c r="AA446" s="125" t="str">
        <f t="shared" si="170"/>
        <v>REGISTER_ID VARCHAR(50) NOT NULL,</v>
      </c>
      <c r="AB446" s="125" t="str">
        <f t="shared" si="163"/>
        <v/>
      </c>
      <c r="AC446" s="125" t="str">
        <f t="shared" si="164"/>
        <v/>
      </c>
      <c r="AD446" s="125" t="str">
        <f t="shared" si="169"/>
        <v/>
      </c>
      <c r="AE446" s="125" t="str">
        <f t="shared" si="167"/>
        <v/>
      </c>
      <c r="AF446" s="125" t="str">
        <f t="shared" si="168"/>
        <v>COMMENT ON COLUMN TB_CMMN_CD_DETAIL.REGISTER_ID IS '등록자 ID' ;</v>
      </c>
      <c r="AG446" s="125" t="str">
        <f t="shared" si="171"/>
        <v>ALTER TABLE TB_CMMN_CD_DETAIL ALTER COLUMN REGISTER_ID TYPE VARCHAR(50);</v>
      </c>
      <c r="AH446" s="131" t="str">
        <f t="shared" si="165"/>
        <v>ALTER TABLE TB_CMMN_CD_DETAIL ADD COLUMN REGISTER_ID VARCHAR(50) NOT NULL;</v>
      </c>
      <c r="AI446" s="125" t="str">
        <f t="shared" si="172"/>
        <v>ALTER TABLE TB_CMMN_CD_DETAIL DROP COLUMN REGISTER_ID;</v>
      </c>
    </row>
    <row r="447" spans="2:35" ht="20.100000000000001" customHeight="1">
      <c r="B447" s="55">
        <v>434</v>
      </c>
      <c r="C447" s="26" t="s">
        <v>7</v>
      </c>
      <c r="D447" s="26" t="s">
        <v>19</v>
      </c>
      <c r="E447" s="10" t="s">
        <v>424</v>
      </c>
      <c r="F447" s="10" t="s">
        <v>425</v>
      </c>
      <c r="G447" s="87">
        <v>14</v>
      </c>
      <c r="H447" s="97" t="s">
        <v>91</v>
      </c>
      <c r="I447" s="51" t="s">
        <v>77</v>
      </c>
      <c r="J447" s="73" t="s">
        <v>72</v>
      </c>
      <c r="K447" s="52"/>
      <c r="L447" s="52"/>
      <c r="M447" s="52"/>
      <c r="N447" s="52"/>
      <c r="O447" s="52"/>
      <c r="P447" s="52"/>
      <c r="Q447" s="56" t="s">
        <v>106</v>
      </c>
      <c r="R447" s="120" t="s">
        <v>527</v>
      </c>
      <c r="S447" s="80"/>
      <c r="T447" s="107" t="s">
        <v>218</v>
      </c>
      <c r="U447" s="123"/>
      <c r="V447" s="123"/>
      <c r="W447" s="104"/>
      <c r="X447" s="85"/>
      <c r="Y447" s="123"/>
      <c r="Z447" s="130" t="str">
        <f t="shared" si="166"/>
        <v>/* 테이블 : 공통코드상세 */ CREATE TABLE TB_CMMN_CD_DETAIL (</v>
      </c>
      <c r="AA447" s="125" t="str">
        <f t="shared" si="170"/>
        <v>REGISTER_IP VARCHAR(100) NOT NULL,</v>
      </c>
      <c r="AB447" s="125" t="str">
        <f t="shared" ref="AB447:AB473" si="173">IF(ISBLANK(L447),"","ALTER TABLE " &amp; E447 &amp; " ADD CONSTRAINT " &amp; E447 &amp; "_FKEY" &amp; L447 &amp;  " FOREIGN KEY(" &amp;H447 &amp; ") REFERENCES " &amp; M447 &amp; "(" &amp; N447 &amp; ") "&amp;O447&amp;" "&amp;P447&amp;";")</f>
        <v/>
      </c>
      <c r="AC447" s="125" t="str">
        <f t="shared" ref="AC447:AC473" si="174">IF(ISBLANK(U447),"","CREATE SEQUENCE "&amp;U447&amp;" START 100000;")</f>
        <v/>
      </c>
      <c r="AD447" s="125" t="str">
        <f t="shared" si="169"/>
        <v/>
      </c>
      <c r="AE447" s="125" t="str">
        <f t="shared" si="167"/>
        <v/>
      </c>
      <c r="AF447" s="125" t="str">
        <f t="shared" si="168"/>
        <v>COMMENT ON COLUMN TB_CMMN_CD_DETAIL.REGISTER_IP IS '등록자 IP' ;</v>
      </c>
      <c r="AG447" s="125" t="str">
        <f t="shared" si="171"/>
        <v>ALTER TABLE TB_CMMN_CD_DETAIL ALTER COLUMN REGISTER_IP TYPE VARCHAR(100);</v>
      </c>
      <c r="AH447" s="131" t="str">
        <f t="shared" si="165"/>
        <v>ALTER TABLE TB_CMMN_CD_DETAIL ADD COLUMN REGISTER_IP VARCHAR(100) NOT NULL;</v>
      </c>
      <c r="AI447" s="125" t="str">
        <f t="shared" si="172"/>
        <v>ALTER TABLE TB_CMMN_CD_DETAIL DROP COLUMN REGISTER_IP;</v>
      </c>
    </row>
    <row r="448" spans="2:35" ht="20.100000000000001" customHeight="1">
      <c r="B448" s="55">
        <v>435</v>
      </c>
      <c r="C448" s="26" t="s">
        <v>7</v>
      </c>
      <c r="D448" s="26" t="s">
        <v>19</v>
      </c>
      <c r="E448" s="10" t="s">
        <v>424</v>
      </c>
      <c r="F448" s="10" t="s">
        <v>425</v>
      </c>
      <c r="G448" s="87">
        <v>15</v>
      </c>
      <c r="H448" s="97" t="s">
        <v>92</v>
      </c>
      <c r="I448" s="96" t="s">
        <v>78</v>
      </c>
      <c r="J448" s="73" t="s">
        <v>72</v>
      </c>
      <c r="K448" s="52"/>
      <c r="L448" s="52"/>
      <c r="M448" s="52"/>
      <c r="N448" s="52"/>
      <c r="O448" s="52"/>
      <c r="P448" s="52"/>
      <c r="Q448" s="51" t="s">
        <v>702</v>
      </c>
      <c r="R448" s="120"/>
      <c r="S448" s="80"/>
      <c r="T448" s="107" t="s">
        <v>217</v>
      </c>
      <c r="U448" s="123"/>
      <c r="V448" s="123"/>
      <c r="W448" s="104"/>
      <c r="X448" s="85"/>
      <c r="Y448" s="123"/>
      <c r="Z448" s="130" t="str">
        <f t="shared" si="166"/>
        <v>/* 테이블 : 공통코드상세 */ CREATE TABLE TB_CMMN_CD_DETAIL (</v>
      </c>
      <c r="AA448" s="125" t="str">
        <f t="shared" si="170"/>
        <v>REG_DT TIMESTAMP NOT NULL,</v>
      </c>
      <c r="AB448" s="125" t="str">
        <f t="shared" si="173"/>
        <v/>
      </c>
      <c r="AC448" s="125" t="str">
        <f t="shared" si="174"/>
        <v/>
      </c>
      <c r="AD448" s="125" t="str">
        <f t="shared" si="169"/>
        <v/>
      </c>
      <c r="AE448" s="125" t="str">
        <f t="shared" si="167"/>
        <v/>
      </c>
      <c r="AF448" s="125" t="str">
        <f t="shared" si="168"/>
        <v>COMMENT ON COLUMN TB_CMMN_CD_DETAIL.REG_DT IS '등록 일시' ;</v>
      </c>
      <c r="AG448" s="125" t="str">
        <f t="shared" si="171"/>
        <v>ALTER TABLE TB_CMMN_CD_DETAIL ALTER COLUMN REG_DT TYPE TIMESTAMP;</v>
      </c>
      <c r="AH448" s="131" t="str">
        <f t="shared" si="165"/>
        <v>ALTER TABLE TB_CMMN_CD_DETAIL ADD COLUMN REG_DT TIMESTAMP NOT NULL;</v>
      </c>
      <c r="AI448" s="125" t="str">
        <f t="shared" si="172"/>
        <v>ALTER TABLE TB_CMMN_CD_DETAIL DROP COLUMN REG_DT;</v>
      </c>
    </row>
    <row r="449" spans="2:35" ht="20.100000000000001" customHeight="1">
      <c r="B449" s="55">
        <v>436</v>
      </c>
      <c r="C449" s="26" t="s">
        <v>7</v>
      </c>
      <c r="D449" s="26" t="s">
        <v>19</v>
      </c>
      <c r="E449" s="10" t="s">
        <v>424</v>
      </c>
      <c r="F449" s="10" t="s">
        <v>425</v>
      </c>
      <c r="G449" s="87">
        <v>16</v>
      </c>
      <c r="H449" s="97" t="s">
        <v>93</v>
      </c>
      <c r="I449" s="96" t="s">
        <v>80</v>
      </c>
      <c r="J449" s="52"/>
      <c r="K449" s="52"/>
      <c r="L449" s="52"/>
      <c r="M449" s="79"/>
      <c r="N449" s="79"/>
      <c r="O449" s="79"/>
      <c r="P449" s="79"/>
      <c r="Q449" s="100" t="s">
        <v>521</v>
      </c>
      <c r="R449" s="119" t="s">
        <v>526</v>
      </c>
      <c r="S449" s="80"/>
      <c r="T449" s="107" t="s">
        <v>216</v>
      </c>
      <c r="U449" s="123"/>
      <c r="V449" s="123"/>
      <c r="W449" s="116" t="s">
        <v>496</v>
      </c>
      <c r="X449" s="85"/>
      <c r="Y449" s="123"/>
      <c r="Z449" s="130" t="str">
        <f t="shared" si="166"/>
        <v>/* 테이블 : 공통코드상세 */ CREATE TABLE TB_CMMN_CD_DETAIL (</v>
      </c>
      <c r="AA449" s="125" t="str">
        <f t="shared" si="170"/>
        <v>UPDUSR_ID VARCHAR(50),</v>
      </c>
      <c r="AB449" s="125" t="str">
        <f t="shared" si="173"/>
        <v/>
      </c>
      <c r="AC449" s="125" t="str">
        <f t="shared" si="174"/>
        <v/>
      </c>
      <c r="AD449" s="125" t="str">
        <f t="shared" si="169"/>
        <v/>
      </c>
      <c r="AE449" s="125" t="str">
        <f t="shared" si="167"/>
        <v/>
      </c>
      <c r="AF449" s="125" t="str">
        <f t="shared" si="168"/>
        <v>COMMENT ON COLUMN TB_CMMN_CD_DETAIL.UPDUSR_ID IS '수정자 ID' ;</v>
      </c>
      <c r="AG449" s="125" t="str">
        <f t="shared" si="171"/>
        <v>ALTER TABLE TB_CMMN_CD_DETAIL ALTER COLUMN UPDUSR_ID TYPE VARCHAR(50);</v>
      </c>
      <c r="AH449" s="131" t="str">
        <f t="shared" si="165"/>
        <v>ALTER TABLE TB_CMMN_CD_DETAIL ADD COLUMN UPDUSR_ID VARCHAR(50);</v>
      </c>
      <c r="AI449" s="125" t="str">
        <f t="shared" si="172"/>
        <v>ALTER TABLE TB_CMMN_CD_DETAIL DROP COLUMN UPDUSR_ID;</v>
      </c>
    </row>
    <row r="450" spans="2:35" ht="20.100000000000001" customHeight="1">
      <c r="B450" s="135">
        <v>437</v>
      </c>
      <c r="C450" s="26" t="s">
        <v>7</v>
      </c>
      <c r="D450" s="26" t="s">
        <v>19</v>
      </c>
      <c r="E450" s="10" t="s">
        <v>424</v>
      </c>
      <c r="F450" s="10" t="s">
        <v>425</v>
      </c>
      <c r="G450" s="87">
        <v>17</v>
      </c>
      <c r="H450" s="97" t="s">
        <v>94</v>
      </c>
      <c r="I450" s="96" t="s">
        <v>79</v>
      </c>
      <c r="J450" s="52"/>
      <c r="K450" s="52"/>
      <c r="L450" s="52"/>
      <c r="M450" s="52"/>
      <c r="N450" s="52"/>
      <c r="O450" s="52"/>
      <c r="P450" s="52"/>
      <c r="Q450" s="56" t="s">
        <v>106</v>
      </c>
      <c r="R450" s="120" t="s">
        <v>527</v>
      </c>
      <c r="S450" s="80"/>
      <c r="T450" s="107" t="s">
        <v>215</v>
      </c>
      <c r="U450" s="123"/>
      <c r="V450" s="123"/>
      <c r="W450" s="104"/>
      <c r="X450" s="85"/>
      <c r="Y450" s="123"/>
      <c r="Z450" s="130" t="str">
        <f t="shared" si="166"/>
        <v>/* 테이블 : 공통코드상세 */ CREATE TABLE TB_CMMN_CD_DETAIL (</v>
      </c>
      <c r="AA450" s="125" t="str">
        <f t="shared" si="170"/>
        <v>UPDUSR_IP VARCHAR(100),</v>
      </c>
      <c r="AB450" s="125" t="str">
        <f t="shared" si="173"/>
        <v/>
      </c>
      <c r="AC450" s="125" t="str">
        <f t="shared" si="174"/>
        <v/>
      </c>
      <c r="AD450" s="125" t="str">
        <f t="shared" si="169"/>
        <v/>
      </c>
      <c r="AE450" s="125" t="str">
        <f t="shared" si="167"/>
        <v/>
      </c>
      <c r="AF450" s="125" t="str">
        <f t="shared" si="168"/>
        <v>COMMENT ON COLUMN TB_CMMN_CD_DETAIL.UPDUSR_IP IS '수정자 IP' ;</v>
      </c>
      <c r="AG450" s="125" t="str">
        <f t="shared" si="171"/>
        <v>ALTER TABLE TB_CMMN_CD_DETAIL ALTER COLUMN UPDUSR_IP TYPE VARCHAR(100);</v>
      </c>
      <c r="AH450" s="131" t="str">
        <f t="shared" si="165"/>
        <v>ALTER TABLE TB_CMMN_CD_DETAIL ADD COLUMN UPDUSR_IP VARCHAR(100);</v>
      </c>
      <c r="AI450" s="125" t="str">
        <f t="shared" si="172"/>
        <v>ALTER TABLE TB_CMMN_CD_DETAIL DROP COLUMN UPDUSR_IP;</v>
      </c>
    </row>
    <row r="451" spans="2:35" ht="20.100000000000001" customHeight="1">
      <c r="B451" s="55">
        <v>438</v>
      </c>
      <c r="C451" s="26" t="s">
        <v>7</v>
      </c>
      <c r="D451" s="26" t="s">
        <v>19</v>
      </c>
      <c r="E451" s="10" t="s">
        <v>424</v>
      </c>
      <c r="F451" s="10" t="s">
        <v>425</v>
      </c>
      <c r="G451" s="87">
        <v>18</v>
      </c>
      <c r="H451" s="98" t="s">
        <v>95</v>
      </c>
      <c r="I451" s="97" t="s">
        <v>81</v>
      </c>
      <c r="J451" s="61"/>
      <c r="K451" s="61"/>
      <c r="L451" s="61"/>
      <c r="M451" s="61"/>
      <c r="N451" s="61"/>
      <c r="O451" s="61"/>
      <c r="P451" s="61"/>
      <c r="Q451" s="51" t="s">
        <v>702</v>
      </c>
      <c r="R451" s="120"/>
      <c r="S451" s="77"/>
      <c r="T451" s="107" t="s">
        <v>214</v>
      </c>
      <c r="U451" s="123"/>
      <c r="V451" s="123"/>
      <c r="W451" s="104"/>
      <c r="X451" s="85"/>
      <c r="Y451" s="123"/>
      <c r="Z451" s="130" t="str">
        <f t="shared" si="166"/>
        <v>/* 테이블 : 공통코드상세 */ CREATE TABLE TB_CMMN_CD_DETAIL (</v>
      </c>
      <c r="AA451" s="125" t="str">
        <f t="shared" si="170"/>
        <v>UPDT_DT TIMESTAMP,</v>
      </c>
      <c r="AB451" s="125" t="str">
        <f t="shared" si="173"/>
        <v/>
      </c>
      <c r="AC451" s="125" t="str">
        <f t="shared" si="174"/>
        <v/>
      </c>
      <c r="AD451" s="125" t="str">
        <f t="shared" si="169"/>
        <v/>
      </c>
      <c r="AE451" s="125" t="str">
        <f t="shared" si="167"/>
        <v/>
      </c>
      <c r="AF451" s="125" t="str">
        <f t="shared" si="168"/>
        <v>COMMENT ON COLUMN TB_CMMN_CD_DETAIL.UPDT_DT IS '수정 일시' ;</v>
      </c>
      <c r="AG451" s="125" t="str">
        <f t="shared" si="171"/>
        <v>ALTER TABLE TB_CMMN_CD_DETAIL ALTER COLUMN UPDT_DT TYPE TIMESTAMP;</v>
      </c>
      <c r="AH451" s="131" t="str">
        <f t="shared" si="165"/>
        <v>ALTER TABLE TB_CMMN_CD_DETAIL ADD COLUMN UPDT_DT TIMESTAMP;</v>
      </c>
      <c r="AI451" s="125" t="str">
        <f t="shared" si="172"/>
        <v>ALTER TABLE TB_CMMN_CD_DETAIL DROP COLUMN UPDT_DT;</v>
      </c>
    </row>
    <row r="452" spans="2:35" ht="20.100000000000001" customHeight="1">
      <c r="B452" s="55">
        <v>439</v>
      </c>
      <c r="C452" s="26" t="s">
        <v>7</v>
      </c>
      <c r="D452" s="26" t="s">
        <v>19</v>
      </c>
      <c r="E452" s="10" t="s">
        <v>424</v>
      </c>
      <c r="F452" s="10" t="s">
        <v>425</v>
      </c>
      <c r="G452" s="87">
        <v>19</v>
      </c>
      <c r="H452" s="97" t="s">
        <v>96</v>
      </c>
      <c r="I452" s="97" t="s">
        <v>82</v>
      </c>
      <c r="J452" s="73" t="s">
        <v>72</v>
      </c>
      <c r="K452" s="61"/>
      <c r="L452" s="61"/>
      <c r="M452" s="61"/>
      <c r="N452" s="61"/>
      <c r="O452" s="61"/>
      <c r="P452" s="61"/>
      <c r="Q452" s="51" t="s">
        <v>800</v>
      </c>
      <c r="R452" s="120" t="s">
        <v>522</v>
      </c>
      <c r="S452" s="82" t="s">
        <v>799</v>
      </c>
      <c r="T452" s="107" t="s">
        <v>213</v>
      </c>
      <c r="U452" s="123"/>
      <c r="V452" s="123"/>
      <c r="W452" s="104"/>
      <c r="X452" s="85"/>
      <c r="Y452" s="123"/>
      <c r="Z452" s="130" t="str">
        <f t="shared" si="166"/>
        <v>/* 테이블 : 공통코드상세 */ CREATE TABLE TB_CMMN_CD_DETAIL (</v>
      </c>
      <c r="AA452" s="125" t="str">
        <f t="shared" si="170"/>
        <v>DEL_YN BPCHAR(1) NOT NULL,</v>
      </c>
      <c r="AB452" s="125" t="str">
        <f t="shared" si="173"/>
        <v/>
      </c>
      <c r="AC452" s="125" t="str">
        <f t="shared" si="174"/>
        <v/>
      </c>
      <c r="AD452" s="125" t="str">
        <f t="shared" si="169"/>
        <v/>
      </c>
      <c r="AE452" s="125" t="str">
        <f t="shared" si="167"/>
        <v>ALTER TABLE TB_CMMN_CD_DETAIL ALTER COLUMN DEL_YN SET DEFAULT 'N'::bpchar;</v>
      </c>
      <c r="AF452" s="125" t="str">
        <f t="shared" si="168"/>
        <v>COMMENT ON COLUMN TB_CMMN_CD_DETAIL.DEL_YN IS '삭제 여부' ;</v>
      </c>
      <c r="AG452" s="125" t="str">
        <f t="shared" si="171"/>
        <v>ALTER TABLE TB_CMMN_CD_DETAIL ALTER COLUMN DEL_YN TYPE BPCHAR(1);</v>
      </c>
      <c r="AH452" s="131" t="str">
        <f t="shared" si="165"/>
        <v>ALTER TABLE TB_CMMN_CD_DETAIL ADD COLUMN DEL_YN BPCHAR(1) NOT NULL DEFAULT 'N'::bpchar;</v>
      </c>
      <c r="AI452" s="125" t="str">
        <f t="shared" si="172"/>
        <v>ALTER TABLE TB_CMMN_CD_DETAIL DROP COLUMN DEL_YN;</v>
      </c>
    </row>
    <row r="453" spans="2:35" ht="20.100000000000001" customHeight="1">
      <c r="B453" s="55">
        <v>440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1</v>
      </c>
      <c r="H453" s="104" t="s">
        <v>481</v>
      </c>
      <c r="I453" s="104" t="s">
        <v>478</v>
      </c>
      <c r="J453" s="85" t="s">
        <v>418</v>
      </c>
      <c r="K453" s="85">
        <v>1</v>
      </c>
      <c r="L453" s="85"/>
      <c r="M453" s="85"/>
      <c r="N453" s="85"/>
      <c r="O453" s="85"/>
      <c r="P453" s="85"/>
      <c r="Q453" s="104" t="s">
        <v>229</v>
      </c>
      <c r="R453" s="87"/>
      <c r="S453" s="85"/>
      <c r="T453" s="104" t="s">
        <v>504</v>
      </c>
      <c r="U453" s="125" t="str">
        <f>"SEQ_"&amp;E453&amp;"_SN"</f>
        <v>SEQ_TB_BANNER_SN</v>
      </c>
      <c r="V453" s="125"/>
      <c r="W453" s="104"/>
      <c r="X453" s="85"/>
      <c r="Y453" s="123"/>
      <c r="Z453" s="130" t="str">
        <f t="shared" si="166"/>
        <v>/* 테이블 : 배너 */ CREATE TABLE TB_BANNER (</v>
      </c>
      <c r="AA453" s="125" t="str">
        <f t="shared" si="170"/>
        <v>BANNER_SN INTEGER PRIMARY KEY,</v>
      </c>
      <c r="AB453" s="125" t="str">
        <f t="shared" si="173"/>
        <v/>
      </c>
      <c r="AC453" s="125" t="str">
        <f t="shared" si="174"/>
        <v>CREATE SEQUENCE SEQ_TB_BANNER_SN START 100000;</v>
      </c>
      <c r="AD453" s="125" t="str">
        <f t="shared" si="169"/>
        <v>ALTER TABLE TB_BANNER ALTER COLUMN BANNER_SN SET DEFAULT NEXTVAL('SEQ_TB_BANNER_SN');</v>
      </c>
      <c r="AE453" s="125" t="str">
        <f t="shared" si="167"/>
        <v/>
      </c>
      <c r="AF453" s="125" t="str">
        <f t="shared" si="168"/>
        <v>COMMENT ON COLUMN TB_BANNER.BANNER_SN IS '배너 일련번호' ;</v>
      </c>
      <c r="AG453" s="125" t="str">
        <f t="shared" si="171"/>
        <v>ALTER TABLE TB_BANNER ALTER COLUMN BANNER_SN TYPE INTEGER;</v>
      </c>
      <c r="AH453" s="131" t="str">
        <f t="shared" si="165"/>
        <v>ALTER TABLE TB_BANNER ADD COLUMN BANNER_SN INTEGER NOT NULL;</v>
      </c>
      <c r="AI453" s="125" t="str">
        <f t="shared" si="172"/>
        <v>ALTER TABLE TB_BANNER DROP COLUMN BANNER_SN;</v>
      </c>
    </row>
    <row r="454" spans="2:35" ht="20.100000000000001" customHeight="1">
      <c r="B454" s="135">
        <v>441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2</v>
      </c>
      <c r="H454" s="104" t="s">
        <v>482</v>
      </c>
      <c r="I454" s="104" t="s">
        <v>479</v>
      </c>
      <c r="J454" s="85" t="s">
        <v>418</v>
      </c>
      <c r="K454" s="85"/>
      <c r="L454" s="85"/>
      <c r="M454" s="85"/>
      <c r="N454" s="85"/>
      <c r="O454" s="85"/>
      <c r="P454" s="85"/>
      <c r="Q454" s="104" t="s">
        <v>420</v>
      </c>
      <c r="R454" s="119" t="s">
        <v>526</v>
      </c>
      <c r="S454" s="85"/>
      <c r="T454" s="104" t="s">
        <v>505</v>
      </c>
      <c r="U454" s="123"/>
      <c r="V454" s="123"/>
      <c r="W454" s="104" t="s">
        <v>507</v>
      </c>
      <c r="X454" s="85"/>
      <c r="Y454" s="123"/>
      <c r="Z454" s="130" t="str">
        <f t="shared" si="166"/>
        <v>/* 테이블 : 배너 */ CREATE TABLE TB_BANNER (</v>
      </c>
      <c r="AA454" s="125" t="str">
        <f t="shared" si="170"/>
        <v>BANNER_CL_CD VARCHAR(50) NOT NULL,</v>
      </c>
      <c r="AB454" s="125" t="str">
        <f t="shared" si="173"/>
        <v/>
      </c>
      <c r="AC454" s="125" t="str">
        <f t="shared" si="174"/>
        <v/>
      </c>
      <c r="AD454" s="125" t="str">
        <f t="shared" si="169"/>
        <v/>
      </c>
      <c r="AE454" s="125" t="str">
        <f t="shared" si="167"/>
        <v/>
      </c>
      <c r="AF454" s="125" t="str">
        <f t="shared" si="168"/>
        <v>COMMENT ON COLUMN TB_BANNER.BANNER_CL_CD IS '배너 분류 코드' ;</v>
      </c>
      <c r="AG454" s="125" t="str">
        <f t="shared" si="171"/>
        <v>ALTER TABLE TB_BANNER ALTER COLUMN BANNER_CL_CD TYPE VARCHAR(50);</v>
      </c>
      <c r="AH454" s="131" t="str">
        <f t="shared" si="165"/>
        <v>ALTER TABLE TB_BANNER ADD COLUMN BANNER_CL_CD VARCHAR(50) NOT NULL;</v>
      </c>
      <c r="AI454" s="125" t="str">
        <f t="shared" si="172"/>
        <v>ALTER TABLE TB_BANNER DROP COLUMN BANNER_CL_CD;</v>
      </c>
    </row>
    <row r="455" spans="2:35" ht="20.100000000000001" customHeight="1">
      <c r="B455" s="55">
        <v>442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3</v>
      </c>
      <c r="H455" s="104" t="s">
        <v>483</v>
      </c>
      <c r="I455" s="104" t="s">
        <v>484</v>
      </c>
      <c r="J455" s="85"/>
      <c r="K455" s="85"/>
      <c r="L455" s="85"/>
      <c r="M455" s="85"/>
      <c r="N455" s="85"/>
      <c r="O455" s="85"/>
      <c r="P455" s="85"/>
      <c r="Q455" s="104" t="s">
        <v>420</v>
      </c>
      <c r="R455" s="119" t="s">
        <v>526</v>
      </c>
      <c r="S455" s="85"/>
      <c r="T455" s="104" t="s">
        <v>506</v>
      </c>
      <c r="U455" s="123"/>
      <c r="V455" s="123"/>
      <c r="W455" s="104" t="s">
        <v>763</v>
      </c>
      <c r="X455" s="85"/>
      <c r="Y455" s="123"/>
      <c r="Z455" s="130" t="str">
        <f t="shared" si="166"/>
        <v>/* 테이블 : 배너 */ CREATE TABLE TB_BANNER (</v>
      </c>
      <c r="AA455" s="125" t="str">
        <f t="shared" si="170"/>
        <v>BANNER_CL_DETAIL_CD VARCHAR(50),</v>
      </c>
      <c r="AB455" s="125" t="str">
        <f t="shared" si="173"/>
        <v/>
      </c>
      <c r="AC455" s="125" t="str">
        <f t="shared" si="174"/>
        <v/>
      </c>
      <c r="AD455" s="125" t="str">
        <f t="shared" si="169"/>
        <v/>
      </c>
      <c r="AE455" s="125" t="str">
        <f t="shared" si="167"/>
        <v/>
      </c>
      <c r="AF455" s="125" t="str">
        <f t="shared" si="168"/>
        <v>COMMENT ON COLUMN TB_BANNER.BANNER_CL_DETAIL_CD IS '배너 분류 상세 코드' ;</v>
      </c>
      <c r="AG455" s="125" t="str">
        <f t="shared" si="171"/>
        <v>ALTER TABLE TB_BANNER ALTER COLUMN BANNER_CL_DETAIL_CD TYPE VARCHAR(50);</v>
      </c>
      <c r="AH455" s="131" t="str">
        <f t="shared" si="165"/>
        <v>ALTER TABLE TB_BANNER ADD COLUMN BANNER_CL_DETAIL_CD VARCHAR(50);</v>
      </c>
      <c r="AI455" s="125" t="str">
        <f t="shared" si="172"/>
        <v>ALTER TABLE TB_BANNER DROP COLUMN BANNER_CL_DETAIL_CD;</v>
      </c>
    </row>
    <row r="456" spans="2:35" ht="20.100000000000001" customHeight="1">
      <c r="B456" s="55">
        <v>443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4</v>
      </c>
      <c r="H456" s="104" t="s">
        <v>752</v>
      </c>
      <c r="I456" s="104" t="s">
        <v>751</v>
      </c>
      <c r="J456" s="85" t="s">
        <v>418</v>
      </c>
      <c r="K456" s="85"/>
      <c r="L456" s="85"/>
      <c r="M456" s="85"/>
      <c r="N456" s="85"/>
      <c r="O456" s="85"/>
      <c r="P456" s="85"/>
      <c r="Q456" s="104" t="s">
        <v>229</v>
      </c>
      <c r="R456" s="47"/>
      <c r="S456" s="85"/>
      <c r="T456" s="104" t="s">
        <v>750</v>
      </c>
      <c r="U456" s="125"/>
      <c r="V456" s="125"/>
      <c r="W456" s="104"/>
      <c r="X456" s="85"/>
      <c r="Y456" s="123"/>
      <c r="Z456" s="130" t="str">
        <f t="shared" si="166"/>
        <v>/* 테이블 : 배너 */ CREATE TABLE TB_BANNER (</v>
      </c>
      <c r="AA456" s="125" t="str">
        <f t="shared" si="170"/>
        <v>BANNER_EXPSR_SEQ INTEGER NOT NULL,</v>
      </c>
      <c r="AB456" s="125" t="str">
        <f t="shared" si="173"/>
        <v/>
      </c>
      <c r="AC456" s="125" t="str">
        <f t="shared" si="174"/>
        <v/>
      </c>
      <c r="AD456" s="125" t="str">
        <f t="shared" si="169"/>
        <v/>
      </c>
      <c r="AE456" s="125" t="str">
        <f t="shared" si="167"/>
        <v/>
      </c>
      <c r="AF456" s="125" t="str">
        <f t="shared" si="168"/>
        <v>COMMENT ON COLUMN TB_BANNER.BANNER_EXPSR_SEQ IS '배너 노출 순번' ;</v>
      </c>
      <c r="AG456" s="125" t="str">
        <f t="shared" si="171"/>
        <v>ALTER TABLE TB_BANNER ALTER COLUMN BANNER_EXPSR_SEQ TYPE INTEGER;</v>
      </c>
      <c r="AH456" s="131" t="str">
        <f t="shared" si="165"/>
        <v>ALTER TABLE TB_BANNER ADD COLUMN BANNER_EXPSR_SEQ INTEGER NOT NULL;</v>
      </c>
      <c r="AI456" s="125" t="str">
        <f t="shared" si="172"/>
        <v>ALTER TABLE TB_BANNER DROP COLUMN BANNER_EXPSR_SEQ;</v>
      </c>
    </row>
    <row r="457" spans="2:35" ht="20.100000000000001" customHeight="1">
      <c r="B457" s="55">
        <v>444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5</v>
      </c>
      <c r="H457" s="104" t="s">
        <v>489</v>
      </c>
      <c r="I457" s="104" t="s">
        <v>480</v>
      </c>
      <c r="J457" s="85"/>
      <c r="K457" s="85"/>
      <c r="L457" s="85"/>
      <c r="M457" s="85"/>
      <c r="N457" s="85"/>
      <c r="O457" s="85"/>
      <c r="P457" s="85"/>
      <c r="Q457" s="104" t="s">
        <v>420</v>
      </c>
      <c r="R457" s="119" t="s">
        <v>528</v>
      </c>
      <c r="S457" s="85"/>
      <c r="T457" s="104" t="s">
        <v>508</v>
      </c>
      <c r="U457" s="123"/>
      <c r="V457" s="123"/>
      <c r="W457" s="104"/>
      <c r="X457" s="85"/>
      <c r="Y457" s="123"/>
      <c r="Z457" s="130" t="str">
        <f t="shared" si="166"/>
        <v>/* 테이블 : 배너 */ CREATE TABLE TB_BANNER (</v>
      </c>
      <c r="AA457" s="125" t="str">
        <f t="shared" si="170"/>
        <v>BANNER_NM VARCHAR(255),</v>
      </c>
      <c r="AB457" s="125" t="str">
        <f t="shared" si="173"/>
        <v/>
      </c>
      <c r="AC457" s="125" t="str">
        <f t="shared" si="174"/>
        <v/>
      </c>
      <c r="AD457" s="125" t="str">
        <f t="shared" si="169"/>
        <v/>
      </c>
      <c r="AE457" s="125" t="str">
        <f t="shared" si="167"/>
        <v/>
      </c>
      <c r="AF457" s="125" t="str">
        <f t="shared" si="168"/>
        <v>COMMENT ON COLUMN TB_BANNER.BANNER_NM IS '배너 이름' ;</v>
      </c>
      <c r="AG457" s="125" t="str">
        <f t="shared" si="171"/>
        <v>ALTER TABLE TB_BANNER ALTER COLUMN BANNER_NM TYPE VARCHAR(255);</v>
      </c>
      <c r="AH457" s="131" t="str">
        <f t="shared" si="165"/>
        <v>ALTER TABLE TB_BANNER ADD COLUMN BANNER_NM VARCHAR(255);</v>
      </c>
      <c r="AI457" s="125" t="str">
        <f t="shared" si="172"/>
        <v>ALTER TABLE TB_BANNER DROP COLUMN BANNER_NM;</v>
      </c>
    </row>
    <row r="458" spans="2:35" ht="20.100000000000001" customHeight="1">
      <c r="B458" s="135">
        <v>445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6</v>
      </c>
      <c r="H458" s="104" t="s">
        <v>490</v>
      </c>
      <c r="I458" s="104" t="s">
        <v>488</v>
      </c>
      <c r="J458" s="85"/>
      <c r="K458" s="85"/>
      <c r="L458" s="85"/>
      <c r="M458" s="85"/>
      <c r="N458" s="85"/>
      <c r="O458" s="85"/>
      <c r="P458" s="85"/>
      <c r="Q458" s="104" t="s">
        <v>421</v>
      </c>
      <c r="R458" s="87"/>
      <c r="S458" s="85"/>
      <c r="T458" s="104" t="s">
        <v>509</v>
      </c>
      <c r="U458" s="123"/>
      <c r="V458" s="123"/>
      <c r="W458" s="104"/>
      <c r="X458" s="85"/>
      <c r="Y458" s="123"/>
      <c r="Z458" s="130" t="str">
        <f t="shared" si="166"/>
        <v>/* 테이블 : 배너 */ CREATE TABLE TB_BANNER (</v>
      </c>
      <c r="AA458" s="125" t="str">
        <f t="shared" si="170"/>
        <v>BANNER_DC TEXT,</v>
      </c>
      <c r="AB458" s="125" t="str">
        <f t="shared" si="173"/>
        <v/>
      </c>
      <c r="AC458" s="125" t="str">
        <f t="shared" si="174"/>
        <v/>
      </c>
      <c r="AD458" s="125" t="str">
        <f t="shared" si="169"/>
        <v/>
      </c>
      <c r="AE458" s="125" t="str">
        <f t="shared" si="167"/>
        <v/>
      </c>
      <c r="AF458" s="125" t="str">
        <f t="shared" si="168"/>
        <v>COMMENT ON COLUMN TB_BANNER.BANNER_DC IS '배너 설명' ;</v>
      </c>
      <c r="AG458" s="125" t="str">
        <f t="shared" si="171"/>
        <v>ALTER TABLE TB_BANNER ALTER COLUMN BANNER_DC TYPE TEXT;</v>
      </c>
      <c r="AH458" s="131" t="str">
        <f t="shared" si="165"/>
        <v>ALTER TABLE TB_BANNER ADD COLUMN BANNER_DC TEXT;</v>
      </c>
      <c r="AI458" s="125" t="str">
        <f t="shared" si="172"/>
        <v>ALTER TABLE TB_BANNER DROP COLUMN BANNER_DC;</v>
      </c>
    </row>
    <row r="459" spans="2:35" ht="20.100000000000001" customHeight="1">
      <c r="B459" s="55">
        <v>446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7</v>
      </c>
      <c r="H459" s="104" t="s">
        <v>492</v>
      </c>
      <c r="I459" s="104" t="s">
        <v>491</v>
      </c>
      <c r="J459" s="85"/>
      <c r="K459" s="85"/>
      <c r="L459" s="85">
        <v>1</v>
      </c>
      <c r="M459" s="10" t="s">
        <v>364</v>
      </c>
      <c r="N459" s="96" t="s">
        <v>365</v>
      </c>
      <c r="O459" s="96" t="s">
        <v>539</v>
      </c>
      <c r="P459" s="96" t="s">
        <v>540</v>
      </c>
      <c r="Q459" s="104" t="s">
        <v>229</v>
      </c>
      <c r="R459" s="87"/>
      <c r="S459" s="85"/>
      <c r="T459" s="104" t="s">
        <v>510</v>
      </c>
      <c r="U459" s="123"/>
      <c r="V459" s="123"/>
      <c r="W459" s="104"/>
      <c r="X459" s="85"/>
      <c r="Y459" s="123"/>
      <c r="Z459" s="130" t="str">
        <f t="shared" si="166"/>
        <v>/* 테이블 : 배너 */ CREATE TABLE TB_BANNER (</v>
      </c>
      <c r="AA459" s="125" t="str">
        <f t="shared" si="170"/>
        <v>ATCH_FILE_SN INTEGER,</v>
      </c>
      <c r="AB459" s="125" t="str">
        <f t="shared" si="173"/>
        <v>ALTER TABLE TB_BANNER ADD CONSTRAINT TB_BANNER_FKEY1 FOREIGN KEY(ATCH_FILE_SN) REFERENCES TB_ATCH_FILE(ATCH_FILE_SN) ON UPDATE CASCADE ON DELETE SET NULL;</v>
      </c>
      <c r="AC459" s="125" t="str">
        <f t="shared" si="174"/>
        <v/>
      </c>
      <c r="AD459" s="125" t="str">
        <f t="shared" si="169"/>
        <v/>
      </c>
      <c r="AE459" s="125" t="str">
        <f t="shared" si="167"/>
        <v/>
      </c>
      <c r="AF459" s="125" t="str">
        <f t="shared" si="168"/>
        <v>COMMENT ON COLUMN TB_BANNER.ATCH_FILE_SN IS '첨부 파일 일련번호' ;</v>
      </c>
      <c r="AG459" s="125" t="str">
        <f t="shared" si="171"/>
        <v>ALTER TABLE TB_BANNER ALTER COLUMN ATCH_FILE_SN TYPE INTEGER;</v>
      </c>
      <c r="AH459" s="131" t="str">
        <f t="shared" si="165"/>
        <v>ALTER TABLE TB_BANNER ADD COLUMN ATCH_FILE_SN INTEGER;</v>
      </c>
      <c r="AI459" s="125" t="str">
        <f t="shared" si="172"/>
        <v>ALTER TABLE TB_BANNER DROP COLUMN ATCH_FILE_SN;</v>
      </c>
    </row>
    <row r="460" spans="2:35" ht="20.100000000000001" customHeight="1">
      <c r="B460" s="55">
        <v>447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8</v>
      </c>
      <c r="H460" s="104" t="s">
        <v>583</v>
      </c>
      <c r="I460" s="104" t="s">
        <v>583</v>
      </c>
      <c r="J460" s="85"/>
      <c r="K460" s="85"/>
      <c r="L460" s="85"/>
      <c r="M460" s="85"/>
      <c r="N460" s="85"/>
      <c r="O460" s="85"/>
      <c r="P460" s="85"/>
      <c r="Q460" s="104" t="s">
        <v>106</v>
      </c>
      <c r="R460" s="119" t="s">
        <v>530</v>
      </c>
      <c r="S460" s="85"/>
      <c r="T460" s="104" t="s">
        <v>353</v>
      </c>
      <c r="U460" s="123"/>
      <c r="V460" s="123"/>
      <c r="W460" s="104"/>
      <c r="X460" s="85"/>
      <c r="Y460" s="123"/>
      <c r="Z460" s="130" t="str">
        <f t="shared" si="166"/>
        <v>/* 테이블 : 배너 */ CREATE TABLE TB_BANNER (</v>
      </c>
      <c r="AA460" s="125" t="str">
        <f t="shared" si="170"/>
        <v>URL VARCHAR(2000),</v>
      </c>
      <c r="AB460" s="125" t="str">
        <f t="shared" si="173"/>
        <v/>
      </c>
      <c r="AC460" s="125" t="str">
        <f t="shared" si="174"/>
        <v/>
      </c>
      <c r="AD460" s="125" t="str">
        <f t="shared" si="169"/>
        <v/>
      </c>
      <c r="AE460" s="125" t="str">
        <f t="shared" si="167"/>
        <v/>
      </c>
      <c r="AF460" s="125" t="str">
        <f t="shared" si="168"/>
        <v>COMMENT ON COLUMN TB_BANNER.URL IS '클릭시 이동 URL' ;</v>
      </c>
      <c r="AG460" s="125" t="str">
        <f t="shared" si="171"/>
        <v>ALTER TABLE TB_BANNER ALTER COLUMN URL TYPE VARCHAR(2000);</v>
      </c>
      <c r="AH460" s="131" t="str">
        <f t="shared" ref="AH460:AH481" si="175">"ALTER TABLE "&amp;$E460&amp;" ADD COLUMN "&amp;$H460&amp;" "&amp;$Q460&amp;IF(ISBLANK(R460),"",$R460)&amp;IF(ISBLANK($J460),""," NOT NULL")&amp;IF(ISBLANK($S460),""," DEFAULT " &amp; $S460 ) &amp; ";"</f>
        <v>ALTER TABLE TB_BANNER ADD COLUMN URL VARCHAR(2000);</v>
      </c>
      <c r="AI460" s="125" t="str">
        <f t="shared" si="172"/>
        <v>ALTER TABLE TB_BANNER DROP COLUMN URL;</v>
      </c>
    </row>
    <row r="461" spans="2:35" ht="20.100000000000001" customHeight="1">
      <c r="B461" s="55">
        <v>448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9</v>
      </c>
      <c r="H461" s="104" t="s">
        <v>486</v>
      </c>
      <c r="I461" s="104" t="s">
        <v>485</v>
      </c>
      <c r="J461" s="85" t="s">
        <v>418</v>
      </c>
      <c r="K461" s="85"/>
      <c r="L461" s="85"/>
      <c r="M461" s="85"/>
      <c r="N461" s="85"/>
      <c r="O461" s="85"/>
      <c r="P461" s="85"/>
      <c r="Q461" s="51" t="s">
        <v>800</v>
      </c>
      <c r="R461" s="119" t="s">
        <v>522</v>
      </c>
      <c r="S461" s="85"/>
      <c r="T461" s="104" t="s">
        <v>511</v>
      </c>
      <c r="U461" s="123"/>
      <c r="V461" s="123"/>
      <c r="W461" s="104" t="s">
        <v>512</v>
      </c>
      <c r="X461" s="85"/>
      <c r="Y461" s="123"/>
      <c r="Z461" s="130" t="str">
        <f t="shared" si="166"/>
        <v>/* 테이블 : 배너 */ CREATE TABLE TB_BANNER (</v>
      </c>
      <c r="AA461" s="125" t="str">
        <f t="shared" si="170"/>
        <v>CLASS_MAPNG_YN BPCHAR(1) NOT NULL,</v>
      </c>
      <c r="AB461" s="125" t="str">
        <f t="shared" si="173"/>
        <v/>
      </c>
      <c r="AC461" s="125" t="str">
        <f t="shared" si="174"/>
        <v/>
      </c>
      <c r="AD461" s="125" t="str">
        <f t="shared" si="169"/>
        <v/>
      </c>
      <c r="AE461" s="125" t="str">
        <f t="shared" si="167"/>
        <v/>
      </c>
      <c r="AF461" s="125" t="str">
        <f t="shared" si="168"/>
        <v>COMMENT ON COLUMN TB_BANNER.CLASS_MAPNG_YN IS '클래스 매핑 여부' ;</v>
      </c>
      <c r="AG461" s="125" t="str">
        <f t="shared" si="171"/>
        <v>ALTER TABLE TB_BANNER ALTER COLUMN CLASS_MAPNG_YN TYPE BPCHAR(1);</v>
      </c>
      <c r="AH461" s="131" t="str">
        <f t="shared" si="175"/>
        <v>ALTER TABLE TB_BANNER ADD COLUMN CLASS_MAPNG_YN BPCHAR(1) NOT NULL;</v>
      </c>
      <c r="AI461" s="125" t="str">
        <f t="shared" si="172"/>
        <v>ALTER TABLE TB_BANNER DROP COLUMN CLASS_MAPNG_YN;</v>
      </c>
    </row>
    <row r="462" spans="2:35" ht="20.100000000000001" customHeight="1">
      <c r="B462" s="135">
        <v>449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10</v>
      </c>
      <c r="H462" s="104" t="s">
        <v>497</v>
      </c>
      <c r="I462" s="104" t="s">
        <v>487</v>
      </c>
      <c r="J462" s="85"/>
      <c r="K462" s="85"/>
      <c r="L462" s="85">
        <v>2</v>
      </c>
      <c r="M462" s="13" t="s">
        <v>22</v>
      </c>
      <c r="N462" s="101" t="s">
        <v>162</v>
      </c>
      <c r="O462" s="95" t="s">
        <v>539</v>
      </c>
      <c r="P462" s="95" t="s">
        <v>541</v>
      </c>
      <c r="Q462" s="104" t="s">
        <v>229</v>
      </c>
      <c r="R462" s="87"/>
      <c r="S462" s="85"/>
      <c r="T462" s="104" t="s">
        <v>513</v>
      </c>
      <c r="U462" s="123"/>
      <c r="V462" s="123"/>
      <c r="W462" s="104"/>
      <c r="X462" s="85"/>
      <c r="Y462" s="123"/>
      <c r="Z462" s="130" t="str">
        <f t="shared" si="166"/>
        <v>/* 테이블 : 배너 */ CREATE TABLE TB_BANNER (</v>
      </c>
      <c r="AA462" s="125" t="str">
        <f t="shared" si="170"/>
        <v>CLASS_SN INTEGER,</v>
      </c>
      <c r="AB462" s="125" t="str">
        <f t="shared" si="173"/>
        <v>ALTER TABLE TB_BANNER ADD CONSTRAINT TB_BANNER_FKEY2 FOREIGN KEY(CLASS_SN) REFERENCES TB_CLASS(CLASS_SN) ON UPDATE CASCADE ON DELETE CASCADE;</v>
      </c>
      <c r="AC462" s="125" t="str">
        <f t="shared" si="174"/>
        <v/>
      </c>
      <c r="AD462" s="125" t="str">
        <f t="shared" si="169"/>
        <v/>
      </c>
      <c r="AE462" s="125" t="str">
        <f t="shared" si="167"/>
        <v/>
      </c>
      <c r="AF462" s="125" t="str">
        <f t="shared" si="168"/>
        <v>COMMENT ON COLUMN TB_BANNER.CLASS_SN IS '클래스 일련번호' ;</v>
      </c>
      <c r="AG462" s="125" t="str">
        <f t="shared" si="171"/>
        <v>ALTER TABLE TB_BANNER ALTER COLUMN CLASS_SN TYPE INTEGER;</v>
      </c>
      <c r="AH462" s="131" t="str">
        <f t="shared" si="175"/>
        <v>ALTER TABLE TB_BANNER ADD COLUMN CLASS_SN INTEGER;</v>
      </c>
      <c r="AI462" s="125" t="str">
        <f t="shared" si="172"/>
        <v>ALTER TABLE TB_BANNER DROP COLUMN CLASS_SN;</v>
      </c>
    </row>
    <row r="463" spans="2:35" ht="20.100000000000001" customHeight="1">
      <c r="B463" s="55">
        <v>450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11</v>
      </c>
      <c r="H463" s="104" t="s">
        <v>432</v>
      </c>
      <c r="I463" s="104" t="s">
        <v>429</v>
      </c>
      <c r="J463" s="85" t="s">
        <v>418</v>
      </c>
      <c r="K463" s="85"/>
      <c r="L463" s="85"/>
      <c r="M463" s="85"/>
      <c r="N463" s="85"/>
      <c r="O463" s="85"/>
      <c r="P463" s="126"/>
      <c r="Q463" s="51" t="s">
        <v>800</v>
      </c>
      <c r="R463" s="119" t="s">
        <v>522</v>
      </c>
      <c r="S463" s="85"/>
      <c r="T463" s="104" t="s">
        <v>465</v>
      </c>
      <c r="U463" s="123"/>
      <c r="V463" s="123"/>
      <c r="W463" s="104"/>
      <c r="X463" s="85"/>
      <c r="Y463" s="123"/>
      <c r="Z463" s="130" t="str">
        <f t="shared" si="166"/>
        <v>/* 테이블 : 배너 */ CREATE TABLE TB_BANNER (</v>
      </c>
      <c r="AA463" s="125" t="str">
        <f t="shared" si="170"/>
        <v>USE_YN BPCHAR(1) NOT NULL,</v>
      </c>
      <c r="AB463" s="125" t="str">
        <f t="shared" si="173"/>
        <v/>
      </c>
      <c r="AC463" s="125" t="str">
        <f t="shared" si="174"/>
        <v/>
      </c>
      <c r="AD463" s="125" t="str">
        <f t="shared" si="169"/>
        <v/>
      </c>
      <c r="AE463" s="125" t="str">
        <f t="shared" si="167"/>
        <v/>
      </c>
      <c r="AF463" s="125" t="str">
        <f t="shared" si="168"/>
        <v>COMMENT ON COLUMN TB_BANNER.USE_YN IS '사용 여부' ;</v>
      </c>
      <c r="AG463" s="125" t="str">
        <f t="shared" si="171"/>
        <v>ALTER TABLE TB_BANNER ALTER COLUMN USE_YN TYPE BPCHAR(1);</v>
      </c>
      <c r="AH463" s="131" t="str">
        <f t="shared" si="175"/>
        <v>ALTER TABLE TB_BANNER ADD COLUMN USE_YN BPCHAR(1) NOT NULL;</v>
      </c>
      <c r="AI463" s="125" t="str">
        <f t="shared" si="172"/>
        <v>ALTER TABLE TB_BANNER DROP COLUMN USE_YN;</v>
      </c>
    </row>
    <row r="464" spans="2:35" ht="20.100000000000001" customHeight="1">
      <c r="B464" s="55">
        <v>451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12</v>
      </c>
      <c r="H464" s="101" t="s">
        <v>498</v>
      </c>
      <c r="I464" s="101" t="s">
        <v>503</v>
      </c>
      <c r="J464" s="73" t="s">
        <v>72</v>
      </c>
      <c r="K464" s="61"/>
      <c r="L464" s="61"/>
      <c r="M464" s="69"/>
      <c r="N464" s="69"/>
      <c r="O464" s="69"/>
      <c r="P464" s="69"/>
      <c r="Q464" s="51" t="s">
        <v>800</v>
      </c>
      <c r="R464" s="119" t="s">
        <v>522</v>
      </c>
      <c r="S464" s="85"/>
      <c r="T464" s="104" t="s">
        <v>514</v>
      </c>
      <c r="U464" s="123"/>
      <c r="V464" s="123"/>
      <c r="W464" s="104"/>
      <c r="X464" s="85"/>
      <c r="Y464" s="123"/>
      <c r="Z464" s="130" t="str">
        <f t="shared" si="166"/>
        <v>/* 테이블 : 배너 */ CREATE TABLE TB_BANNER (</v>
      </c>
      <c r="AA464" s="125" t="str">
        <f t="shared" si="170"/>
        <v>BANNER_PD_SET_YN BPCHAR(1) NOT NULL,</v>
      </c>
      <c r="AB464" s="125" t="str">
        <f t="shared" si="173"/>
        <v/>
      </c>
      <c r="AC464" s="125" t="str">
        <f t="shared" si="174"/>
        <v/>
      </c>
      <c r="AD464" s="125" t="str">
        <f t="shared" si="169"/>
        <v/>
      </c>
      <c r="AE464" s="125" t="str">
        <f t="shared" si="167"/>
        <v/>
      </c>
      <c r="AF464" s="125" t="str">
        <f t="shared" si="168"/>
        <v>COMMENT ON COLUMN TB_BANNER.BANNER_PD_SET_YN IS '배너 기간 설정 여부' ;</v>
      </c>
      <c r="AG464" s="125" t="str">
        <f t="shared" si="171"/>
        <v>ALTER TABLE TB_BANNER ALTER COLUMN BANNER_PD_SET_YN TYPE BPCHAR(1);</v>
      </c>
      <c r="AH464" s="131" t="str">
        <f t="shared" si="175"/>
        <v>ALTER TABLE TB_BANNER ADD COLUMN BANNER_PD_SET_YN BPCHAR(1) NOT NULL;</v>
      </c>
      <c r="AI464" s="125" t="str">
        <f t="shared" si="172"/>
        <v>ALTER TABLE TB_BANNER DROP COLUMN BANNER_PD_SET_YN;</v>
      </c>
    </row>
    <row r="465" spans="2:35" ht="20.100000000000001" customHeight="1">
      <c r="B465" s="55">
        <v>452</v>
      </c>
      <c r="C465" s="26" t="s">
        <v>7</v>
      </c>
      <c r="D465" s="26" t="s">
        <v>19</v>
      </c>
      <c r="E465" s="10" t="s">
        <v>517</v>
      </c>
      <c r="F465" s="10" t="s">
        <v>518</v>
      </c>
      <c r="G465" s="87">
        <v>13</v>
      </c>
      <c r="H465" s="102" t="s">
        <v>499</v>
      </c>
      <c r="I465" s="101" t="s">
        <v>502</v>
      </c>
      <c r="J465" s="61"/>
      <c r="K465" s="61"/>
      <c r="L465" s="61"/>
      <c r="M465" s="61"/>
      <c r="N465" s="61"/>
      <c r="O465" s="61"/>
      <c r="P465" s="61"/>
      <c r="Q465" s="51" t="s">
        <v>106</v>
      </c>
      <c r="R465" s="120" t="s">
        <v>749</v>
      </c>
      <c r="S465" s="85"/>
      <c r="T465" s="104" t="s">
        <v>515</v>
      </c>
      <c r="U465" s="123"/>
      <c r="V465" s="123"/>
      <c r="W465" s="104"/>
      <c r="X465" s="85"/>
      <c r="Y465" s="123"/>
      <c r="Z465" s="130" t="str">
        <f t="shared" si="166"/>
        <v>/* 테이블 : 배너 */ CREATE TABLE TB_BANNER (</v>
      </c>
      <c r="AA465" s="125" t="str">
        <f t="shared" si="170"/>
        <v>BANNER_BEGIN_DT VARCHAR(16),</v>
      </c>
      <c r="AB465" s="125" t="str">
        <f t="shared" si="173"/>
        <v/>
      </c>
      <c r="AC465" s="125" t="str">
        <f t="shared" si="174"/>
        <v/>
      </c>
      <c r="AD465" s="125" t="str">
        <f t="shared" si="169"/>
        <v/>
      </c>
      <c r="AE465" s="125" t="str">
        <f t="shared" si="167"/>
        <v/>
      </c>
      <c r="AF465" s="125" t="str">
        <f t="shared" si="168"/>
        <v>COMMENT ON COLUMN TB_BANNER.BANNER_BEGIN_DT IS '배너 시작 일시' ;</v>
      </c>
      <c r="AG465" s="125" t="str">
        <f t="shared" si="171"/>
        <v>ALTER TABLE TB_BANNER ALTER COLUMN BANNER_BEGIN_DT TYPE VARCHAR(16);</v>
      </c>
      <c r="AH465" s="131" t="str">
        <f t="shared" si="175"/>
        <v>ALTER TABLE TB_BANNER ADD COLUMN BANNER_BEGIN_DT VARCHAR(16);</v>
      </c>
      <c r="AI465" s="125" t="str">
        <f t="shared" si="172"/>
        <v>ALTER TABLE TB_BANNER DROP COLUMN BANNER_BEGIN_DT;</v>
      </c>
    </row>
    <row r="466" spans="2:35" ht="20.100000000000001" customHeight="1">
      <c r="B466" s="135">
        <v>453</v>
      </c>
      <c r="C466" s="26" t="s">
        <v>7</v>
      </c>
      <c r="D466" s="26" t="s">
        <v>19</v>
      </c>
      <c r="E466" s="10" t="s">
        <v>517</v>
      </c>
      <c r="F466" s="10" t="s">
        <v>518</v>
      </c>
      <c r="G466" s="87">
        <v>14</v>
      </c>
      <c r="H466" s="101" t="s">
        <v>500</v>
      </c>
      <c r="I466" s="101" t="s">
        <v>501</v>
      </c>
      <c r="J466" s="61"/>
      <c r="K466" s="61"/>
      <c r="L466" s="61"/>
      <c r="M466" s="61"/>
      <c r="N466" s="61"/>
      <c r="O466" s="61"/>
      <c r="P466" s="61"/>
      <c r="Q466" s="51" t="s">
        <v>106</v>
      </c>
      <c r="R466" s="120" t="s">
        <v>749</v>
      </c>
      <c r="S466" s="85"/>
      <c r="T466" s="104" t="s">
        <v>516</v>
      </c>
      <c r="U466" s="123"/>
      <c r="V466" s="123"/>
      <c r="W466" s="104"/>
      <c r="X466" s="85"/>
      <c r="Y466" s="123"/>
      <c r="Z466" s="130" t="str">
        <f t="shared" si="166"/>
        <v>/* 테이블 : 배너 */ CREATE TABLE TB_BANNER (</v>
      </c>
      <c r="AA466" s="125" t="str">
        <f t="shared" si="170"/>
        <v>BANNER_END_DT VARCHAR(16),</v>
      </c>
      <c r="AB466" s="125" t="str">
        <f t="shared" si="173"/>
        <v/>
      </c>
      <c r="AC466" s="125" t="str">
        <f t="shared" si="174"/>
        <v/>
      </c>
      <c r="AD466" s="125" t="str">
        <f t="shared" si="169"/>
        <v/>
      </c>
      <c r="AE466" s="125" t="str">
        <f t="shared" si="167"/>
        <v/>
      </c>
      <c r="AF466" s="125" t="str">
        <f t="shared" si="168"/>
        <v>COMMENT ON COLUMN TB_BANNER.BANNER_END_DT IS '배너 종료 일시' ;</v>
      </c>
      <c r="AG466" s="125" t="str">
        <f t="shared" si="171"/>
        <v>ALTER TABLE TB_BANNER ALTER COLUMN BANNER_END_DT TYPE VARCHAR(16);</v>
      </c>
      <c r="AH466" s="131" t="str">
        <f t="shared" si="175"/>
        <v>ALTER TABLE TB_BANNER ADD COLUMN BANNER_END_DT VARCHAR(16);</v>
      </c>
      <c r="AI466" s="125" t="str">
        <f t="shared" si="172"/>
        <v>ALTER TABLE TB_BANNER DROP COLUMN BANNER_END_DT;</v>
      </c>
    </row>
    <row r="467" spans="2:35" ht="20.100000000000001" customHeight="1">
      <c r="B467" s="55">
        <v>454</v>
      </c>
      <c r="C467" s="26" t="s">
        <v>7</v>
      </c>
      <c r="D467" s="26" t="s">
        <v>19</v>
      </c>
      <c r="E467" s="10" t="s">
        <v>517</v>
      </c>
      <c r="F467" s="10" t="s">
        <v>518</v>
      </c>
      <c r="G467" s="87">
        <v>15</v>
      </c>
      <c r="H467" s="97" t="s">
        <v>107</v>
      </c>
      <c r="I467" s="51" t="s">
        <v>76</v>
      </c>
      <c r="J467" s="73" t="s">
        <v>72</v>
      </c>
      <c r="K467" s="67"/>
      <c r="L467" s="67"/>
      <c r="M467" s="77"/>
      <c r="N467" s="77"/>
      <c r="O467" s="77"/>
      <c r="P467" s="77"/>
      <c r="Q467" s="100" t="s">
        <v>521</v>
      </c>
      <c r="R467" s="119" t="s">
        <v>526</v>
      </c>
      <c r="S467" s="80"/>
      <c r="T467" s="107" t="s">
        <v>219</v>
      </c>
      <c r="U467" s="123"/>
      <c r="V467" s="123"/>
      <c r="W467" s="104"/>
      <c r="X467" s="85"/>
      <c r="Y467" s="123"/>
      <c r="Z467" s="130" t="str">
        <f t="shared" si="166"/>
        <v>/* 테이블 : 배너 */ CREATE TABLE TB_BANNER (</v>
      </c>
      <c r="AA467" s="125" t="str">
        <f t="shared" si="170"/>
        <v>REGISTER_ID VARCHAR(50) NOT NULL,</v>
      </c>
      <c r="AB467" s="125" t="str">
        <f t="shared" si="173"/>
        <v/>
      </c>
      <c r="AC467" s="125" t="str">
        <f t="shared" si="174"/>
        <v/>
      </c>
      <c r="AD467" s="125" t="str">
        <f t="shared" si="169"/>
        <v/>
      </c>
      <c r="AE467" s="125" t="str">
        <f t="shared" si="167"/>
        <v/>
      </c>
      <c r="AF467" s="125" t="str">
        <f t="shared" si="168"/>
        <v>COMMENT ON COLUMN TB_BANNER.REGISTER_ID IS '등록자 ID' ;</v>
      </c>
      <c r="AG467" s="125" t="str">
        <f t="shared" si="171"/>
        <v>ALTER TABLE TB_BANNER ALTER COLUMN REGISTER_ID TYPE VARCHAR(50);</v>
      </c>
      <c r="AH467" s="131" t="str">
        <f t="shared" si="175"/>
        <v>ALTER TABLE TB_BANNER ADD COLUMN REGISTER_ID VARCHAR(50) NOT NULL;</v>
      </c>
      <c r="AI467" s="125" t="str">
        <f t="shared" si="172"/>
        <v>ALTER TABLE TB_BANNER DROP COLUMN REGISTER_ID;</v>
      </c>
    </row>
    <row r="468" spans="2:35" ht="20.100000000000001" customHeight="1">
      <c r="B468" s="55">
        <v>455</v>
      </c>
      <c r="C468" s="26" t="s">
        <v>7</v>
      </c>
      <c r="D468" s="26" t="s">
        <v>19</v>
      </c>
      <c r="E468" s="10" t="s">
        <v>517</v>
      </c>
      <c r="F468" s="10" t="s">
        <v>518</v>
      </c>
      <c r="G468" s="87">
        <v>16</v>
      </c>
      <c r="H468" s="97" t="s">
        <v>91</v>
      </c>
      <c r="I468" s="51" t="s">
        <v>77</v>
      </c>
      <c r="J468" s="73" t="s">
        <v>72</v>
      </c>
      <c r="K468" s="52"/>
      <c r="L468" s="52"/>
      <c r="M468" s="52"/>
      <c r="N468" s="52"/>
      <c r="O468" s="52"/>
      <c r="P468" s="52"/>
      <c r="Q468" s="56" t="s">
        <v>106</v>
      </c>
      <c r="R468" s="120" t="s">
        <v>527</v>
      </c>
      <c r="S468" s="80"/>
      <c r="T468" s="107" t="s">
        <v>218</v>
      </c>
      <c r="U468" s="123"/>
      <c r="V468" s="123"/>
      <c r="W468" s="104"/>
      <c r="X468" s="85"/>
      <c r="Y468" s="123"/>
      <c r="Z468" s="130" t="str">
        <f t="shared" ref="Z468:Z473" si="176">"/* 테이블 : "&amp; $F468 &amp;" */ CREATE TABLE "&amp;$E468&amp;" ("</f>
        <v>/* 테이블 : 배너 */ CREATE TABLE TB_BANNER (</v>
      </c>
      <c r="AA468" s="125" t="str">
        <f t="shared" si="170"/>
        <v>REGISTER_IP VARCHAR(100) NOT NULL,</v>
      </c>
      <c r="AB468" s="125" t="str">
        <f t="shared" si="173"/>
        <v/>
      </c>
      <c r="AC468" s="125" t="str">
        <f t="shared" si="174"/>
        <v/>
      </c>
      <c r="AD468" s="125" t="str">
        <f t="shared" si="169"/>
        <v/>
      </c>
      <c r="AE468" s="125" t="str">
        <f t="shared" ref="AE468:AE481" si="177">IF(ISBLANK($S468),"","ALTER TABLE " &amp; $E468 &amp; " ALTER COLUMN " &amp; $H468 &amp; " SET DEFAULT " &amp; $S468 &amp; ";")</f>
        <v/>
      </c>
      <c r="AF468" s="125" t="str">
        <f t="shared" ref="AF468:AF473" si="178">"COMMENT ON COLUMN "&amp;$E468&amp;"."&amp;$H468&amp;" IS '"&amp;$T468&amp;"' ;"</f>
        <v>COMMENT ON COLUMN TB_BANNER.REGISTER_IP IS '등록자 IP' ;</v>
      </c>
      <c r="AG468" s="125" t="str">
        <f t="shared" si="171"/>
        <v>ALTER TABLE TB_BANNER ALTER COLUMN REGISTER_IP TYPE VARCHAR(100);</v>
      </c>
      <c r="AH468" s="131" t="str">
        <f t="shared" si="175"/>
        <v>ALTER TABLE TB_BANNER ADD COLUMN REGISTER_IP VARCHAR(100) NOT NULL;</v>
      </c>
      <c r="AI468" s="125" t="str">
        <f t="shared" si="172"/>
        <v>ALTER TABLE TB_BANNER DROP COLUMN REGISTER_IP;</v>
      </c>
    </row>
    <row r="469" spans="2:35" ht="20.100000000000001" customHeight="1">
      <c r="B469" s="55">
        <v>456</v>
      </c>
      <c r="C469" s="26" t="s">
        <v>7</v>
      </c>
      <c r="D469" s="26" t="s">
        <v>19</v>
      </c>
      <c r="E469" s="10" t="s">
        <v>517</v>
      </c>
      <c r="F469" s="10" t="s">
        <v>518</v>
      </c>
      <c r="G469" s="87">
        <v>17</v>
      </c>
      <c r="H469" s="97" t="s">
        <v>92</v>
      </c>
      <c r="I469" s="96" t="s">
        <v>78</v>
      </c>
      <c r="J469" s="73" t="s">
        <v>72</v>
      </c>
      <c r="K469" s="52"/>
      <c r="L469" s="52"/>
      <c r="M469" s="52"/>
      <c r="N469" s="52"/>
      <c r="O469" s="52"/>
      <c r="P469" s="52"/>
      <c r="Q469" s="51" t="s">
        <v>702</v>
      </c>
      <c r="R469" s="120"/>
      <c r="S469" s="80"/>
      <c r="T469" s="107" t="s">
        <v>217</v>
      </c>
      <c r="U469" s="123"/>
      <c r="V469" s="123"/>
      <c r="W469" s="104"/>
      <c r="X469" s="85"/>
      <c r="Y469" s="123"/>
      <c r="Z469" s="130" t="str">
        <f t="shared" si="176"/>
        <v>/* 테이블 : 배너 */ CREATE TABLE TB_BANNER (</v>
      </c>
      <c r="AA469" s="125" t="str">
        <f t="shared" si="170"/>
        <v>REG_DT TIMESTAMP NOT NULL,</v>
      </c>
      <c r="AB469" s="125" t="str">
        <f t="shared" si="173"/>
        <v/>
      </c>
      <c r="AC469" s="125" t="str">
        <f t="shared" si="174"/>
        <v/>
      </c>
      <c r="AD469" s="125" t="str">
        <f t="shared" si="169"/>
        <v/>
      </c>
      <c r="AE469" s="125" t="str">
        <f t="shared" si="177"/>
        <v/>
      </c>
      <c r="AF469" s="125" t="str">
        <f t="shared" si="178"/>
        <v>COMMENT ON COLUMN TB_BANNER.REG_DT IS '등록 일시' ;</v>
      </c>
      <c r="AG469" s="125" t="str">
        <f t="shared" si="171"/>
        <v>ALTER TABLE TB_BANNER ALTER COLUMN REG_DT TYPE TIMESTAMP;</v>
      </c>
      <c r="AH469" s="131" t="str">
        <f t="shared" si="175"/>
        <v>ALTER TABLE TB_BANNER ADD COLUMN REG_DT TIMESTAMP NOT NULL;</v>
      </c>
      <c r="AI469" s="125" t="str">
        <f t="shared" si="172"/>
        <v>ALTER TABLE TB_BANNER DROP COLUMN REG_DT;</v>
      </c>
    </row>
    <row r="470" spans="2:35" ht="20.100000000000001" customHeight="1">
      <c r="B470" s="135">
        <v>457</v>
      </c>
      <c r="C470" s="26" t="s">
        <v>7</v>
      </c>
      <c r="D470" s="26" t="s">
        <v>19</v>
      </c>
      <c r="E470" s="10" t="s">
        <v>517</v>
      </c>
      <c r="F470" s="10" t="s">
        <v>518</v>
      </c>
      <c r="G470" s="87">
        <v>18</v>
      </c>
      <c r="H470" s="97" t="s">
        <v>93</v>
      </c>
      <c r="I470" s="96" t="s">
        <v>80</v>
      </c>
      <c r="J470" s="52"/>
      <c r="K470" s="52"/>
      <c r="L470" s="52"/>
      <c r="M470" s="79"/>
      <c r="N470" s="79"/>
      <c r="O470" s="79"/>
      <c r="P470" s="79"/>
      <c r="Q470" s="100" t="s">
        <v>521</v>
      </c>
      <c r="R470" s="119" t="s">
        <v>526</v>
      </c>
      <c r="S470" s="80"/>
      <c r="T470" s="107" t="s">
        <v>216</v>
      </c>
      <c r="U470" s="123"/>
      <c r="V470" s="123"/>
      <c r="W470" s="104"/>
      <c r="X470" s="85"/>
      <c r="Y470" s="123"/>
      <c r="Z470" s="130" t="str">
        <f t="shared" si="176"/>
        <v>/* 테이블 : 배너 */ CREATE TABLE TB_BANNER (</v>
      </c>
      <c r="AA470" s="125" t="str">
        <f t="shared" si="170"/>
        <v>UPDUSR_ID VARCHAR(50),</v>
      </c>
      <c r="AB470" s="125" t="str">
        <f t="shared" si="173"/>
        <v/>
      </c>
      <c r="AC470" s="125" t="str">
        <f t="shared" si="174"/>
        <v/>
      </c>
      <c r="AD470" s="125" t="str">
        <f t="shared" si="169"/>
        <v/>
      </c>
      <c r="AE470" s="125" t="str">
        <f t="shared" si="177"/>
        <v/>
      </c>
      <c r="AF470" s="125" t="str">
        <f t="shared" si="178"/>
        <v>COMMENT ON COLUMN TB_BANNER.UPDUSR_ID IS '수정자 ID' ;</v>
      </c>
      <c r="AG470" s="125" t="str">
        <f t="shared" si="171"/>
        <v>ALTER TABLE TB_BANNER ALTER COLUMN UPDUSR_ID TYPE VARCHAR(50);</v>
      </c>
      <c r="AH470" s="131" t="str">
        <f t="shared" si="175"/>
        <v>ALTER TABLE TB_BANNER ADD COLUMN UPDUSR_ID VARCHAR(50);</v>
      </c>
      <c r="AI470" s="125" t="str">
        <f t="shared" si="172"/>
        <v>ALTER TABLE TB_BANNER DROP COLUMN UPDUSR_ID;</v>
      </c>
    </row>
    <row r="471" spans="2:35" ht="20.100000000000001" customHeight="1">
      <c r="B471" s="55">
        <v>458</v>
      </c>
      <c r="C471" s="26" t="s">
        <v>7</v>
      </c>
      <c r="D471" s="26" t="s">
        <v>19</v>
      </c>
      <c r="E471" s="10" t="s">
        <v>517</v>
      </c>
      <c r="F471" s="10" t="s">
        <v>518</v>
      </c>
      <c r="G471" s="87">
        <v>19</v>
      </c>
      <c r="H471" s="97" t="s">
        <v>94</v>
      </c>
      <c r="I471" s="96" t="s">
        <v>79</v>
      </c>
      <c r="J471" s="52"/>
      <c r="K471" s="52"/>
      <c r="L471" s="52"/>
      <c r="M471" s="52"/>
      <c r="N471" s="52"/>
      <c r="O471" s="52"/>
      <c r="P471" s="52"/>
      <c r="Q471" s="56" t="s">
        <v>106</v>
      </c>
      <c r="R471" s="120" t="s">
        <v>527</v>
      </c>
      <c r="S471" s="80"/>
      <c r="T471" s="107" t="s">
        <v>215</v>
      </c>
      <c r="U471" s="123"/>
      <c r="V471" s="123"/>
      <c r="W471" s="104"/>
      <c r="X471" s="85"/>
      <c r="Y471" s="123"/>
      <c r="Z471" s="130" t="str">
        <f t="shared" si="176"/>
        <v>/* 테이블 : 배너 */ CREATE TABLE TB_BANNER (</v>
      </c>
      <c r="AA471" s="125" t="str">
        <f t="shared" si="170"/>
        <v>UPDUSR_IP VARCHAR(100),</v>
      </c>
      <c r="AB471" s="125" t="str">
        <f t="shared" si="173"/>
        <v/>
      </c>
      <c r="AC471" s="125" t="str">
        <f t="shared" si="174"/>
        <v/>
      </c>
      <c r="AD471" s="125" t="str">
        <f t="shared" si="169"/>
        <v/>
      </c>
      <c r="AE471" s="125" t="str">
        <f t="shared" si="177"/>
        <v/>
      </c>
      <c r="AF471" s="125" t="str">
        <f t="shared" si="178"/>
        <v>COMMENT ON COLUMN TB_BANNER.UPDUSR_IP IS '수정자 IP' ;</v>
      </c>
      <c r="AG471" s="125" t="str">
        <f t="shared" si="171"/>
        <v>ALTER TABLE TB_BANNER ALTER COLUMN UPDUSR_IP TYPE VARCHAR(100);</v>
      </c>
      <c r="AH471" s="131" t="str">
        <f t="shared" si="175"/>
        <v>ALTER TABLE TB_BANNER ADD COLUMN UPDUSR_IP VARCHAR(100);</v>
      </c>
      <c r="AI471" s="125" t="str">
        <f t="shared" si="172"/>
        <v>ALTER TABLE TB_BANNER DROP COLUMN UPDUSR_IP;</v>
      </c>
    </row>
    <row r="472" spans="2:35" ht="20.100000000000001" customHeight="1">
      <c r="B472" s="55">
        <v>459</v>
      </c>
      <c r="C472" s="26" t="s">
        <v>7</v>
      </c>
      <c r="D472" s="26" t="s">
        <v>19</v>
      </c>
      <c r="E472" s="10" t="s">
        <v>517</v>
      </c>
      <c r="F472" s="10" t="s">
        <v>518</v>
      </c>
      <c r="G472" s="87">
        <v>20</v>
      </c>
      <c r="H472" s="98" t="s">
        <v>95</v>
      </c>
      <c r="I472" s="97" t="s">
        <v>81</v>
      </c>
      <c r="J472" s="61"/>
      <c r="K472" s="61"/>
      <c r="L472" s="61"/>
      <c r="M472" s="61"/>
      <c r="N472" s="61"/>
      <c r="O472" s="61"/>
      <c r="P472" s="61"/>
      <c r="Q472" s="51" t="s">
        <v>702</v>
      </c>
      <c r="R472" s="120"/>
      <c r="S472" s="77"/>
      <c r="T472" s="107" t="s">
        <v>214</v>
      </c>
      <c r="U472" s="123"/>
      <c r="V472" s="123"/>
      <c r="W472" s="104"/>
      <c r="X472" s="85"/>
      <c r="Y472" s="123"/>
      <c r="Z472" s="130" t="str">
        <f t="shared" si="176"/>
        <v>/* 테이블 : 배너 */ CREATE TABLE TB_BANNER (</v>
      </c>
      <c r="AA472" s="125" t="str">
        <f t="shared" si="170"/>
        <v>UPDT_DT TIMESTAMP,</v>
      </c>
      <c r="AB472" s="125" t="str">
        <f t="shared" si="173"/>
        <v/>
      </c>
      <c r="AC472" s="125" t="str">
        <f t="shared" si="174"/>
        <v/>
      </c>
      <c r="AD472" s="125" t="str">
        <f t="shared" si="169"/>
        <v/>
      </c>
      <c r="AE472" s="125" t="str">
        <f t="shared" si="177"/>
        <v/>
      </c>
      <c r="AF472" s="125" t="str">
        <f t="shared" si="178"/>
        <v>COMMENT ON COLUMN TB_BANNER.UPDT_DT IS '수정 일시' ;</v>
      </c>
      <c r="AG472" s="125" t="str">
        <f t="shared" si="171"/>
        <v>ALTER TABLE TB_BANNER ALTER COLUMN UPDT_DT TYPE TIMESTAMP;</v>
      </c>
      <c r="AH472" s="131" t="str">
        <f t="shared" si="175"/>
        <v>ALTER TABLE TB_BANNER ADD COLUMN UPDT_DT TIMESTAMP;</v>
      </c>
      <c r="AI472" s="125" t="str">
        <f t="shared" si="172"/>
        <v>ALTER TABLE TB_BANNER DROP COLUMN UPDT_DT;</v>
      </c>
    </row>
    <row r="473" spans="2:35" ht="20.100000000000001" customHeight="1">
      <c r="B473" s="55">
        <v>460</v>
      </c>
      <c r="C473" s="26" t="s">
        <v>7</v>
      </c>
      <c r="D473" s="26" t="s">
        <v>19</v>
      </c>
      <c r="E473" s="10" t="s">
        <v>517</v>
      </c>
      <c r="F473" s="10" t="s">
        <v>518</v>
      </c>
      <c r="G473" s="87">
        <v>21</v>
      </c>
      <c r="H473" s="97" t="s">
        <v>96</v>
      </c>
      <c r="I473" s="97" t="s">
        <v>82</v>
      </c>
      <c r="J473" s="73" t="s">
        <v>72</v>
      </c>
      <c r="K473" s="61"/>
      <c r="L473" s="61"/>
      <c r="M473" s="61"/>
      <c r="N473" s="61"/>
      <c r="O473" s="61"/>
      <c r="P473" s="61"/>
      <c r="Q473" s="51" t="s">
        <v>800</v>
      </c>
      <c r="R473" s="120" t="s">
        <v>522</v>
      </c>
      <c r="S473" s="82" t="s">
        <v>799</v>
      </c>
      <c r="T473" s="107" t="s">
        <v>213</v>
      </c>
      <c r="U473" s="123"/>
      <c r="V473" s="123"/>
      <c r="W473" s="104"/>
      <c r="X473" s="85"/>
      <c r="Y473" s="123"/>
      <c r="Z473" s="130" t="str">
        <f t="shared" si="176"/>
        <v>/* 테이블 : 배너 */ CREATE TABLE TB_BANNER (</v>
      </c>
      <c r="AA473" s="125" t="str">
        <f t="shared" si="170"/>
        <v>DEL_YN BPCHAR(1) NOT NULL,</v>
      </c>
      <c r="AB473" s="125" t="str">
        <f t="shared" si="173"/>
        <v/>
      </c>
      <c r="AC473" s="125" t="str">
        <f t="shared" si="174"/>
        <v/>
      </c>
      <c r="AD473" s="125" t="str">
        <f t="shared" si="169"/>
        <v/>
      </c>
      <c r="AE473" s="125" t="str">
        <f t="shared" si="177"/>
        <v>ALTER TABLE TB_BANNER ALTER COLUMN DEL_YN SET DEFAULT 'N'::bpchar;</v>
      </c>
      <c r="AF473" s="125" t="str">
        <f t="shared" si="178"/>
        <v>COMMENT ON COLUMN TB_BANNER.DEL_YN IS '삭제 여부' ;</v>
      </c>
      <c r="AG473" s="125" t="str">
        <f t="shared" si="171"/>
        <v>ALTER TABLE TB_BANNER ALTER COLUMN DEL_YN TYPE BPCHAR(1);</v>
      </c>
      <c r="AH473" s="131" t="str">
        <f t="shared" si="175"/>
        <v>ALTER TABLE TB_BANNER ADD COLUMN DEL_YN BPCHAR(1) NOT NULL DEFAULT 'N'::bpchar;</v>
      </c>
      <c r="AI473" s="125" t="str">
        <f t="shared" si="172"/>
        <v>ALTER TABLE TB_BANNER DROP COLUMN DEL_YN;</v>
      </c>
    </row>
    <row r="474" spans="2:35">
      <c r="AE474" s="50" t="str">
        <f t="shared" si="177"/>
        <v/>
      </c>
      <c r="AH474" s="131" t="str">
        <f t="shared" si="175"/>
        <v>ALTER TABLE  ADD COLUMN  ;</v>
      </c>
      <c r="AI474" s="50" t="str">
        <f t="shared" si="172"/>
        <v>ALTER TABLE  DROP COLUMN ;</v>
      </c>
    </row>
    <row r="475" spans="2:35">
      <c r="AE475" s="50" t="str">
        <f t="shared" si="177"/>
        <v/>
      </c>
      <c r="AH475" s="131" t="str">
        <f t="shared" si="175"/>
        <v>ALTER TABLE  ADD COLUMN  ;</v>
      </c>
      <c r="AI475" s="50" t="str">
        <f t="shared" si="172"/>
        <v>ALTER TABLE  DROP COLUMN ;</v>
      </c>
    </row>
    <row r="476" spans="2:35">
      <c r="AE476" s="50" t="str">
        <f t="shared" si="177"/>
        <v/>
      </c>
      <c r="AH476" s="131" t="str">
        <f t="shared" si="175"/>
        <v>ALTER TABLE  ADD COLUMN  ;</v>
      </c>
      <c r="AI476" s="50" t="str">
        <f t="shared" si="172"/>
        <v>ALTER TABLE  DROP COLUMN ;</v>
      </c>
    </row>
    <row r="477" spans="2:35">
      <c r="AE477" s="50" t="str">
        <f t="shared" si="177"/>
        <v/>
      </c>
      <c r="AH477" s="131" t="str">
        <f t="shared" si="175"/>
        <v>ALTER TABLE  ADD COLUMN  ;</v>
      </c>
      <c r="AI477" s="50" t="str">
        <f t="shared" si="172"/>
        <v>ALTER TABLE  DROP COLUMN ;</v>
      </c>
    </row>
    <row r="478" spans="2:35">
      <c r="AE478" s="50" t="str">
        <f t="shared" si="177"/>
        <v/>
      </c>
      <c r="AH478" s="131" t="str">
        <f t="shared" si="175"/>
        <v>ALTER TABLE  ADD COLUMN  ;</v>
      </c>
      <c r="AI478" s="50" t="str">
        <f t="shared" si="172"/>
        <v>ALTER TABLE  DROP COLUMN ;</v>
      </c>
    </row>
    <row r="479" spans="2:35">
      <c r="AE479" s="50" t="str">
        <f t="shared" si="177"/>
        <v/>
      </c>
      <c r="AH479" s="131" t="str">
        <f t="shared" si="175"/>
        <v>ALTER TABLE  ADD COLUMN  ;</v>
      </c>
      <c r="AI479" s="50" t="str">
        <f t="shared" si="172"/>
        <v>ALTER TABLE  DROP COLUMN ;</v>
      </c>
    </row>
    <row r="480" spans="2:35">
      <c r="AE480" s="50" t="str">
        <f t="shared" si="177"/>
        <v/>
      </c>
      <c r="AH480" s="131" t="str">
        <f t="shared" si="175"/>
        <v>ALTER TABLE  ADD COLUMN  ;</v>
      </c>
      <c r="AI480" s="50" t="str">
        <f t="shared" si="172"/>
        <v>ALTER TABLE  DROP COLUMN ;</v>
      </c>
    </row>
    <row r="481" spans="31:35">
      <c r="AE481" s="50" t="str">
        <f t="shared" si="177"/>
        <v/>
      </c>
      <c r="AH481" s="131" t="str">
        <f t="shared" si="175"/>
        <v>ALTER TABLE  ADD COLUMN  ;</v>
      </c>
      <c r="AI481" s="50" t="str">
        <f t="shared" si="172"/>
        <v>ALTER TABLE  DROP COLUMN ;</v>
      </c>
    </row>
    <row r="498" spans="2:24">
      <c r="B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3"/>
      <c r="F499" s="113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113"/>
      <c r="F500" s="113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113"/>
      <c r="F501" s="113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21"/>
      <c r="F502" s="21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114"/>
      <c r="F503" s="11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114"/>
      <c r="F504" s="11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2"/>
      <c r="E505" s="114"/>
      <c r="F505" s="11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2"/>
      <c r="E506" s="114"/>
      <c r="F506" s="11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2"/>
      <c r="E507" s="114"/>
      <c r="F507" s="21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2"/>
      <c r="E508" s="114"/>
      <c r="F508" s="11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2"/>
      <c r="E509" s="21"/>
      <c r="F509" s="113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2"/>
      <c r="E510" s="21"/>
      <c r="F510" s="113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2"/>
      <c r="E511" s="21"/>
      <c r="F511" s="113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2"/>
      <c r="E512" s="114"/>
      <c r="F512" s="11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2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21"/>
      <c r="F516" s="21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C517" s="111"/>
      <c r="D517" s="111"/>
      <c r="E517" s="21"/>
      <c r="F517" s="21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C518" s="111"/>
      <c r="D518" s="111"/>
      <c r="E518" s="21"/>
      <c r="F518" s="21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C519" s="111"/>
      <c r="D519" s="111"/>
      <c r="E519" s="21"/>
      <c r="F519" s="21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C520" s="111"/>
      <c r="D520" s="111"/>
      <c r="E520" s="21"/>
      <c r="F520" s="21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C521" s="111"/>
      <c r="D521" s="111"/>
      <c r="E521" s="21"/>
      <c r="F521" s="21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C522" s="111"/>
      <c r="D522" s="111"/>
      <c r="E522" s="21"/>
      <c r="F522" s="21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C523" s="111"/>
      <c r="D523" s="111"/>
      <c r="E523" s="21"/>
      <c r="F523" s="21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  <row r="524" spans="2:24">
      <c r="B524" s="124"/>
      <c r="C524" s="111"/>
      <c r="D524" s="111"/>
      <c r="E524" s="21"/>
      <c r="F524" s="21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W524" s="124"/>
      <c r="X524" s="124"/>
    </row>
    <row r="525" spans="2:24">
      <c r="B525" s="124"/>
      <c r="C525" s="111"/>
      <c r="D525" s="111"/>
      <c r="E525" s="5"/>
      <c r="F525" s="115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W525" s="124"/>
      <c r="X525" s="124"/>
    </row>
    <row r="526" spans="2:24">
      <c r="B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W526" s="124"/>
      <c r="X526" s="124"/>
    </row>
    <row r="527" spans="2:24">
      <c r="B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W527" s="124"/>
      <c r="X527" s="124"/>
    </row>
    <row r="528" spans="2:24">
      <c r="B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W528" s="124"/>
      <c r="X528" s="124"/>
    </row>
    <row r="529" spans="2:24">
      <c r="B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W529" s="124"/>
      <c r="X529" s="124"/>
    </row>
    <row r="530" spans="2:24">
      <c r="B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W530" s="124"/>
      <c r="X530" s="124"/>
    </row>
    <row r="531" spans="2:24">
      <c r="B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W531" s="124"/>
      <c r="X531" s="124"/>
    </row>
    <row r="532" spans="2:24">
      <c r="B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W532" s="124"/>
      <c r="X532" s="124"/>
    </row>
  </sheetData>
  <autoFilter ref="B4:Y481" xr:uid="{85B6E963-2664-4494-AE6E-E89C8C9EB8F2}">
    <sortState ref="B21:Y472">
      <sortCondition ref="B4:B473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775</v>
      </c>
      <c r="F2" s="92">
        <v>1</v>
      </c>
      <c r="G2" s="101" t="s">
        <v>769</v>
      </c>
      <c r="H2" s="101" t="s">
        <v>770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775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775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775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775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775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775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775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775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775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775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2024-03-06T15:04:49Z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