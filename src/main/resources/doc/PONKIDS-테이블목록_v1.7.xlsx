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902043DD-7D21-4B39-828D-F49FAE9C0BF0}" xr6:coauthVersionLast="36" xr6:coauthVersionMax="36" xr10:uidLastSave="{00000000-0000-0000-0000-000000000000}"/>
  <bookViews>
    <workbookView xWindow="0" yWindow="0" windowWidth="28800" windowHeight="12180" tabRatio="777" xr2:uid="{00000000-000D-0000-FFFF-FFFF00000000}"/>
  </bookViews>
  <sheets>
    <sheet name="테이블 목록" sheetId="25" r:id="rId1"/>
  </sheets>
  <externalReferences>
    <externalReference r:id="rId2"/>
  </externalReferences>
  <definedNames>
    <definedName name="_xlnm._FilterDatabase" localSheetId="0" hidden="1">'테이블 목록'!$A$3:$F$35</definedName>
    <definedName name="baseline">'[1]2.일정추적'!#REF!</definedName>
    <definedName name="_xlnm.Print_Area" localSheetId="0">'테이블 목록'!$A$1:$F$35</definedName>
    <definedName name="_xlnm.Print_Titles" localSheetId="0">'테이블 목록'!$1:$3</definedName>
    <definedName name="rpt_date">'[1]1.요약'!$C$4</definedName>
    <definedName name="T01_컬럼정보_Query">#REF!</definedName>
    <definedName name="tol">'[1]4.1공수분석_개발'!$J$6</definedName>
    <definedName name="ㄴ">#REF!</definedName>
    <definedName name="버전">#REF!</definedName>
  </definedNames>
  <calcPr calcId="191029"/>
</workbook>
</file>

<file path=xl/calcChain.xml><?xml version="1.0" encoding="utf-8"?>
<calcChain xmlns="http://schemas.openxmlformats.org/spreadsheetml/2006/main">
  <c r="H10" i="25" l="1"/>
  <c r="H9" i="25"/>
  <c r="G10" i="25"/>
  <c r="G9" i="25"/>
  <c r="G5" i="25" l="1"/>
  <c r="G6" i="25"/>
  <c r="G7" i="25"/>
  <c r="G8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4" i="25"/>
  <c r="H27" i="25" l="1"/>
  <c r="H26" i="25"/>
  <c r="H25" i="25"/>
  <c r="H24" i="25"/>
  <c r="H23" i="25"/>
  <c r="H5" i="25" l="1"/>
  <c r="H6" i="25"/>
  <c r="H7" i="25"/>
  <c r="H8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8" i="25"/>
  <c r="H29" i="25"/>
  <c r="H30" i="25"/>
  <c r="H31" i="25"/>
  <c r="H32" i="25"/>
  <c r="H33" i="25"/>
  <c r="H34" i="25"/>
  <c r="H35" i="25"/>
  <c r="H36" i="25"/>
  <c r="H37" i="25"/>
  <c r="H4" i="25"/>
</calcChain>
</file>

<file path=xl/sharedStrings.xml><?xml version="1.0" encoding="utf-8"?>
<sst xmlns="http://schemas.openxmlformats.org/spreadsheetml/2006/main" count="180" uniqueCount="111">
  <si>
    <t>테이블명</t>
    <phoneticPr fontId="11" type="noConversion"/>
  </si>
  <si>
    <t>테이블한글명</t>
    <phoneticPr fontId="11" type="noConversion"/>
  </si>
  <si>
    <t>주제영역</t>
  </si>
  <si>
    <t>세부주제영역</t>
  </si>
  <si>
    <t>설명</t>
    <phoneticPr fontId="11" type="noConversion"/>
  </si>
  <si>
    <t>테이블 목록</t>
    <phoneticPr fontId="11" type="noConversion"/>
  </si>
  <si>
    <t>순번</t>
    <phoneticPr fontId="11" type="noConversion"/>
  </si>
  <si>
    <t>PONKIDS</t>
    <phoneticPr fontId="24" type="noConversion"/>
  </si>
  <si>
    <t>사용자</t>
    <phoneticPr fontId="24" type="noConversion"/>
  </si>
  <si>
    <t>TB_USER</t>
    <phoneticPr fontId="24" type="noConversion"/>
  </si>
  <si>
    <t>클래스</t>
    <phoneticPr fontId="24" type="noConversion"/>
  </si>
  <si>
    <t>클래스후기</t>
    <phoneticPr fontId="24" type="noConversion"/>
  </si>
  <si>
    <t>클래스관심</t>
    <phoneticPr fontId="24" type="noConversion"/>
  </si>
  <si>
    <t>게시판</t>
    <phoneticPr fontId="24" type="noConversion"/>
  </si>
  <si>
    <t>팝업</t>
    <phoneticPr fontId="24" type="noConversion"/>
  </si>
  <si>
    <t>시스템</t>
    <phoneticPr fontId="24" type="noConversion"/>
  </si>
  <si>
    <t>TB_CLASS</t>
    <phoneticPr fontId="24" type="noConversion"/>
  </si>
  <si>
    <t>사용자 관리 테이블</t>
    <phoneticPr fontId="24" type="noConversion"/>
  </si>
  <si>
    <t>사용자 그룹 관리 테이블</t>
    <phoneticPr fontId="24" type="noConversion"/>
  </si>
  <si>
    <t>사용자 그룹 권한 내역 관리 테이블</t>
    <phoneticPr fontId="24" type="noConversion"/>
  </si>
  <si>
    <t>클래스 관리 테이블</t>
    <phoneticPr fontId="24" type="noConversion"/>
  </si>
  <si>
    <t>TB_BBS</t>
    <phoneticPr fontId="24" type="noConversion"/>
  </si>
  <si>
    <t>게시판 댓글 내역 관리 테이블</t>
    <phoneticPr fontId="24" type="noConversion"/>
  </si>
  <si>
    <t>TB_POPUP</t>
    <phoneticPr fontId="24" type="noConversion"/>
  </si>
  <si>
    <t>팝업 관리 테이블</t>
    <phoneticPr fontId="24" type="noConversion"/>
  </si>
  <si>
    <t>TB_MENU</t>
    <phoneticPr fontId="24" type="noConversion"/>
  </si>
  <si>
    <t>메뉴</t>
    <phoneticPr fontId="24" type="noConversion"/>
  </si>
  <si>
    <t>메뉴 관리 테이블</t>
    <phoneticPr fontId="24" type="noConversion"/>
  </si>
  <si>
    <t>TB_CMMN_CD</t>
    <phoneticPr fontId="24" type="noConversion"/>
  </si>
  <si>
    <t>TB_CLASS_LIKE</t>
    <phoneticPr fontId="24" type="noConversion"/>
  </si>
  <si>
    <t>PONKIDS</t>
    <phoneticPr fontId="11" type="noConversion"/>
  </si>
  <si>
    <t>사용자자녀</t>
    <phoneticPr fontId="24" type="noConversion"/>
  </si>
  <si>
    <t>사용자 자녀 관리 테이블</t>
    <phoneticPr fontId="24" type="noConversion"/>
  </si>
  <si>
    <t>TB_USER_CHLDRN</t>
    <phoneticPr fontId="24" type="noConversion"/>
  </si>
  <si>
    <t>TB_ROLE</t>
    <phoneticPr fontId="24" type="noConversion"/>
  </si>
  <si>
    <t>TB_USER_ROLE</t>
    <phoneticPr fontId="24" type="noConversion"/>
  </si>
  <si>
    <t>권한</t>
    <phoneticPr fontId="24" type="noConversion"/>
  </si>
  <si>
    <t>사용자권한</t>
    <phoneticPr fontId="24" type="noConversion"/>
  </si>
  <si>
    <t>공통코드</t>
    <phoneticPr fontId="24" type="noConversion"/>
  </si>
  <si>
    <t>클래스상세</t>
    <phoneticPr fontId="24" type="noConversion"/>
  </si>
  <si>
    <t>클래스요일</t>
    <phoneticPr fontId="24" type="noConversion"/>
  </si>
  <si>
    <t>클래스 상세 관리 테이블</t>
    <phoneticPr fontId="24" type="noConversion"/>
  </si>
  <si>
    <t>클래스 요일 관리 테이블</t>
    <phoneticPr fontId="24" type="noConversion"/>
  </si>
  <si>
    <t>클래스 관심(좋아요) 관리 테이블</t>
    <phoneticPr fontId="24" type="noConversion"/>
  </si>
  <si>
    <t>클래스 후기 관리 테이블</t>
    <phoneticPr fontId="24" type="noConversion"/>
  </si>
  <si>
    <t>TB_CLASS_DETAIL</t>
    <phoneticPr fontId="24" type="noConversion"/>
  </si>
  <si>
    <t>TB_CLASS_WEEK</t>
    <phoneticPr fontId="24" type="noConversion"/>
  </si>
  <si>
    <t>클래스문의</t>
    <phoneticPr fontId="24" type="noConversion"/>
  </si>
  <si>
    <t>TB_CLASS_INQRY</t>
    <phoneticPr fontId="24" type="noConversion"/>
  </si>
  <si>
    <t>수업신청</t>
    <phoneticPr fontId="24" type="noConversion"/>
  </si>
  <si>
    <t>클래스 문의(Q&amp;A) 관리 테이블</t>
    <phoneticPr fontId="24" type="noConversion"/>
  </si>
  <si>
    <t>TB_CLASS_REVIEW</t>
    <phoneticPr fontId="24" type="noConversion"/>
  </si>
  <si>
    <t>TB_LCTRE</t>
    <phoneticPr fontId="24" type="noConversion"/>
  </si>
  <si>
    <t>수업</t>
    <phoneticPr fontId="24" type="noConversion"/>
  </si>
  <si>
    <t>수업 관리 테이블 (클래스 하위 항목)</t>
    <phoneticPr fontId="24" type="noConversion"/>
  </si>
  <si>
    <t>TB_LCTRE_REQST</t>
    <phoneticPr fontId="24" type="noConversion"/>
  </si>
  <si>
    <t>수업 신청 내역 관리 테이블</t>
    <phoneticPr fontId="24" type="noConversion"/>
  </si>
  <si>
    <t>TB_CLASS_DETAIL_REQST</t>
    <phoneticPr fontId="24" type="noConversion"/>
  </si>
  <si>
    <t>클래스상세신청</t>
    <phoneticPr fontId="24" type="noConversion"/>
  </si>
  <si>
    <t>클래스 상세 신청 관리 테이블</t>
    <phoneticPr fontId="24" type="noConversion"/>
  </si>
  <si>
    <t>게시물</t>
    <phoneticPr fontId="24" type="noConversion"/>
  </si>
  <si>
    <t>게시물댓글</t>
    <phoneticPr fontId="24" type="noConversion"/>
  </si>
  <si>
    <t>TB_NTT</t>
    <phoneticPr fontId="24" type="noConversion"/>
  </si>
  <si>
    <t>게시물 관리 테이블</t>
    <phoneticPr fontId="24" type="noConversion"/>
  </si>
  <si>
    <t>게시판 관리 테이블</t>
    <phoneticPr fontId="24" type="noConversion"/>
  </si>
  <si>
    <t>클래스상세옵션</t>
    <phoneticPr fontId="24" type="noConversion"/>
  </si>
  <si>
    <t>TB_CLASS_DETAIL_OPTN</t>
    <phoneticPr fontId="24" type="noConversion"/>
  </si>
  <si>
    <t>클래스 상세 옵션 관리 테이블</t>
    <phoneticPr fontId="24" type="noConversion"/>
  </si>
  <si>
    <t>TB_ATCH_FILE</t>
    <phoneticPr fontId="24" type="noConversion"/>
  </si>
  <si>
    <t>첨부파일</t>
    <phoneticPr fontId="24" type="noConversion"/>
  </si>
  <si>
    <t>TB_ATCH_FILE_DETAIL</t>
    <phoneticPr fontId="24" type="noConversion"/>
  </si>
  <si>
    <t>첨부파일상세</t>
    <phoneticPr fontId="24" type="noConversion"/>
  </si>
  <si>
    <t>첨부 파일 상세 관리 테이블</t>
    <phoneticPr fontId="24" type="noConversion"/>
  </si>
  <si>
    <t>첨부 파일 관리 테이블</t>
    <phoneticPr fontId="24" type="noConversion"/>
  </si>
  <si>
    <t>TB_MENU_ROLE</t>
    <phoneticPr fontId="24" type="noConversion"/>
  </si>
  <si>
    <t>메뉴권한</t>
    <phoneticPr fontId="24" type="noConversion"/>
  </si>
  <si>
    <t>메뉴 권한 테이블</t>
    <phoneticPr fontId="24" type="noConversion"/>
  </si>
  <si>
    <t xml:space="preserve"> + 로그성 테이블 추가 예정 + </t>
    <phoneticPr fontId="24" type="noConversion"/>
  </si>
  <si>
    <t>TB_CMMN_CD_DETAIL</t>
    <phoneticPr fontId="24" type="noConversion"/>
  </si>
  <si>
    <t>공통코드상세</t>
    <phoneticPr fontId="24" type="noConversion"/>
  </si>
  <si>
    <t>공통 코드 상세 관리 테이블</t>
    <phoneticPr fontId="24" type="noConversion"/>
  </si>
  <si>
    <t>공통 코드 관리 테이블</t>
    <phoneticPr fontId="24" type="noConversion"/>
  </si>
  <si>
    <t>TB_BANNER</t>
    <phoneticPr fontId="24" type="noConversion"/>
  </si>
  <si>
    <t>배너</t>
    <phoneticPr fontId="24" type="noConversion"/>
  </si>
  <si>
    <t>배너 관리 테이블</t>
    <phoneticPr fontId="24" type="noConversion"/>
  </si>
  <si>
    <t xml:space="preserve"> + 통계성 테이블 추가 예정 + </t>
    <phoneticPr fontId="24" type="noConversion"/>
  </si>
  <si>
    <t>CREATE 문</t>
    <phoneticPr fontId="24" type="noConversion"/>
  </si>
  <si>
    <t>COMMENT</t>
    <phoneticPr fontId="24" type="noConversion"/>
  </si>
  <si>
    <t>설문조사</t>
    <phoneticPr fontId="24" type="noConversion"/>
  </si>
  <si>
    <t>TB_QESTNAR_GROUP</t>
  </si>
  <si>
    <t>TB_QESTNAR_QESTN</t>
  </si>
  <si>
    <t>TB_QESTNAR_QESTN_DETAIL</t>
  </si>
  <si>
    <t>TB_QESTNAR_ANSWER</t>
  </si>
  <si>
    <t>TB_QESTNAR_ANSWER_DETAIL</t>
  </si>
  <si>
    <t>설문조사그룹</t>
    <phoneticPr fontId="24" type="noConversion"/>
  </si>
  <si>
    <t>설문조사질문</t>
    <phoneticPr fontId="24" type="noConversion"/>
  </si>
  <si>
    <t>설문조사답변</t>
    <phoneticPr fontId="24" type="noConversion"/>
  </si>
  <si>
    <t>설문조사답변상세</t>
    <phoneticPr fontId="24" type="noConversion"/>
  </si>
  <si>
    <t>설문조사질문상세</t>
    <phoneticPr fontId="24" type="noConversion"/>
  </si>
  <si>
    <t>설문조사 그룹 관리 테이블</t>
    <phoneticPr fontId="24" type="noConversion"/>
  </si>
  <si>
    <t>설문조사 질문 관리 테이블</t>
    <phoneticPr fontId="24" type="noConversion"/>
  </si>
  <si>
    <t>설문조사 질문 상세 관리 테이블</t>
    <phoneticPr fontId="24" type="noConversion"/>
  </si>
  <si>
    <t>설문조사 답변 관리 테이블</t>
    <phoneticPr fontId="24" type="noConversion"/>
  </si>
  <si>
    <t>설문조사 답변 상세 관리 테이블</t>
    <phoneticPr fontId="24" type="noConversion"/>
  </si>
  <si>
    <t>TB_NTT_REPLY</t>
    <phoneticPr fontId="24" type="noConversion"/>
  </si>
  <si>
    <t>TB_CLASS_CATEGORY_CL02</t>
    <phoneticPr fontId="24" type="noConversion"/>
  </si>
  <si>
    <t>TB_CLASS_CATEGORY_CL01</t>
    <phoneticPr fontId="24" type="noConversion"/>
  </si>
  <si>
    <t>클래스카테고리분류1</t>
    <phoneticPr fontId="24" type="noConversion"/>
  </si>
  <si>
    <t>클래스카테고리분류2</t>
    <phoneticPr fontId="24" type="noConversion"/>
  </si>
  <si>
    <t>클래스 카테고리 분류1 테이블</t>
    <phoneticPr fontId="24" type="noConversion"/>
  </si>
  <si>
    <t>클래스 카테고리 분류2 테이블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</si>
</sst>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2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</borders>
  <cellStyleXfs count="92">
    <xf numFmtId="0" fontId="0" fillId="0" borderId="0"/>
    <xf numFmtId="0" fontId="2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4" fillId="0" borderId="0"/>
    <xf numFmtId="0" fontId="2" fillId="0" borderId="0"/>
    <xf numFmtId="0" fontId="5" fillId="0" borderId="0"/>
    <xf numFmtId="38" fontId="4" fillId="0" borderId="0" applyFont="0" applyFill="0" applyBorder="0" applyAlignment="0" applyProtection="0"/>
    <xf numFmtId="183" fontId="1" fillId="0" borderId="0"/>
    <xf numFmtId="181" fontId="1" fillId="0" borderId="0"/>
    <xf numFmtId="182" fontId="1" fillId="0" borderId="0"/>
    <xf numFmtId="38" fontId="6" fillId="2" borderId="0" applyNumberFormat="0" applyBorder="0" applyAlignment="0" applyProtection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 applyNumberFormat="0" applyFill="0" applyBorder="0" applyAlignment="0" applyProtection="0"/>
    <xf numFmtId="10" fontId="6" fillId="2" borderId="3" applyNumberFormat="0" applyBorder="0" applyAlignment="0" applyProtection="0"/>
    <xf numFmtId="0" fontId="10" fillId="0" borderId="4"/>
    <xf numFmtId="180" fontId="1" fillId="0" borderId="0"/>
    <xf numFmtId="10" fontId="2" fillId="0" borderId="0" applyFont="0" applyFill="0" applyBorder="0" applyAlignment="0" applyProtection="0"/>
    <xf numFmtId="0" fontId="10" fillId="0" borderId="0"/>
    <xf numFmtId="0" fontId="14" fillId="0" borderId="0">
      <alignment vertical="center"/>
    </xf>
    <xf numFmtId="0" fontId="15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</cellStyleXfs>
  <cellXfs count="28">
    <xf numFmtId="0" fontId="0" fillId="0" borderId="0" xfId="0"/>
    <xf numFmtId="49" fontId="13" fillId="0" borderId="0" xfId="0" applyNumberFormat="1" applyFont="1" applyAlignment="1">
      <alignment horizontal="center"/>
    </xf>
    <xf numFmtId="49" fontId="13" fillId="0" borderId="0" xfId="0" applyNumberFormat="1" applyFont="1" applyFill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13" fillId="3" borderId="0" xfId="0" applyFont="1" applyFill="1" applyBorder="1" applyAlignment="1">
      <alignment horizontal="center" wrapText="1"/>
    </xf>
    <xf numFmtId="0" fontId="18" fillId="3" borderId="0" xfId="0" applyFont="1" applyFill="1" applyBorder="1" applyAlignment="1">
      <alignment horizontal="center" wrapText="1"/>
    </xf>
    <xf numFmtId="0" fontId="19" fillId="3" borderId="0" xfId="0" applyFont="1" applyFill="1" applyBorder="1" applyAlignment="1">
      <alignment horizont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21" fillId="4" borderId="7" xfId="0" applyFont="1" applyFill="1" applyBorder="1" applyAlignment="1">
      <alignment horizontal="right" vertical="center"/>
    </xf>
    <xf numFmtId="0" fontId="21" fillId="4" borderId="7" xfId="0" applyFont="1" applyFill="1" applyBorder="1" applyAlignment="1">
      <alignment vertical="center" wrapText="1"/>
    </xf>
    <xf numFmtId="0" fontId="23" fillId="0" borderId="3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vertical="center"/>
    </xf>
    <xf numFmtId="0" fontId="25" fillId="0" borderId="3" xfId="0" applyFont="1" applyFill="1" applyBorder="1" applyAlignment="1">
      <alignment horizontal="left" vertical="center"/>
    </xf>
    <xf numFmtId="0" fontId="26" fillId="0" borderId="3" xfId="0" applyFont="1" applyFill="1" applyBorder="1" applyAlignment="1">
      <alignment horizontal="left"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top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left" vertical="center"/>
    </xf>
    <xf numFmtId="184" fontId="20" fillId="5" borderId="5" xfId="0" applyNumberFormat="1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3" fillId="0" borderId="3" xfId="0" quotePrefix="1" applyFont="1" applyFill="1" applyBorder="1" applyAlignment="1">
      <alignment horizontal="center" vertical="center"/>
    </xf>
  </cellXfs>
  <cellStyles count="92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94.37\p6task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8"/>
  <sheetViews>
    <sheetView tabSelected="1" zoomScale="115" zoomScaleNormal="115" zoomScaleSheetLayoutView="100" workbookViewId="0">
      <selection activeCell="D11" sqref="D11"/>
    </sheetView>
  </sheetViews>
  <sheetFormatPr defaultRowHeight="13.5" x14ac:dyDescent="0.15"/>
  <cols>
    <col min="1" max="1" width="9.5546875" style="9" customWidth="1"/>
    <col min="2" max="2" width="10.6640625" style="9" bestFit="1" customWidth="1"/>
    <col min="3" max="3" width="13.5546875" style="7" bestFit="1" customWidth="1"/>
    <col min="4" max="4" width="24.21875" style="7" customWidth="1"/>
    <col min="5" max="5" width="28.77734375" style="8" customWidth="1"/>
    <col min="6" max="6" width="39.6640625" style="9" customWidth="1"/>
    <col min="7" max="7" width="35.44140625" style="7" customWidth="1"/>
    <col min="8" max="253" width="8.88671875" style="7"/>
    <col min="254" max="254" width="8.77734375" style="7" customWidth="1"/>
    <col min="255" max="255" width="10.44140625" style="7" customWidth="1"/>
    <col min="256" max="256" width="22.21875" style="7" customWidth="1"/>
    <col min="257" max="257" width="18.6640625" style="7" bestFit="1" customWidth="1"/>
    <col min="258" max="258" width="7.5546875" style="7" customWidth="1"/>
    <col min="259" max="259" width="6.77734375" style="7" customWidth="1"/>
    <col min="260" max="260" width="7.44140625" style="7" customWidth="1"/>
    <col min="261" max="261" width="19.21875" style="7" bestFit="1" customWidth="1"/>
    <col min="262" max="262" width="19.33203125" style="7" customWidth="1"/>
    <col min="263" max="509" width="8.88671875" style="7"/>
    <col min="510" max="510" width="8.77734375" style="7" customWidth="1"/>
    <col min="511" max="511" width="10.44140625" style="7" customWidth="1"/>
    <col min="512" max="512" width="22.21875" style="7" customWidth="1"/>
    <col min="513" max="513" width="18.6640625" style="7" bestFit="1" customWidth="1"/>
    <col min="514" max="514" width="7.5546875" style="7" customWidth="1"/>
    <col min="515" max="515" width="6.77734375" style="7" customWidth="1"/>
    <col min="516" max="516" width="7.44140625" style="7" customWidth="1"/>
    <col min="517" max="517" width="19.21875" style="7" bestFit="1" customWidth="1"/>
    <col min="518" max="518" width="19.33203125" style="7" customWidth="1"/>
    <col min="519" max="765" width="8.88671875" style="7"/>
    <col min="766" max="766" width="8.77734375" style="7" customWidth="1"/>
    <col min="767" max="767" width="10.44140625" style="7" customWidth="1"/>
    <col min="768" max="768" width="22.21875" style="7" customWidth="1"/>
    <col min="769" max="769" width="18.6640625" style="7" bestFit="1" customWidth="1"/>
    <col min="770" max="770" width="7.5546875" style="7" customWidth="1"/>
    <col min="771" max="771" width="6.77734375" style="7" customWidth="1"/>
    <col min="772" max="772" width="7.44140625" style="7" customWidth="1"/>
    <col min="773" max="773" width="19.21875" style="7" bestFit="1" customWidth="1"/>
    <col min="774" max="774" width="19.33203125" style="7" customWidth="1"/>
    <col min="775" max="1021" width="8.88671875" style="7"/>
    <col min="1022" max="1022" width="8.77734375" style="7" customWidth="1"/>
    <col min="1023" max="1023" width="10.44140625" style="7" customWidth="1"/>
    <col min="1024" max="1024" width="22.21875" style="7" customWidth="1"/>
    <col min="1025" max="1025" width="18.6640625" style="7" bestFit="1" customWidth="1"/>
    <col min="1026" max="1026" width="7.5546875" style="7" customWidth="1"/>
    <col min="1027" max="1027" width="6.77734375" style="7" customWidth="1"/>
    <col min="1028" max="1028" width="7.44140625" style="7" customWidth="1"/>
    <col min="1029" max="1029" width="19.21875" style="7" bestFit="1" customWidth="1"/>
    <col min="1030" max="1030" width="19.33203125" style="7" customWidth="1"/>
    <col min="1031" max="1277" width="8.88671875" style="7"/>
    <col min="1278" max="1278" width="8.77734375" style="7" customWidth="1"/>
    <col min="1279" max="1279" width="10.44140625" style="7" customWidth="1"/>
    <col min="1280" max="1280" width="22.21875" style="7" customWidth="1"/>
    <col min="1281" max="1281" width="18.6640625" style="7" bestFit="1" customWidth="1"/>
    <col min="1282" max="1282" width="7.5546875" style="7" customWidth="1"/>
    <col min="1283" max="1283" width="6.77734375" style="7" customWidth="1"/>
    <col min="1284" max="1284" width="7.44140625" style="7" customWidth="1"/>
    <col min="1285" max="1285" width="19.21875" style="7" bestFit="1" customWidth="1"/>
    <col min="1286" max="1286" width="19.33203125" style="7" customWidth="1"/>
    <col min="1287" max="1533" width="8.88671875" style="7"/>
    <col min="1534" max="1534" width="8.77734375" style="7" customWidth="1"/>
    <col min="1535" max="1535" width="10.44140625" style="7" customWidth="1"/>
    <col min="1536" max="1536" width="22.21875" style="7" customWidth="1"/>
    <col min="1537" max="1537" width="18.6640625" style="7" bestFit="1" customWidth="1"/>
    <col min="1538" max="1538" width="7.5546875" style="7" customWidth="1"/>
    <col min="1539" max="1539" width="6.77734375" style="7" customWidth="1"/>
    <col min="1540" max="1540" width="7.44140625" style="7" customWidth="1"/>
    <col min="1541" max="1541" width="19.21875" style="7" bestFit="1" customWidth="1"/>
    <col min="1542" max="1542" width="19.33203125" style="7" customWidth="1"/>
    <col min="1543" max="1789" width="8.88671875" style="7"/>
    <col min="1790" max="1790" width="8.77734375" style="7" customWidth="1"/>
    <col min="1791" max="1791" width="10.44140625" style="7" customWidth="1"/>
    <col min="1792" max="1792" width="22.21875" style="7" customWidth="1"/>
    <col min="1793" max="1793" width="18.6640625" style="7" bestFit="1" customWidth="1"/>
    <col min="1794" max="1794" width="7.5546875" style="7" customWidth="1"/>
    <col min="1795" max="1795" width="6.77734375" style="7" customWidth="1"/>
    <col min="1796" max="1796" width="7.44140625" style="7" customWidth="1"/>
    <col min="1797" max="1797" width="19.21875" style="7" bestFit="1" customWidth="1"/>
    <col min="1798" max="1798" width="19.33203125" style="7" customWidth="1"/>
    <col min="1799" max="2045" width="8.88671875" style="7"/>
    <col min="2046" max="2046" width="8.77734375" style="7" customWidth="1"/>
    <col min="2047" max="2047" width="10.44140625" style="7" customWidth="1"/>
    <col min="2048" max="2048" width="22.21875" style="7" customWidth="1"/>
    <col min="2049" max="2049" width="18.6640625" style="7" bestFit="1" customWidth="1"/>
    <col min="2050" max="2050" width="7.5546875" style="7" customWidth="1"/>
    <col min="2051" max="2051" width="6.77734375" style="7" customWidth="1"/>
    <col min="2052" max="2052" width="7.44140625" style="7" customWidth="1"/>
    <col min="2053" max="2053" width="19.21875" style="7" bestFit="1" customWidth="1"/>
    <col min="2054" max="2054" width="19.33203125" style="7" customWidth="1"/>
    <col min="2055" max="2301" width="8.88671875" style="7"/>
    <col min="2302" max="2302" width="8.77734375" style="7" customWidth="1"/>
    <col min="2303" max="2303" width="10.44140625" style="7" customWidth="1"/>
    <col min="2304" max="2304" width="22.21875" style="7" customWidth="1"/>
    <col min="2305" max="2305" width="18.6640625" style="7" bestFit="1" customWidth="1"/>
    <col min="2306" max="2306" width="7.5546875" style="7" customWidth="1"/>
    <col min="2307" max="2307" width="6.77734375" style="7" customWidth="1"/>
    <col min="2308" max="2308" width="7.44140625" style="7" customWidth="1"/>
    <col min="2309" max="2309" width="19.21875" style="7" bestFit="1" customWidth="1"/>
    <col min="2310" max="2310" width="19.33203125" style="7" customWidth="1"/>
    <col min="2311" max="2557" width="8.88671875" style="7"/>
    <col min="2558" max="2558" width="8.77734375" style="7" customWidth="1"/>
    <col min="2559" max="2559" width="10.44140625" style="7" customWidth="1"/>
    <col min="2560" max="2560" width="22.21875" style="7" customWidth="1"/>
    <col min="2561" max="2561" width="18.6640625" style="7" bestFit="1" customWidth="1"/>
    <col min="2562" max="2562" width="7.5546875" style="7" customWidth="1"/>
    <col min="2563" max="2563" width="6.77734375" style="7" customWidth="1"/>
    <col min="2564" max="2564" width="7.44140625" style="7" customWidth="1"/>
    <col min="2565" max="2565" width="19.21875" style="7" bestFit="1" customWidth="1"/>
    <col min="2566" max="2566" width="19.33203125" style="7" customWidth="1"/>
    <col min="2567" max="2813" width="8.88671875" style="7"/>
    <col min="2814" max="2814" width="8.77734375" style="7" customWidth="1"/>
    <col min="2815" max="2815" width="10.44140625" style="7" customWidth="1"/>
    <col min="2816" max="2816" width="22.21875" style="7" customWidth="1"/>
    <col min="2817" max="2817" width="18.6640625" style="7" bestFit="1" customWidth="1"/>
    <col min="2818" max="2818" width="7.5546875" style="7" customWidth="1"/>
    <col min="2819" max="2819" width="6.77734375" style="7" customWidth="1"/>
    <col min="2820" max="2820" width="7.44140625" style="7" customWidth="1"/>
    <col min="2821" max="2821" width="19.21875" style="7" bestFit="1" customWidth="1"/>
    <col min="2822" max="2822" width="19.33203125" style="7" customWidth="1"/>
    <col min="2823" max="3069" width="8.88671875" style="7"/>
    <col min="3070" max="3070" width="8.77734375" style="7" customWidth="1"/>
    <col min="3071" max="3071" width="10.44140625" style="7" customWidth="1"/>
    <col min="3072" max="3072" width="22.21875" style="7" customWidth="1"/>
    <col min="3073" max="3073" width="18.6640625" style="7" bestFit="1" customWidth="1"/>
    <col min="3074" max="3074" width="7.5546875" style="7" customWidth="1"/>
    <col min="3075" max="3075" width="6.77734375" style="7" customWidth="1"/>
    <col min="3076" max="3076" width="7.44140625" style="7" customWidth="1"/>
    <col min="3077" max="3077" width="19.21875" style="7" bestFit="1" customWidth="1"/>
    <col min="3078" max="3078" width="19.33203125" style="7" customWidth="1"/>
    <col min="3079" max="3325" width="8.88671875" style="7"/>
    <col min="3326" max="3326" width="8.77734375" style="7" customWidth="1"/>
    <col min="3327" max="3327" width="10.44140625" style="7" customWidth="1"/>
    <col min="3328" max="3328" width="22.21875" style="7" customWidth="1"/>
    <col min="3329" max="3329" width="18.6640625" style="7" bestFit="1" customWidth="1"/>
    <col min="3330" max="3330" width="7.5546875" style="7" customWidth="1"/>
    <col min="3331" max="3331" width="6.77734375" style="7" customWidth="1"/>
    <col min="3332" max="3332" width="7.44140625" style="7" customWidth="1"/>
    <col min="3333" max="3333" width="19.21875" style="7" bestFit="1" customWidth="1"/>
    <col min="3334" max="3334" width="19.33203125" style="7" customWidth="1"/>
    <col min="3335" max="3581" width="8.88671875" style="7"/>
    <col min="3582" max="3582" width="8.77734375" style="7" customWidth="1"/>
    <col min="3583" max="3583" width="10.44140625" style="7" customWidth="1"/>
    <col min="3584" max="3584" width="22.21875" style="7" customWidth="1"/>
    <col min="3585" max="3585" width="18.6640625" style="7" bestFit="1" customWidth="1"/>
    <col min="3586" max="3586" width="7.5546875" style="7" customWidth="1"/>
    <col min="3587" max="3587" width="6.77734375" style="7" customWidth="1"/>
    <col min="3588" max="3588" width="7.44140625" style="7" customWidth="1"/>
    <col min="3589" max="3589" width="19.21875" style="7" bestFit="1" customWidth="1"/>
    <col min="3590" max="3590" width="19.33203125" style="7" customWidth="1"/>
    <col min="3591" max="3837" width="8.88671875" style="7"/>
    <col min="3838" max="3838" width="8.77734375" style="7" customWidth="1"/>
    <col min="3839" max="3839" width="10.44140625" style="7" customWidth="1"/>
    <col min="3840" max="3840" width="22.21875" style="7" customWidth="1"/>
    <col min="3841" max="3841" width="18.6640625" style="7" bestFit="1" customWidth="1"/>
    <col min="3842" max="3842" width="7.5546875" style="7" customWidth="1"/>
    <col min="3843" max="3843" width="6.77734375" style="7" customWidth="1"/>
    <col min="3844" max="3844" width="7.44140625" style="7" customWidth="1"/>
    <col min="3845" max="3845" width="19.21875" style="7" bestFit="1" customWidth="1"/>
    <col min="3846" max="3846" width="19.33203125" style="7" customWidth="1"/>
    <col min="3847" max="4093" width="8.88671875" style="7"/>
    <col min="4094" max="4094" width="8.77734375" style="7" customWidth="1"/>
    <col min="4095" max="4095" width="10.44140625" style="7" customWidth="1"/>
    <col min="4096" max="4096" width="22.21875" style="7" customWidth="1"/>
    <col min="4097" max="4097" width="18.6640625" style="7" bestFit="1" customWidth="1"/>
    <col min="4098" max="4098" width="7.5546875" style="7" customWidth="1"/>
    <col min="4099" max="4099" width="6.77734375" style="7" customWidth="1"/>
    <col min="4100" max="4100" width="7.44140625" style="7" customWidth="1"/>
    <col min="4101" max="4101" width="19.21875" style="7" bestFit="1" customWidth="1"/>
    <col min="4102" max="4102" width="19.33203125" style="7" customWidth="1"/>
    <col min="4103" max="4349" width="8.88671875" style="7"/>
    <col min="4350" max="4350" width="8.77734375" style="7" customWidth="1"/>
    <col min="4351" max="4351" width="10.44140625" style="7" customWidth="1"/>
    <col min="4352" max="4352" width="22.21875" style="7" customWidth="1"/>
    <col min="4353" max="4353" width="18.6640625" style="7" bestFit="1" customWidth="1"/>
    <col min="4354" max="4354" width="7.5546875" style="7" customWidth="1"/>
    <col min="4355" max="4355" width="6.77734375" style="7" customWidth="1"/>
    <col min="4356" max="4356" width="7.44140625" style="7" customWidth="1"/>
    <col min="4357" max="4357" width="19.21875" style="7" bestFit="1" customWidth="1"/>
    <col min="4358" max="4358" width="19.33203125" style="7" customWidth="1"/>
    <col min="4359" max="4605" width="8.88671875" style="7"/>
    <col min="4606" max="4606" width="8.77734375" style="7" customWidth="1"/>
    <col min="4607" max="4607" width="10.44140625" style="7" customWidth="1"/>
    <col min="4608" max="4608" width="22.21875" style="7" customWidth="1"/>
    <col min="4609" max="4609" width="18.6640625" style="7" bestFit="1" customWidth="1"/>
    <col min="4610" max="4610" width="7.5546875" style="7" customWidth="1"/>
    <col min="4611" max="4611" width="6.77734375" style="7" customWidth="1"/>
    <col min="4612" max="4612" width="7.44140625" style="7" customWidth="1"/>
    <col min="4613" max="4613" width="19.21875" style="7" bestFit="1" customWidth="1"/>
    <col min="4614" max="4614" width="19.33203125" style="7" customWidth="1"/>
    <col min="4615" max="4861" width="8.88671875" style="7"/>
    <col min="4862" max="4862" width="8.77734375" style="7" customWidth="1"/>
    <col min="4863" max="4863" width="10.44140625" style="7" customWidth="1"/>
    <col min="4864" max="4864" width="22.21875" style="7" customWidth="1"/>
    <col min="4865" max="4865" width="18.6640625" style="7" bestFit="1" customWidth="1"/>
    <col min="4866" max="4866" width="7.5546875" style="7" customWidth="1"/>
    <col min="4867" max="4867" width="6.77734375" style="7" customWidth="1"/>
    <col min="4868" max="4868" width="7.44140625" style="7" customWidth="1"/>
    <col min="4869" max="4869" width="19.21875" style="7" bestFit="1" customWidth="1"/>
    <col min="4870" max="4870" width="19.33203125" style="7" customWidth="1"/>
    <col min="4871" max="5117" width="8.88671875" style="7"/>
    <col min="5118" max="5118" width="8.77734375" style="7" customWidth="1"/>
    <col min="5119" max="5119" width="10.44140625" style="7" customWidth="1"/>
    <col min="5120" max="5120" width="22.21875" style="7" customWidth="1"/>
    <col min="5121" max="5121" width="18.6640625" style="7" bestFit="1" customWidth="1"/>
    <col min="5122" max="5122" width="7.5546875" style="7" customWidth="1"/>
    <col min="5123" max="5123" width="6.77734375" style="7" customWidth="1"/>
    <col min="5124" max="5124" width="7.44140625" style="7" customWidth="1"/>
    <col min="5125" max="5125" width="19.21875" style="7" bestFit="1" customWidth="1"/>
    <col min="5126" max="5126" width="19.33203125" style="7" customWidth="1"/>
    <col min="5127" max="5373" width="8.88671875" style="7"/>
    <col min="5374" max="5374" width="8.77734375" style="7" customWidth="1"/>
    <col min="5375" max="5375" width="10.44140625" style="7" customWidth="1"/>
    <col min="5376" max="5376" width="22.21875" style="7" customWidth="1"/>
    <col min="5377" max="5377" width="18.6640625" style="7" bestFit="1" customWidth="1"/>
    <col min="5378" max="5378" width="7.5546875" style="7" customWidth="1"/>
    <col min="5379" max="5379" width="6.77734375" style="7" customWidth="1"/>
    <col min="5380" max="5380" width="7.44140625" style="7" customWidth="1"/>
    <col min="5381" max="5381" width="19.21875" style="7" bestFit="1" customWidth="1"/>
    <col min="5382" max="5382" width="19.33203125" style="7" customWidth="1"/>
    <col min="5383" max="5629" width="8.88671875" style="7"/>
    <col min="5630" max="5630" width="8.77734375" style="7" customWidth="1"/>
    <col min="5631" max="5631" width="10.44140625" style="7" customWidth="1"/>
    <col min="5632" max="5632" width="22.21875" style="7" customWidth="1"/>
    <col min="5633" max="5633" width="18.6640625" style="7" bestFit="1" customWidth="1"/>
    <col min="5634" max="5634" width="7.5546875" style="7" customWidth="1"/>
    <col min="5635" max="5635" width="6.77734375" style="7" customWidth="1"/>
    <col min="5636" max="5636" width="7.44140625" style="7" customWidth="1"/>
    <col min="5637" max="5637" width="19.21875" style="7" bestFit="1" customWidth="1"/>
    <col min="5638" max="5638" width="19.33203125" style="7" customWidth="1"/>
    <col min="5639" max="5885" width="8.88671875" style="7"/>
    <col min="5886" max="5886" width="8.77734375" style="7" customWidth="1"/>
    <col min="5887" max="5887" width="10.44140625" style="7" customWidth="1"/>
    <col min="5888" max="5888" width="22.21875" style="7" customWidth="1"/>
    <col min="5889" max="5889" width="18.6640625" style="7" bestFit="1" customWidth="1"/>
    <col min="5890" max="5890" width="7.5546875" style="7" customWidth="1"/>
    <col min="5891" max="5891" width="6.77734375" style="7" customWidth="1"/>
    <col min="5892" max="5892" width="7.44140625" style="7" customWidth="1"/>
    <col min="5893" max="5893" width="19.21875" style="7" bestFit="1" customWidth="1"/>
    <col min="5894" max="5894" width="19.33203125" style="7" customWidth="1"/>
    <col min="5895" max="6141" width="8.88671875" style="7"/>
    <col min="6142" max="6142" width="8.77734375" style="7" customWidth="1"/>
    <col min="6143" max="6143" width="10.44140625" style="7" customWidth="1"/>
    <col min="6144" max="6144" width="22.21875" style="7" customWidth="1"/>
    <col min="6145" max="6145" width="18.6640625" style="7" bestFit="1" customWidth="1"/>
    <col min="6146" max="6146" width="7.5546875" style="7" customWidth="1"/>
    <col min="6147" max="6147" width="6.77734375" style="7" customWidth="1"/>
    <col min="6148" max="6148" width="7.44140625" style="7" customWidth="1"/>
    <col min="6149" max="6149" width="19.21875" style="7" bestFit="1" customWidth="1"/>
    <col min="6150" max="6150" width="19.33203125" style="7" customWidth="1"/>
    <col min="6151" max="6397" width="8.88671875" style="7"/>
    <col min="6398" max="6398" width="8.77734375" style="7" customWidth="1"/>
    <col min="6399" max="6399" width="10.44140625" style="7" customWidth="1"/>
    <col min="6400" max="6400" width="22.21875" style="7" customWidth="1"/>
    <col min="6401" max="6401" width="18.6640625" style="7" bestFit="1" customWidth="1"/>
    <col min="6402" max="6402" width="7.5546875" style="7" customWidth="1"/>
    <col min="6403" max="6403" width="6.77734375" style="7" customWidth="1"/>
    <col min="6404" max="6404" width="7.44140625" style="7" customWidth="1"/>
    <col min="6405" max="6405" width="19.21875" style="7" bestFit="1" customWidth="1"/>
    <col min="6406" max="6406" width="19.33203125" style="7" customWidth="1"/>
    <col min="6407" max="6653" width="8.88671875" style="7"/>
    <col min="6654" max="6654" width="8.77734375" style="7" customWidth="1"/>
    <col min="6655" max="6655" width="10.44140625" style="7" customWidth="1"/>
    <col min="6656" max="6656" width="22.21875" style="7" customWidth="1"/>
    <col min="6657" max="6657" width="18.6640625" style="7" bestFit="1" customWidth="1"/>
    <col min="6658" max="6658" width="7.5546875" style="7" customWidth="1"/>
    <col min="6659" max="6659" width="6.77734375" style="7" customWidth="1"/>
    <col min="6660" max="6660" width="7.44140625" style="7" customWidth="1"/>
    <col min="6661" max="6661" width="19.21875" style="7" bestFit="1" customWidth="1"/>
    <col min="6662" max="6662" width="19.33203125" style="7" customWidth="1"/>
    <col min="6663" max="6909" width="8.88671875" style="7"/>
    <col min="6910" max="6910" width="8.77734375" style="7" customWidth="1"/>
    <col min="6911" max="6911" width="10.44140625" style="7" customWidth="1"/>
    <col min="6912" max="6912" width="22.21875" style="7" customWidth="1"/>
    <col min="6913" max="6913" width="18.6640625" style="7" bestFit="1" customWidth="1"/>
    <col min="6914" max="6914" width="7.5546875" style="7" customWidth="1"/>
    <col min="6915" max="6915" width="6.77734375" style="7" customWidth="1"/>
    <col min="6916" max="6916" width="7.44140625" style="7" customWidth="1"/>
    <col min="6917" max="6917" width="19.21875" style="7" bestFit="1" customWidth="1"/>
    <col min="6918" max="6918" width="19.33203125" style="7" customWidth="1"/>
    <col min="6919" max="7165" width="8.88671875" style="7"/>
    <col min="7166" max="7166" width="8.77734375" style="7" customWidth="1"/>
    <col min="7167" max="7167" width="10.44140625" style="7" customWidth="1"/>
    <col min="7168" max="7168" width="22.21875" style="7" customWidth="1"/>
    <col min="7169" max="7169" width="18.6640625" style="7" bestFit="1" customWidth="1"/>
    <col min="7170" max="7170" width="7.5546875" style="7" customWidth="1"/>
    <col min="7171" max="7171" width="6.77734375" style="7" customWidth="1"/>
    <col min="7172" max="7172" width="7.44140625" style="7" customWidth="1"/>
    <col min="7173" max="7173" width="19.21875" style="7" bestFit="1" customWidth="1"/>
    <col min="7174" max="7174" width="19.33203125" style="7" customWidth="1"/>
    <col min="7175" max="7421" width="8.88671875" style="7"/>
    <col min="7422" max="7422" width="8.77734375" style="7" customWidth="1"/>
    <col min="7423" max="7423" width="10.44140625" style="7" customWidth="1"/>
    <col min="7424" max="7424" width="22.21875" style="7" customWidth="1"/>
    <col min="7425" max="7425" width="18.6640625" style="7" bestFit="1" customWidth="1"/>
    <col min="7426" max="7426" width="7.5546875" style="7" customWidth="1"/>
    <col min="7427" max="7427" width="6.77734375" style="7" customWidth="1"/>
    <col min="7428" max="7428" width="7.44140625" style="7" customWidth="1"/>
    <col min="7429" max="7429" width="19.21875" style="7" bestFit="1" customWidth="1"/>
    <col min="7430" max="7430" width="19.33203125" style="7" customWidth="1"/>
    <col min="7431" max="7677" width="8.88671875" style="7"/>
    <col min="7678" max="7678" width="8.77734375" style="7" customWidth="1"/>
    <col min="7679" max="7679" width="10.44140625" style="7" customWidth="1"/>
    <col min="7680" max="7680" width="22.21875" style="7" customWidth="1"/>
    <col min="7681" max="7681" width="18.6640625" style="7" bestFit="1" customWidth="1"/>
    <col min="7682" max="7682" width="7.5546875" style="7" customWidth="1"/>
    <col min="7683" max="7683" width="6.77734375" style="7" customWidth="1"/>
    <col min="7684" max="7684" width="7.44140625" style="7" customWidth="1"/>
    <col min="7685" max="7685" width="19.21875" style="7" bestFit="1" customWidth="1"/>
    <col min="7686" max="7686" width="19.33203125" style="7" customWidth="1"/>
    <col min="7687" max="7933" width="8.88671875" style="7"/>
    <col min="7934" max="7934" width="8.77734375" style="7" customWidth="1"/>
    <col min="7935" max="7935" width="10.44140625" style="7" customWidth="1"/>
    <col min="7936" max="7936" width="22.21875" style="7" customWidth="1"/>
    <col min="7937" max="7937" width="18.6640625" style="7" bestFit="1" customWidth="1"/>
    <col min="7938" max="7938" width="7.5546875" style="7" customWidth="1"/>
    <col min="7939" max="7939" width="6.77734375" style="7" customWidth="1"/>
    <col min="7940" max="7940" width="7.44140625" style="7" customWidth="1"/>
    <col min="7941" max="7941" width="19.21875" style="7" bestFit="1" customWidth="1"/>
    <col min="7942" max="7942" width="19.33203125" style="7" customWidth="1"/>
    <col min="7943" max="8189" width="8.88671875" style="7"/>
    <col min="8190" max="8190" width="8.77734375" style="7" customWidth="1"/>
    <col min="8191" max="8191" width="10.44140625" style="7" customWidth="1"/>
    <col min="8192" max="8192" width="22.21875" style="7" customWidth="1"/>
    <col min="8193" max="8193" width="18.6640625" style="7" bestFit="1" customWidth="1"/>
    <col min="8194" max="8194" width="7.5546875" style="7" customWidth="1"/>
    <col min="8195" max="8195" width="6.77734375" style="7" customWidth="1"/>
    <col min="8196" max="8196" width="7.44140625" style="7" customWidth="1"/>
    <col min="8197" max="8197" width="19.21875" style="7" bestFit="1" customWidth="1"/>
    <col min="8198" max="8198" width="19.33203125" style="7" customWidth="1"/>
    <col min="8199" max="8445" width="8.88671875" style="7"/>
    <col min="8446" max="8446" width="8.77734375" style="7" customWidth="1"/>
    <col min="8447" max="8447" width="10.44140625" style="7" customWidth="1"/>
    <col min="8448" max="8448" width="22.21875" style="7" customWidth="1"/>
    <col min="8449" max="8449" width="18.6640625" style="7" bestFit="1" customWidth="1"/>
    <col min="8450" max="8450" width="7.5546875" style="7" customWidth="1"/>
    <col min="8451" max="8451" width="6.77734375" style="7" customWidth="1"/>
    <col min="8452" max="8452" width="7.44140625" style="7" customWidth="1"/>
    <col min="8453" max="8453" width="19.21875" style="7" bestFit="1" customWidth="1"/>
    <col min="8454" max="8454" width="19.33203125" style="7" customWidth="1"/>
    <col min="8455" max="8701" width="8.88671875" style="7"/>
    <col min="8702" max="8702" width="8.77734375" style="7" customWidth="1"/>
    <col min="8703" max="8703" width="10.44140625" style="7" customWidth="1"/>
    <col min="8704" max="8704" width="22.21875" style="7" customWidth="1"/>
    <col min="8705" max="8705" width="18.6640625" style="7" bestFit="1" customWidth="1"/>
    <col min="8706" max="8706" width="7.5546875" style="7" customWidth="1"/>
    <col min="8707" max="8707" width="6.77734375" style="7" customWidth="1"/>
    <col min="8708" max="8708" width="7.44140625" style="7" customWidth="1"/>
    <col min="8709" max="8709" width="19.21875" style="7" bestFit="1" customWidth="1"/>
    <col min="8710" max="8710" width="19.33203125" style="7" customWidth="1"/>
    <col min="8711" max="8957" width="8.88671875" style="7"/>
    <col min="8958" max="8958" width="8.77734375" style="7" customWidth="1"/>
    <col min="8959" max="8959" width="10.44140625" style="7" customWidth="1"/>
    <col min="8960" max="8960" width="22.21875" style="7" customWidth="1"/>
    <col min="8961" max="8961" width="18.6640625" style="7" bestFit="1" customWidth="1"/>
    <col min="8962" max="8962" width="7.5546875" style="7" customWidth="1"/>
    <col min="8963" max="8963" width="6.77734375" style="7" customWidth="1"/>
    <col min="8964" max="8964" width="7.44140625" style="7" customWidth="1"/>
    <col min="8965" max="8965" width="19.21875" style="7" bestFit="1" customWidth="1"/>
    <col min="8966" max="8966" width="19.33203125" style="7" customWidth="1"/>
    <col min="8967" max="9213" width="8.88671875" style="7"/>
    <col min="9214" max="9214" width="8.77734375" style="7" customWidth="1"/>
    <col min="9215" max="9215" width="10.44140625" style="7" customWidth="1"/>
    <col min="9216" max="9216" width="22.21875" style="7" customWidth="1"/>
    <col min="9217" max="9217" width="18.6640625" style="7" bestFit="1" customWidth="1"/>
    <col min="9218" max="9218" width="7.5546875" style="7" customWidth="1"/>
    <col min="9219" max="9219" width="6.77734375" style="7" customWidth="1"/>
    <col min="9220" max="9220" width="7.44140625" style="7" customWidth="1"/>
    <col min="9221" max="9221" width="19.21875" style="7" bestFit="1" customWidth="1"/>
    <col min="9222" max="9222" width="19.33203125" style="7" customWidth="1"/>
    <col min="9223" max="9469" width="8.88671875" style="7"/>
    <col min="9470" max="9470" width="8.77734375" style="7" customWidth="1"/>
    <col min="9471" max="9471" width="10.44140625" style="7" customWidth="1"/>
    <col min="9472" max="9472" width="22.21875" style="7" customWidth="1"/>
    <col min="9473" max="9473" width="18.6640625" style="7" bestFit="1" customWidth="1"/>
    <col min="9474" max="9474" width="7.5546875" style="7" customWidth="1"/>
    <col min="9475" max="9475" width="6.77734375" style="7" customWidth="1"/>
    <col min="9476" max="9476" width="7.44140625" style="7" customWidth="1"/>
    <col min="9477" max="9477" width="19.21875" style="7" bestFit="1" customWidth="1"/>
    <col min="9478" max="9478" width="19.33203125" style="7" customWidth="1"/>
    <col min="9479" max="9725" width="8.88671875" style="7"/>
    <col min="9726" max="9726" width="8.77734375" style="7" customWidth="1"/>
    <col min="9727" max="9727" width="10.44140625" style="7" customWidth="1"/>
    <col min="9728" max="9728" width="22.21875" style="7" customWidth="1"/>
    <col min="9729" max="9729" width="18.6640625" style="7" bestFit="1" customWidth="1"/>
    <col min="9730" max="9730" width="7.5546875" style="7" customWidth="1"/>
    <col min="9731" max="9731" width="6.77734375" style="7" customWidth="1"/>
    <col min="9732" max="9732" width="7.44140625" style="7" customWidth="1"/>
    <col min="9733" max="9733" width="19.21875" style="7" bestFit="1" customWidth="1"/>
    <col min="9734" max="9734" width="19.33203125" style="7" customWidth="1"/>
    <col min="9735" max="9981" width="8.88671875" style="7"/>
    <col min="9982" max="9982" width="8.77734375" style="7" customWidth="1"/>
    <col min="9983" max="9983" width="10.44140625" style="7" customWidth="1"/>
    <col min="9984" max="9984" width="22.21875" style="7" customWidth="1"/>
    <col min="9985" max="9985" width="18.6640625" style="7" bestFit="1" customWidth="1"/>
    <col min="9986" max="9986" width="7.5546875" style="7" customWidth="1"/>
    <col min="9987" max="9987" width="6.77734375" style="7" customWidth="1"/>
    <col min="9988" max="9988" width="7.44140625" style="7" customWidth="1"/>
    <col min="9989" max="9989" width="19.21875" style="7" bestFit="1" customWidth="1"/>
    <col min="9990" max="9990" width="19.33203125" style="7" customWidth="1"/>
    <col min="9991" max="10237" width="8.88671875" style="7"/>
    <col min="10238" max="10238" width="8.77734375" style="7" customWidth="1"/>
    <col min="10239" max="10239" width="10.44140625" style="7" customWidth="1"/>
    <col min="10240" max="10240" width="22.21875" style="7" customWidth="1"/>
    <col min="10241" max="10241" width="18.6640625" style="7" bestFit="1" customWidth="1"/>
    <col min="10242" max="10242" width="7.5546875" style="7" customWidth="1"/>
    <col min="10243" max="10243" width="6.77734375" style="7" customWidth="1"/>
    <col min="10244" max="10244" width="7.44140625" style="7" customWidth="1"/>
    <col min="10245" max="10245" width="19.21875" style="7" bestFit="1" customWidth="1"/>
    <col min="10246" max="10246" width="19.33203125" style="7" customWidth="1"/>
    <col min="10247" max="10493" width="8.88671875" style="7"/>
    <col min="10494" max="10494" width="8.77734375" style="7" customWidth="1"/>
    <col min="10495" max="10495" width="10.44140625" style="7" customWidth="1"/>
    <col min="10496" max="10496" width="22.21875" style="7" customWidth="1"/>
    <col min="10497" max="10497" width="18.6640625" style="7" bestFit="1" customWidth="1"/>
    <col min="10498" max="10498" width="7.5546875" style="7" customWidth="1"/>
    <col min="10499" max="10499" width="6.77734375" style="7" customWidth="1"/>
    <col min="10500" max="10500" width="7.44140625" style="7" customWidth="1"/>
    <col min="10501" max="10501" width="19.21875" style="7" bestFit="1" customWidth="1"/>
    <col min="10502" max="10502" width="19.33203125" style="7" customWidth="1"/>
    <col min="10503" max="10749" width="8.88671875" style="7"/>
    <col min="10750" max="10750" width="8.77734375" style="7" customWidth="1"/>
    <col min="10751" max="10751" width="10.44140625" style="7" customWidth="1"/>
    <col min="10752" max="10752" width="22.21875" style="7" customWidth="1"/>
    <col min="10753" max="10753" width="18.6640625" style="7" bestFit="1" customWidth="1"/>
    <col min="10754" max="10754" width="7.5546875" style="7" customWidth="1"/>
    <col min="10755" max="10755" width="6.77734375" style="7" customWidth="1"/>
    <col min="10756" max="10756" width="7.44140625" style="7" customWidth="1"/>
    <col min="10757" max="10757" width="19.21875" style="7" bestFit="1" customWidth="1"/>
    <col min="10758" max="10758" width="19.33203125" style="7" customWidth="1"/>
    <col min="10759" max="11005" width="8.88671875" style="7"/>
    <col min="11006" max="11006" width="8.77734375" style="7" customWidth="1"/>
    <col min="11007" max="11007" width="10.44140625" style="7" customWidth="1"/>
    <col min="11008" max="11008" width="22.21875" style="7" customWidth="1"/>
    <col min="11009" max="11009" width="18.6640625" style="7" bestFit="1" customWidth="1"/>
    <col min="11010" max="11010" width="7.5546875" style="7" customWidth="1"/>
    <col min="11011" max="11011" width="6.77734375" style="7" customWidth="1"/>
    <col min="11012" max="11012" width="7.44140625" style="7" customWidth="1"/>
    <col min="11013" max="11013" width="19.21875" style="7" bestFit="1" customWidth="1"/>
    <col min="11014" max="11014" width="19.33203125" style="7" customWidth="1"/>
    <col min="11015" max="11261" width="8.88671875" style="7"/>
    <col min="11262" max="11262" width="8.77734375" style="7" customWidth="1"/>
    <col min="11263" max="11263" width="10.44140625" style="7" customWidth="1"/>
    <col min="11264" max="11264" width="22.21875" style="7" customWidth="1"/>
    <col min="11265" max="11265" width="18.6640625" style="7" bestFit="1" customWidth="1"/>
    <col min="11266" max="11266" width="7.5546875" style="7" customWidth="1"/>
    <col min="11267" max="11267" width="6.77734375" style="7" customWidth="1"/>
    <col min="11268" max="11268" width="7.44140625" style="7" customWidth="1"/>
    <col min="11269" max="11269" width="19.21875" style="7" bestFit="1" customWidth="1"/>
    <col min="11270" max="11270" width="19.33203125" style="7" customWidth="1"/>
    <col min="11271" max="11517" width="8.88671875" style="7"/>
    <col min="11518" max="11518" width="8.77734375" style="7" customWidth="1"/>
    <col min="11519" max="11519" width="10.44140625" style="7" customWidth="1"/>
    <col min="11520" max="11520" width="22.21875" style="7" customWidth="1"/>
    <col min="11521" max="11521" width="18.6640625" style="7" bestFit="1" customWidth="1"/>
    <col min="11522" max="11522" width="7.5546875" style="7" customWidth="1"/>
    <col min="11523" max="11523" width="6.77734375" style="7" customWidth="1"/>
    <col min="11524" max="11524" width="7.44140625" style="7" customWidth="1"/>
    <col min="11525" max="11525" width="19.21875" style="7" bestFit="1" customWidth="1"/>
    <col min="11526" max="11526" width="19.33203125" style="7" customWidth="1"/>
    <col min="11527" max="11773" width="8.88671875" style="7"/>
    <col min="11774" max="11774" width="8.77734375" style="7" customWidth="1"/>
    <col min="11775" max="11775" width="10.44140625" style="7" customWidth="1"/>
    <col min="11776" max="11776" width="22.21875" style="7" customWidth="1"/>
    <col min="11777" max="11777" width="18.6640625" style="7" bestFit="1" customWidth="1"/>
    <col min="11778" max="11778" width="7.5546875" style="7" customWidth="1"/>
    <col min="11779" max="11779" width="6.77734375" style="7" customWidth="1"/>
    <col min="11780" max="11780" width="7.44140625" style="7" customWidth="1"/>
    <col min="11781" max="11781" width="19.21875" style="7" bestFit="1" customWidth="1"/>
    <col min="11782" max="11782" width="19.33203125" style="7" customWidth="1"/>
    <col min="11783" max="12029" width="8.88671875" style="7"/>
    <col min="12030" max="12030" width="8.77734375" style="7" customWidth="1"/>
    <col min="12031" max="12031" width="10.44140625" style="7" customWidth="1"/>
    <col min="12032" max="12032" width="22.21875" style="7" customWidth="1"/>
    <col min="12033" max="12033" width="18.6640625" style="7" bestFit="1" customWidth="1"/>
    <col min="12034" max="12034" width="7.5546875" style="7" customWidth="1"/>
    <col min="12035" max="12035" width="6.77734375" style="7" customWidth="1"/>
    <col min="12036" max="12036" width="7.44140625" style="7" customWidth="1"/>
    <col min="12037" max="12037" width="19.21875" style="7" bestFit="1" customWidth="1"/>
    <col min="12038" max="12038" width="19.33203125" style="7" customWidth="1"/>
    <col min="12039" max="12285" width="8.88671875" style="7"/>
    <col min="12286" max="12286" width="8.77734375" style="7" customWidth="1"/>
    <col min="12287" max="12287" width="10.44140625" style="7" customWidth="1"/>
    <col min="12288" max="12288" width="22.21875" style="7" customWidth="1"/>
    <col min="12289" max="12289" width="18.6640625" style="7" bestFit="1" customWidth="1"/>
    <col min="12290" max="12290" width="7.5546875" style="7" customWidth="1"/>
    <col min="12291" max="12291" width="6.77734375" style="7" customWidth="1"/>
    <col min="12292" max="12292" width="7.44140625" style="7" customWidth="1"/>
    <col min="12293" max="12293" width="19.21875" style="7" bestFit="1" customWidth="1"/>
    <col min="12294" max="12294" width="19.33203125" style="7" customWidth="1"/>
    <col min="12295" max="12541" width="8.88671875" style="7"/>
    <col min="12542" max="12542" width="8.77734375" style="7" customWidth="1"/>
    <col min="12543" max="12543" width="10.44140625" style="7" customWidth="1"/>
    <col min="12544" max="12544" width="22.21875" style="7" customWidth="1"/>
    <col min="12545" max="12545" width="18.6640625" style="7" bestFit="1" customWidth="1"/>
    <col min="12546" max="12546" width="7.5546875" style="7" customWidth="1"/>
    <col min="12547" max="12547" width="6.77734375" style="7" customWidth="1"/>
    <col min="12548" max="12548" width="7.44140625" style="7" customWidth="1"/>
    <col min="12549" max="12549" width="19.21875" style="7" bestFit="1" customWidth="1"/>
    <col min="12550" max="12550" width="19.33203125" style="7" customWidth="1"/>
    <col min="12551" max="12797" width="8.88671875" style="7"/>
    <col min="12798" max="12798" width="8.77734375" style="7" customWidth="1"/>
    <col min="12799" max="12799" width="10.44140625" style="7" customWidth="1"/>
    <col min="12800" max="12800" width="22.21875" style="7" customWidth="1"/>
    <col min="12801" max="12801" width="18.6640625" style="7" bestFit="1" customWidth="1"/>
    <col min="12802" max="12802" width="7.5546875" style="7" customWidth="1"/>
    <col min="12803" max="12803" width="6.77734375" style="7" customWidth="1"/>
    <col min="12804" max="12804" width="7.44140625" style="7" customWidth="1"/>
    <col min="12805" max="12805" width="19.21875" style="7" bestFit="1" customWidth="1"/>
    <col min="12806" max="12806" width="19.33203125" style="7" customWidth="1"/>
    <col min="12807" max="13053" width="8.88671875" style="7"/>
    <col min="13054" max="13054" width="8.77734375" style="7" customWidth="1"/>
    <col min="13055" max="13055" width="10.44140625" style="7" customWidth="1"/>
    <col min="13056" max="13056" width="22.21875" style="7" customWidth="1"/>
    <col min="13057" max="13057" width="18.6640625" style="7" bestFit="1" customWidth="1"/>
    <col min="13058" max="13058" width="7.5546875" style="7" customWidth="1"/>
    <col min="13059" max="13059" width="6.77734375" style="7" customWidth="1"/>
    <col min="13060" max="13060" width="7.44140625" style="7" customWidth="1"/>
    <col min="13061" max="13061" width="19.21875" style="7" bestFit="1" customWidth="1"/>
    <col min="13062" max="13062" width="19.33203125" style="7" customWidth="1"/>
    <col min="13063" max="13309" width="8.88671875" style="7"/>
    <col min="13310" max="13310" width="8.77734375" style="7" customWidth="1"/>
    <col min="13311" max="13311" width="10.44140625" style="7" customWidth="1"/>
    <col min="13312" max="13312" width="22.21875" style="7" customWidth="1"/>
    <col min="13313" max="13313" width="18.6640625" style="7" bestFit="1" customWidth="1"/>
    <col min="13314" max="13314" width="7.5546875" style="7" customWidth="1"/>
    <col min="13315" max="13315" width="6.77734375" style="7" customWidth="1"/>
    <col min="13316" max="13316" width="7.44140625" style="7" customWidth="1"/>
    <col min="13317" max="13317" width="19.21875" style="7" bestFit="1" customWidth="1"/>
    <col min="13318" max="13318" width="19.33203125" style="7" customWidth="1"/>
    <col min="13319" max="13565" width="8.88671875" style="7"/>
    <col min="13566" max="13566" width="8.77734375" style="7" customWidth="1"/>
    <col min="13567" max="13567" width="10.44140625" style="7" customWidth="1"/>
    <col min="13568" max="13568" width="22.21875" style="7" customWidth="1"/>
    <col min="13569" max="13569" width="18.6640625" style="7" bestFit="1" customWidth="1"/>
    <col min="13570" max="13570" width="7.5546875" style="7" customWidth="1"/>
    <col min="13571" max="13571" width="6.77734375" style="7" customWidth="1"/>
    <col min="13572" max="13572" width="7.44140625" style="7" customWidth="1"/>
    <col min="13573" max="13573" width="19.21875" style="7" bestFit="1" customWidth="1"/>
    <col min="13574" max="13574" width="19.33203125" style="7" customWidth="1"/>
    <col min="13575" max="13821" width="8.88671875" style="7"/>
    <col min="13822" max="13822" width="8.77734375" style="7" customWidth="1"/>
    <col min="13823" max="13823" width="10.44140625" style="7" customWidth="1"/>
    <col min="13824" max="13824" width="22.21875" style="7" customWidth="1"/>
    <col min="13825" max="13825" width="18.6640625" style="7" bestFit="1" customWidth="1"/>
    <col min="13826" max="13826" width="7.5546875" style="7" customWidth="1"/>
    <col min="13827" max="13827" width="6.77734375" style="7" customWidth="1"/>
    <col min="13828" max="13828" width="7.44140625" style="7" customWidth="1"/>
    <col min="13829" max="13829" width="19.21875" style="7" bestFit="1" customWidth="1"/>
    <col min="13830" max="13830" width="19.33203125" style="7" customWidth="1"/>
    <col min="13831" max="14077" width="8.88671875" style="7"/>
    <col min="14078" max="14078" width="8.77734375" style="7" customWidth="1"/>
    <col min="14079" max="14079" width="10.44140625" style="7" customWidth="1"/>
    <col min="14080" max="14080" width="22.21875" style="7" customWidth="1"/>
    <col min="14081" max="14081" width="18.6640625" style="7" bestFit="1" customWidth="1"/>
    <col min="14082" max="14082" width="7.5546875" style="7" customWidth="1"/>
    <col min="14083" max="14083" width="6.77734375" style="7" customWidth="1"/>
    <col min="14084" max="14084" width="7.44140625" style="7" customWidth="1"/>
    <col min="14085" max="14085" width="19.21875" style="7" bestFit="1" customWidth="1"/>
    <col min="14086" max="14086" width="19.33203125" style="7" customWidth="1"/>
    <col min="14087" max="14333" width="8.88671875" style="7"/>
    <col min="14334" max="14334" width="8.77734375" style="7" customWidth="1"/>
    <col min="14335" max="14335" width="10.44140625" style="7" customWidth="1"/>
    <col min="14336" max="14336" width="22.21875" style="7" customWidth="1"/>
    <col min="14337" max="14337" width="18.6640625" style="7" bestFit="1" customWidth="1"/>
    <col min="14338" max="14338" width="7.5546875" style="7" customWidth="1"/>
    <col min="14339" max="14339" width="6.77734375" style="7" customWidth="1"/>
    <col min="14340" max="14340" width="7.44140625" style="7" customWidth="1"/>
    <col min="14341" max="14341" width="19.21875" style="7" bestFit="1" customWidth="1"/>
    <col min="14342" max="14342" width="19.33203125" style="7" customWidth="1"/>
    <col min="14343" max="14589" width="8.88671875" style="7"/>
    <col min="14590" max="14590" width="8.77734375" style="7" customWidth="1"/>
    <col min="14591" max="14591" width="10.44140625" style="7" customWidth="1"/>
    <col min="14592" max="14592" width="22.21875" style="7" customWidth="1"/>
    <col min="14593" max="14593" width="18.6640625" style="7" bestFit="1" customWidth="1"/>
    <col min="14594" max="14594" width="7.5546875" style="7" customWidth="1"/>
    <col min="14595" max="14595" width="6.77734375" style="7" customWidth="1"/>
    <col min="14596" max="14596" width="7.44140625" style="7" customWidth="1"/>
    <col min="14597" max="14597" width="19.21875" style="7" bestFit="1" customWidth="1"/>
    <col min="14598" max="14598" width="19.33203125" style="7" customWidth="1"/>
    <col min="14599" max="14845" width="8.88671875" style="7"/>
    <col min="14846" max="14846" width="8.77734375" style="7" customWidth="1"/>
    <col min="14847" max="14847" width="10.44140625" style="7" customWidth="1"/>
    <col min="14848" max="14848" width="22.21875" style="7" customWidth="1"/>
    <col min="14849" max="14849" width="18.6640625" style="7" bestFit="1" customWidth="1"/>
    <col min="14850" max="14850" width="7.5546875" style="7" customWidth="1"/>
    <col min="14851" max="14851" width="6.77734375" style="7" customWidth="1"/>
    <col min="14852" max="14852" width="7.44140625" style="7" customWidth="1"/>
    <col min="14853" max="14853" width="19.21875" style="7" bestFit="1" customWidth="1"/>
    <col min="14854" max="14854" width="19.33203125" style="7" customWidth="1"/>
    <col min="14855" max="15101" width="8.88671875" style="7"/>
    <col min="15102" max="15102" width="8.77734375" style="7" customWidth="1"/>
    <col min="15103" max="15103" width="10.44140625" style="7" customWidth="1"/>
    <col min="15104" max="15104" width="22.21875" style="7" customWidth="1"/>
    <col min="15105" max="15105" width="18.6640625" style="7" bestFit="1" customWidth="1"/>
    <col min="15106" max="15106" width="7.5546875" style="7" customWidth="1"/>
    <col min="15107" max="15107" width="6.77734375" style="7" customWidth="1"/>
    <col min="15108" max="15108" width="7.44140625" style="7" customWidth="1"/>
    <col min="15109" max="15109" width="19.21875" style="7" bestFit="1" customWidth="1"/>
    <col min="15110" max="15110" width="19.33203125" style="7" customWidth="1"/>
    <col min="15111" max="15357" width="8.88671875" style="7"/>
    <col min="15358" max="15358" width="8.77734375" style="7" customWidth="1"/>
    <col min="15359" max="15359" width="10.44140625" style="7" customWidth="1"/>
    <col min="15360" max="15360" width="22.21875" style="7" customWidth="1"/>
    <col min="15361" max="15361" width="18.6640625" style="7" bestFit="1" customWidth="1"/>
    <col min="15362" max="15362" width="7.5546875" style="7" customWidth="1"/>
    <col min="15363" max="15363" width="6.77734375" style="7" customWidth="1"/>
    <col min="15364" max="15364" width="7.44140625" style="7" customWidth="1"/>
    <col min="15365" max="15365" width="19.21875" style="7" bestFit="1" customWidth="1"/>
    <col min="15366" max="15366" width="19.33203125" style="7" customWidth="1"/>
    <col min="15367" max="15613" width="8.88671875" style="7"/>
    <col min="15614" max="15614" width="8.77734375" style="7" customWidth="1"/>
    <col min="15615" max="15615" width="10.44140625" style="7" customWidth="1"/>
    <col min="15616" max="15616" width="22.21875" style="7" customWidth="1"/>
    <col min="15617" max="15617" width="18.6640625" style="7" bestFit="1" customWidth="1"/>
    <col min="15618" max="15618" width="7.5546875" style="7" customWidth="1"/>
    <col min="15619" max="15619" width="6.77734375" style="7" customWidth="1"/>
    <col min="15620" max="15620" width="7.44140625" style="7" customWidth="1"/>
    <col min="15621" max="15621" width="19.21875" style="7" bestFit="1" customWidth="1"/>
    <col min="15622" max="15622" width="19.33203125" style="7" customWidth="1"/>
    <col min="15623" max="15869" width="8.88671875" style="7"/>
    <col min="15870" max="15870" width="8.77734375" style="7" customWidth="1"/>
    <col min="15871" max="15871" width="10.44140625" style="7" customWidth="1"/>
    <col min="15872" max="15872" width="22.21875" style="7" customWidth="1"/>
    <col min="15873" max="15873" width="18.6640625" style="7" bestFit="1" customWidth="1"/>
    <col min="15874" max="15874" width="7.5546875" style="7" customWidth="1"/>
    <col min="15875" max="15875" width="6.77734375" style="7" customWidth="1"/>
    <col min="15876" max="15876" width="7.44140625" style="7" customWidth="1"/>
    <col min="15877" max="15877" width="19.21875" style="7" bestFit="1" customWidth="1"/>
    <col min="15878" max="15878" width="19.33203125" style="7" customWidth="1"/>
    <col min="15879" max="16125" width="8.88671875" style="7"/>
    <col min="16126" max="16126" width="8.77734375" style="7" customWidth="1"/>
    <col min="16127" max="16127" width="10.44140625" style="7" customWidth="1"/>
    <col min="16128" max="16128" width="22.21875" style="7" customWidth="1"/>
    <col min="16129" max="16129" width="18.6640625" style="7" bestFit="1" customWidth="1"/>
    <col min="16130" max="16130" width="7.5546875" style="7" customWidth="1"/>
    <col min="16131" max="16131" width="6.77734375" style="7" customWidth="1"/>
    <col min="16132" max="16132" width="7.44140625" style="7" customWidth="1"/>
    <col min="16133" max="16133" width="19.21875" style="7" bestFit="1" customWidth="1"/>
    <col min="16134" max="16134" width="19.33203125" style="7" customWidth="1"/>
    <col min="16135" max="16384" width="8.88671875" style="7"/>
  </cols>
  <sheetData>
    <row r="1" spans="1:8" s="2" customFormat="1" ht="26.25" customHeight="1" thickBot="1" x14ac:dyDescent="0.35">
      <c r="A1" s="26" t="s">
        <v>30</v>
      </c>
      <c r="B1" s="26"/>
      <c r="C1" s="11"/>
      <c r="D1" s="11"/>
      <c r="E1" s="11"/>
      <c r="F1" s="10" t="s">
        <v>5</v>
      </c>
    </row>
    <row r="2" spans="1:8" s="1" customFormat="1" ht="9" customHeight="1" thickTop="1" thickBot="1" x14ac:dyDescent="0.35">
      <c r="A2" s="3"/>
      <c r="B2" s="3"/>
      <c r="C2" s="4"/>
      <c r="D2" s="5"/>
      <c r="E2" s="6"/>
    </row>
    <row r="3" spans="1:8" ht="32.25" customHeight="1" x14ac:dyDescent="0.15">
      <c r="A3" s="21" t="s">
        <v>6</v>
      </c>
      <c r="B3" s="21" t="s">
        <v>2</v>
      </c>
      <c r="C3" s="21" t="s">
        <v>3</v>
      </c>
      <c r="D3" s="22" t="s">
        <v>0</v>
      </c>
      <c r="E3" s="22" t="s">
        <v>1</v>
      </c>
      <c r="F3" s="23" t="s">
        <v>4</v>
      </c>
      <c r="G3" s="7" t="s">
        <v>86</v>
      </c>
      <c r="H3" s="7" t="s">
        <v>87</v>
      </c>
    </row>
    <row r="4" spans="1:8" s="16" customFormat="1" x14ac:dyDescent="0.15">
      <c r="A4" s="27">
        <v>1</v>
      </c>
      <c r="B4" s="25" t="s">
        <v>7</v>
      </c>
      <c r="C4" s="24" t="s">
        <v>8</v>
      </c>
      <c r="D4" s="14" t="s">
        <v>9</v>
      </c>
      <c r="E4" s="14" t="s">
        <v>8</v>
      </c>
      <c r="F4" s="13" t="s">
        <v>17</v>
      </c>
      <c r="G4" s="16" t="str">
        <f>"CREATE TABLE "&amp; D4 &amp; " ( ); "</f>
        <v xml:space="preserve">CREATE TABLE TB_USER ( ); </v>
      </c>
      <c r="H4" s="16" t="str">
        <f>"COMMENT ON TABLE "&amp;D4&amp;" IS '"&amp;F4&amp;"' ;"</f>
        <v>COMMENT ON TABLE TB_USER IS '사용자 관리 테이블' ;</v>
      </c>
    </row>
    <row r="5" spans="1:8" s="16" customFormat="1" x14ac:dyDescent="0.15">
      <c r="A5" s="27">
        <v>2</v>
      </c>
      <c r="B5" s="25" t="s">
        <v>7</v>
      </c>
      <c r="C5" s="24" t="s">
        <v>8</v>
      </c>
      <c r="D5" s="14" t="s">
        <v>33</v>
      </c>
      <c r="E5" s="14" t="s">
        <v>31</v>
      </c>
      <c r="F5" s="13" t="s">
        <v>32</v>
      </c>
      <c r="G5" s="16" t="str">
        <f t="shared" ref="G5:G35" si="0">"CREATE TABLE "&amp; D5 &amp; " ( ); "</f>
        <v xml:space="preserve">CREATE TABLE TB_USER_CHLDRN ( ); </v>
      </c>
      <c r="H5" s="16" t="str">
        <f t="shared" ref="H5:H37" si="1">"COMMENT ON TABLE "&amp;D5&amp;" IS '"&amp;F5&amp;"' ;"</f>
        <v>COMMENT ON TABLE TB_USER_CHLDRN IS '사용자 자녀 관리 테이블' ;</v>
      </c>
    </row>
    <row r="6" spans="1:8" s="16" customFormat="1" x14ac:dyDescent="0.15">
      <c r="A6" s="27">
        <v>3</v>
      </c>
      <c r="B6" s="25" t="s">
        <v>7</v>
      </c>
      <c r="C6" s="24" t="s">
        <v>8</v>
      </c>
      <c r="D6" s="12" t="s">
        <v>34</v>
      </c>
      <c r="E6" s="12" t="s">
        <v>36</v>
      </c>
      <c r="F6" s="13" t="s">
        <v>18</v>
      </c>
      <c r="G6" s="16" t="str">
        <f t="shared" si="0"/>
        <v xml:space="preserve">CREATE TABLE TB_ROLE ( ); </v>
      </c>
      <c r="H6" s="16" t="str">
        <f t="shared" si="1"/>
        <v>COMMENT ON TABLE TB_ROLE IS '사용자 그룹 관리 테이블' ;</v>
      </c>
    </row>
    <row r="7" spans="1:8" s="16" customFormat="1" x14ac:dyDescent="0.15">
      <c r="A7" s="27">
        <v>4</v>
      </c>
      <c r="B7" s="25" t="s">
        <v>7</v>
      </c>
      <c r="C7" s="24" t="s">
        <v>8</v>
      </c>
      <c r="D7" s="15" t="s">
        <v>35</v>
      </c>
      <c r="E7" s="15" t="s">
        <v>37</v>
      </c>
      <c r="F7" s="13" t="s">
        <v>19</v>
      </c>
      <c r="G7" s="16" t="str">
        <f t="shared" si="0"/>
        <v xml:space="preserve">CREATE TABLE TB_USER_ROLE ( ); </v>
      </c>
      <c r="H7" s="16" t="str">
        <f t="shared" si="1"/>
        <v>COMMENT ON TABLE TB_USER_ROLE IS '사용자 그룹 권한 내역 관리 테이블' ;</v>
      </c>
    </row>
    <row r="8" spans="1:8" s="16" customFormat="1" x14ac:dyDescent="0.15">
      <c r="A8" s="27">
        <v>5</v>
      </c>
      <c r="B8" s="25" t="s">
        <v>7</v>
      </c>
      <c r="C8" s="24" t="s">
        <v>10</v>
      </c>
      <c r="D8" s="15" t="s">
        <v>16</v>
      </c>
      <c r="E8" s="15" t="s">
        <v>10</v>
      </c>
      <c r="F8" s="13" t="s">
        <v>20</v>
      </c>
      <c r="G8" s="16" t="str">
        <f t="shared" si="0"/>
        <v xml:space="preserve">CREATE TABLE TB_CLASS ( ); </v>
      </c>
      <c r="H8" s="16" t="str">
        <f t="shared" si="1"/>
        <v>COMMENT ON TABLE TB_CLASS IS '클래스 관리 테이블' ;</v>
      </c>
    </row>
    <row r="9" spans="1:8" s="16" customFormat="1" x14ac:dyDescent="0.15">
      <c r="A9" s="27">
        <v>6</v>
      </c>
      <c r="B9" s="25" t="s">
        <v>7</v>
      </c>
      <c r="C9" s="24" t="s">
        <v>10</v>
      </c>
      <c r="D9" s="15" t="s">
        <v>106</v>
      </c>
      <c r="E9" s="15" t="s">
        <v>107</v>
      </c>
      <c r="F9" s="15" t="s">
        <v>109</v>
      </c>
      <c r="G9" s="16" t="str">
        <f t="shared" si="0"/>
        <v xml:space="preserve">CREATE TABLE TB_CLASS_CATEGORY_CL01 ( ); </v>
      </c>
      <c r="H9" s="16" t="str">
        <f t="shared" si="1"/>
        <v>COMMENT ON TABLE TB_CLASS_CATEGORY_CL01 IS '클래스 카테고리 분류1 테이블' ;</v>
      </c>
    </row>
    <row r="10" spans="1:8" s="16" customFormat="1" x14ac:dyDescent="0.15">
      <c r="A10" s="27">
        <v>7</v>
      </c>
      <c r="B10" s="25" t="s">
        <v>7</v>
      </c>
      <c r="C10" s="24" t="s">
        <v>10</v>
      </c>
      <c r="D10" s="15" t="s">
        <v>105</v>
      </c>
      <c r="E10" s="15" t="s">
        <v>108</v>
      </c>
      <c r="F10" s="15" t="s">
        <v>110</v>
      </c>
      <c r="G10" s="16" t="str">
        <f t="shared" si="0"/>
        <v xml:space="preserve">CREATE TABLE TB_CLASS_CATEGORY_CL02 ( ); </v>
      </c>
      <c r="H10" s="16" t="str">
        <f t="shared" si="1"/>
        <v>COMMENT ON TABLE TB_CLASS_CATEGORY_CL02 IS '클래스 카테고리 분류2 테이블' ;</v>
      </c>
    </row>
    <row r="11" spans="1:8" s="16" customFormat="1" x14ac:dyDescent="0.15">
      <c r="A11" s="27">
        <v>8</v>
      </c>
      <c r="B11" s="25" t="s">
        <v>7</v>
      </c>
      <c r="C11" s="24" t="s">
        <v>10</v>
      </c>
      <c r="D11" s="15" t="s">
        <v>45</v>
      </c>
      <c r="E11" s="15" t="s">
        <v>39</v>
      </c>
      <c r="F11" s="13" t="s">
        <v>41</v>
      </c>
      <c r="G11" s="16" t="str">
        <f t="shared" si="0"/>
        <v xml:space="preserve">CREATE TABLE TB_CLASS_DETAIL ( ); </v>
      </c>
      <c r="H11" s="16" t="str">
        <f t="shared" si="1"/>
        <v>COMMENT ON TABLE TB_CLASS_DETAIL IS '클래스 상세 관리 테이블' ;</v>
      </c>
    </row>
    <row r="12" spans="1:8" s="16" customFormat="1" x14ac:dyDescent="0.15">
      <c r="A12" s="27">
        <v>9</v>
      </c>
      <c r="B12" s="25" t="s">
        <v>7</v>
      </c>
      <c r="C12" s="24" t="s">
        <v>10</v>
      </c>
      <c r="D12" s="15" t="s">
        <v>66</v>
      </c>
      <c r="E12" s="15" t="s">
        <v>65</v>
      </c>
      <c r="F12" s="13" t="s">
        <v>67</v>
      </c>
      <c r="G12" s="16" t="str">
        <f t="shared" si="0"/>
        <v xml:space="preserve">CREATE TABLE TB_CLASS_DETAIL_OPTN ( ); </v>
      </c>
      <c r="H12" s="16" t="str">
        <f t="shared" si="1"/>
        <v>COMMENT ON TABLE TB_CLASS_DETAIL_OPTN IS '클래스 상세 옵션 관리 테이블' ;</v>
      </c>
    </row>
    <row r="13" spans="1:8" s="16" customFormat="1" x14ac:dyDescent="0.15">
      <c r="A13" s="27">
        <v>10</v>
      </c>
      <c r="B13" s="25" t="s">
        <v>7</v>
      </c>
      <c r="C13" s="24" t="s">
        <v>10</v>
      </c>
      <c r="D13" s="15" t="s">
        <v>57</v>
      </c>
      <c r="E13" s="12" t="s">
        <v>58</v>
      </c>
      <c r="F13" s="13" t="s">
        <v>59</v>
      </c>
      <c r="G13" s="16" t="str">
        <f t="shared" si="0"/>
        <v xml:space="preserve">CREATE TABLE TB_CLASS_DETAIL_REQST ( ); </v>
      </c>
      <c r="H13" s="16" t="str">
        <f t="shared" si="1"/>
        <v>COMMENT ON TABLE TB_CLASS_DETAIL_REQST IS '클래스 상세 신청 관리 테이블' ;</v>
      </c>
    </row>
    <row r="14" spans="1:8" s="16" customFormat="1" x14ac:dyDescent="0.15">
      <c r="A14" s="27">
        <v>11</v>
      </c>
      <c r="B14" s="25" t="s">
        <v>7</v>
      </c>
      <c r="C14" s="24" t="s">
        <v>10</v>
      </c>
      <c r="D14" s="15" t="s">
        <v>46</v>
      </c>
      <c r="E14" s="15" t="s">
        <v>40</v>
      </c>
      <c r="F14" s="13" t="s">
        <v>42</v>
      </c>
      <c r="G14" s="16" t="str">
        <f t="shared" si="0"/>
        <v xml:space="preserve">CREATE TABLE TB_CLASS_WEEK ( ); </v>
      </c>
      <c r="H14" s="16" t="str">
        <f t="shared" si="1"/>
        <v>COMMENT ON TABLE TB_CLASS_WEEK IS '클래스 요일 관리 테이블' ;</v>
      </c>
    </row>
    <row r="15" spans="1:8" s="16" customFormat="1" x14ac:dyDescent="0.15">
      <c r="A15" s="27">
        <v>12</v>
      </c>
      <c r="B15" s="25" t="s">
        <v>7</v>
      </c>
      <c r="C15" s="24" t="s">
        <v>10</v>
      </c>
      <c r="D15" s="12" t="s">
        <v>29</v>
      </c>
      <c r="E15" s="14" t="s">
        <v>12</v>
      </c>
      <c r="F15" s="13" t="s">
        <v>43</v>
      </c>
      <c r="G15" s="16" t="str">
        <f t="shared" si="0"/>
        <v xml:space="preserve">CREATE TABLE TB_CLASS_LIKE ( ); </v>
      </c>
      <c r="H15" s="16" t="str">
        <f t="shared" si="1"/>
        <v>COMMENT ON TABLE TB_CLASS_LIKE IS '클래스 관심(좋아요) 관리 테이블' ;</v>
      </c>
    </row>
    <row r="16" spans="1:8" s="16" customFormat="1" x14ac:dyDescent="0.15">
      <c r="A16" s="27">
        <v>13</v>
      </c>
      <c r="B16" s="25" t="s">
        <v>7</v>
      </c>
      <c r="C16" s="24" t="s">
        <v>10</v>
      </c>
      <c r="D16" s="12" t="s">
        <v>51</v>
      </c>
      <c r="E16" s="14" t="s">
        <v>11</v>
      </c>
      <c r="F16" s="13" t="s">
        <v>44</v>
      </c>
      <c r="G16" s="16" t="str">
        <f t="shared" si="0"/>
        <v xml:space="preserve">CREATE TABLE TB_CLASS_REVIEW ( ); </v>
      </c>
      <c r="H16" s="16" t="str">
        <f t="shared" si="1"/>
        <v>COMMENT ON TABLE TB_CLASS_REVIEW IS '클래스 후기 관리 테이블' ;</v>
      </c>
    </row>
    <row r="17" spans="1:8" s="16" customFormat="1" x14ac:dyDescent="0.15">
      <c r="A17" s="27">
        <v>14</v>
      </c>
      <c r="B17" s="25" t="s">
        <v>7</v>
      </c>
      <c r="C17" s="24" t="s">
        <v>10</v>
      </c>
      <c r="D17" s="12" t="s">
        <v>48</v>
      </c>
      <c r="E17" s="14" t="s">
        <v>47</v>
      </c>
      <c r="F17" s="13" t="s">
        <v>50</v>
      </c>
      <c r="G17" s="16" t="str">
        <f t="shared" si="0"/>
        <v xml:space="preserve">CREATE TABLE TB_CLASS_INQRY ( ); </v>
      </c>
      <c r="H17" s="16" t="str">
        <f t="shared" si="1"/>
        <v>COMMENT ON TABLE TB_CLASS_INQRY IS '클래스 문의(Q&amp;A) 관리 테이블' ;</v>
      </c>
    </row>
    <row r="18" spans="1:8" s="16" customFormat="1" x14ac:dyDescent="0.15">
      <c r="A18" s="27">
        <v>15</v>
      </c>
      <c r="B18" s="25" t="s">
        <v>7</v>
      </c>
      <c r="C18" s="24" t="s">
        <v>10</v>
      </c>
      <c r="D18" s="15" t="s">
        <v>52</v>
      </c>
      <c r="E18" s="15" t="s">
        <v>53</v>
      </c>
      <c r="F18" s="13" t="s">
        <v>54</v>
      </c>
      <c r="G18" s="16" t="str">
        <f t="shared" si="0"/>
        <v xml:space="preserve">CREATE TABLE TB_LCTRE ( ); </v>
      </c>
      <c r="H18" s="16" t="str">
        <f t="shared" si="1"/>
        <v>COMMENT ON TABLE TB_LCTRE IS '수업 관리 테이블 (클래스 하위 항목)' ;</v>
      </c>
    </row>
    <row r="19" spans="1:8" s="16" customFormat="1" x14ac:dyDescent="0.15">
      <c r="A19" s="27">
        <v>16</v>
      </c>
      <c r="B19" s="25" t="s">
        <v>7</v>
      </c>
      <c r="C19" s="24" t="s">
        <v>10</v>
      </c>
      <c r="D19" s="12" t="s">
        <v>55</v>
      </c>
      <c r="E19" s="12" t="s">
        <v>49</v>
      </c>
      <c r="F19" s="13" t="s">
        <v>56</v>
      </c>
      <c r="G19" s="16" t="str">
        <f t="shared" si="0"/>
        <v xml:space="preserve">CREATE TABLE TB_LCTRE_REQST ( ); </v>
      </c>
      <c r="H19" s="16" t="str">
        <f t="shared" si="1"/>
        <v>COMMENT ON TABLE TB_LCTRE_REQST IS '수업 신청 내역 관리 테이블' ;</v>
      </c>
    </row>
    <row r="20" spans="1:8" s="16" customFormat="1" x14ac:dyDescent="0.15">
      <c r="A20" s="27">
        <v>17</v>
      </c>
      <c r="B20" s="25" t="s">
        <v>7</v>
      </c>
      <c r="C20" s="25" t="s">
        <v>13</v>
      </c>
      <c r="D20" s="12" t="s">
        <v>21</v>
      </c>
      <c r="E20" s="12" t="s">
        <v>13</v>
      </c>
      <c r="F20" s="13" t="s">
        <v>64</v>
      </c>
      <c r="G20" s="16" t="str">
        <f t="shared" si="0"/>
        <v xml:space="preserve">CREATE TABLE TB_BBS ( ); </v>
      </c>
      <c r="H20" s="16" t="str">
        <f t="shared" si="1"/>
        <v>COMMENT ON TABLE TB_BBS IS '게시판 관리 테이블' ;</v>
      </c>
    </row>
    <row r="21" spans="1:8" s="16" customFormat="1" x14ac:dyDescent="0.15">
      <c r="A21" s="27">
        <v>18</v>
      </c>
      <c r="B21" s="25" t="s">
        <v>7</v>
      </c>
      <c r="C21" s="25" t="s">
        <v>13</v>
      </c>
      <c r="D21" s="12" t="s">
        <v>62</v>
      </c>
      <c r="E21" s="12" t="s">
        <v>60</v>
      </c>
      <c r="F21" s="13" t="s">
        <v>63</v>
      </c>
      <c r="G21" s="16" t="str">
        <f t="shared" si="0"/>
        <v xml:space="preserve">CREATE TABLE TB_NTT ( ); </v>
      </c>
      <c r="H21" s="16" t="str">
        <f t="shared" si="1"/>
        <v>COMMENT ON TABLE TB_NTT IS '게시물 관리 테이블' ;</v>
      </c>
    </row>
    <row r="22" spans="1:8" s="16" customFormat="1" x14ac:dyDescent="0.15">
      <c r="A22" s="27">
        <v>19</v>
      </c>
      <c r="B22" s="25" t="s">
        <v>7</v>
      </c>
      <c r="C22" s="25" t="s">
        <v>13</v>
      </c>
      <c r="D22" s="12" t="s">
        <v>104</v>
      </c>
      <c r="E22" s="12" t="s">
        <v>61</v>
      </c>
      <c r="F22" s="13" t="s">
        <v>22</v>
      </c>
      <c r="G22" s="16" t="str">
        <f t="shared" si="0"/>
        <v xml:space="preserve">CREATE TABLE TB_NTT_REPLY ( ); </v>
      </c>
      <c r="H22" s="16" t="str">
        <f t="shared" si="1"/>
        <v>COMMENT ON TABLE TB_NTT_REPLY IS '게시판 댓글 내역 관리 테이블' ;</v>
      </c>
    </row>
    <row r="23" spans="1:8" s="16" customFormat="1" x14ac:dyDescent="0.15">
      <c r="A23" s="27">
        <v>20</v>
      </c>
      <c r="B23" s="25" t="s">
        <v>7</v>
      </c>
      <c r="C23" s="25" t="s">
        <v>88</v>
      </c>
      <c r="D23" s="13" t="s">
        <v>89</v>
      </c>
      <c r="E23" s="12" t="s">
        <v>94</v>
      </c>
      <c r="F23" s="13" t="s">
        <v>99</v>
      </c>
      <c r="G23" s="16" t="str">
        <f t="shared" si="0"/>
        <v xml:space="preserve">CREATE TABLE TB_QESTNAR_GROUP ( ); </v>
      </c>
      <c r="H23" s="16" t="str">
        <f t="shared" si="1"/>
        <v>COMMENT ON TABLE TB_QESTNAR_GROUP IS '설문조사 그룹 관리 테이블' ;</v>
      </c>
    </row>
    <row r="24" spans="1:8" s="16" customFormat="1" x14ac:dyDescent="0.15">
      <c r="A24" s="27">
        <v>21</v>
      </c>
      <c r="B24" s="25" t="s">
        <v>7</v>
      </c>
      <c r="C24" s="25" t="s">
        <v>88</v>
      </c>
      <c r="D24" s="13" t="s">
        <v>90</v>
      </c>
      <c r="E24" s="12" t="s">
        <v>95</v>
      </c>
      <c r="F24" s="13" t="s">
        <v>100</v>
      </c>
      <c r="G24" s="16" t="str">
        <f t="shared" si="0"/>
        <v xml:space="preserve">CREATE TABLE TB_QESTNAR_QESTN ( ); </v>
      </c>
      <c r="H24" s="16" t="str">
        <f t="shared" si="1"/>
        <v>COMMENT ON TABLE TB_QESTNAR_QESTN IS '설문조사 질문 관리 테이블' ;</v>
      </c>
    </row>
    <row r="25" spans="1:8" s="16" customFormat="1" x14ac:dyDescent="0.15">
      <c r="A25" s="27">
        <v>22</v>
      </c>
      <c r="B25" s="25" t="s">
        <v>7</v>
      </c>
      <c r="C25" s="25" t="s">
        <v>88</v>
      </c>
      <c r="D25" s="13" t="s">
        <v>91</v>
      </c>
      <c r="E25" s="12" t="s">
        <v>98</v>
      </c>
      <c r="F25" s="13" t="s">
        <v>101</v>
      </c>
      <c r="G25" s="16" t="str">
        <f t="shared" si="0"/>
        <v xml:space="preserve">CREATE TABLE TB_QESTNAR_QESTN_DETAIL ( ); </v>
      </c>
      <c r="H25" s="16" t="str">
        <f t="shared" si="1"/>
        <v>COMMENT ON TABLE TB_QESTNAR_QESTN_DETAIL IS '설문조사 질문 상세 관리 테이블' ;</v>
      </c>
    </row>
    <row r="26" spans="1:8" s="16" customFormat="1" x14ac:dyDescent="0.15">
      <c r="A26" s="27">
        <v>23</v>
      </c>
      <c r="B26" s="25" t="s">
        <v>7</v>
      </c>
      <c r="C26" s="25" t="s">
        <v>88</v>
      </c>
      <c r="D26" s="13" t="s">
        <v>92</v>
      </c>
      <c r="E26" s="12" t="s">
        <v>96</v>
      </c>
      <c r="F26" s="13" t="s">
        <v>102</v>
      </c>
      <c r="G26" s="16" t="str">
        <f t="shared" si="0"/>
        <v xml:space="preserve">CREATE TABLE TB_QESTNAR_ANSWER ( ); </v>
      </c>
      <c r="H26" s="16" t="str">
        <f t="shared" si="1"/>
        <v>COMMENT ON TABLE TB_QESTNAR_ANSWER IS '설문조사 답변 관리 테이블' ;</v>
      </c>
    </row>
    <row r="27" spans="1:8" s="16" customFormat="1" x14ac:dyDescent="0.15">
      <c r="A27" s="27">
        <v>24</v>
      </c>
      <c r="B27" s="25" t="s">
        <v>7</v>
      </c>
      <c r="C27" s="25" t="s">
        <v>88</v>
      </c>
      <c r="D27" s="13" t="s">
        <v>93</v>
      </c>
      <c r="E27" s="12" t="s">
        <v>97</v>
      </c>
      <c r="F27" s="13" t="s">
        <v>103</v>
      </c>
      <c r="G27" s="16" t="str">
        <f t="shared" si="0"/>
        <v xml:space="preserve">CREATE TABLE TB_QESTNAR_ANSWER_DETAIL ( ); </v>
      </c>
      <c r="H27" s="16" t="str">
        <f t="shared" si="1"/>
        <v>COMMENT ON TABLE TB_QESTNAR_ANSWER_DETAIL IS '설문조사 답변 상세 관리 테이블' ;</v>
      </c>
    </row>
    <row r="28" spans="1:8" s="16" customFormat="1" x14ac:dyDescent="0.15">
      <c r="A28" s="27">
        <v>25</v>
      </c>
      <c r="B28" s="25" t="s">
        <v>7</v>
      </c>
      <c r="C28" s="25" t="s">
        <v>15</v>
      </c>
      <c r="D28" s="12" t="s">
        <v>23</v>
      </c>
      <c r="E28" s="12" t="s">
        <v>14</v>
      </c>
      <c r="F28" s="13" t="s">
        <v>24</v>
      </c>
      <c r="G28" s="16" t="str">
        <f t="shared" si="0"/>
        <v xml:space="preserve">CREATE TABLE TB_POPUP ( ); </v>
      </c>
      <c r="H28" s="16" t="str">
        <f t="shared" si="1"/>
        <v>COMMENT ON TABLE TB_POPUP IS '팝업 관리 테이블' ;</v>
      </c>
    </row>
    <row r="29" spans="1:8" s="16" customFormat="1" x14ac:dyDescent="0.15">
      <c r="A29" s="27">
        <v>26</v>
      </c>
      <c r="B29" s="25" t="s">
        <v>7</v>
      </c>
      <c r="C29" s="25" t="s">
        <v>15</v>
      </c>
      <c r="D29" s="12" t="s">
        <v>68</v>
      </c>
      <c r="E29" s="12" t="s">
        <v>69</v>
      </c>
      <c r="F29" s="13" t="s">
        <v>73</v>
      </c>
      <c r="G29" s="16" t="str">
        <f t="shared" si="0"/>
        <v xml:space="preserve">CREATE TABLE TB_ATCH_FILE ( ); </v>
      </c>
      <c r="H29" s="16" t="str">
        <f t="shared" si="1"/>
        <v>COMMENT ON TABLE TB_ATCH_FILE IS '첨부 파일 관리 테이블' ;</v>
      </c>
    </row>
    <row r="30" spans="1:8" s="16" customFormat="1" x14ac:dyDescent="0.15">
      <c r="A30" s="27">
        <v>27</v>
      </c>
      <c r="B30" s="25" t="s">
        <v>7</v>
      </c>
      <c r="C30" s="25" t="s">
        <v>15</v>
      </c>
      <c r="D30" s="12" t="s">
        <v>70</v>
      </c>
      <c r="E30" s="12" t="s">
        <v>71</v>
      </c>
      <c r="F30" s="13" t="s">
        <v>72</v>
      </c>
      <c r="G30" s="16" t="str">
        <f t="shared" si="0"/>
        <v xml:space="preserve">CREATE TABLE TB_ATCH_FILE_DETAIL ( ); </v>
      </c>
      <c r="H30" s="16" t="str">
        <f t="shared" si="1"/>
        <v>COMMENT ON TABLE TB_ATCH_FILE_DETAIL IS '첨부 파일 상세 관리 테이블' ;</v>
      </c>
    </row>
    <row r="31" spans="1:8" s="16" customFormat="1" x14ac:dyDescent="0.15">
      <c r="A31" s="27">
        <v>28</v>
      </c>
      <c r="B31" s="25" t="s">
        <v>7</v>
      </c>
      <c r="C31" s="25" t="s">
        <v>15</v>
      </c>
      <c r="D31" s="12" t="s">
        <v>25</v>
      </c>
      <c r="E31" s="12" t="s">
        <v>26</v>
      </c>
      <c r="F31" s="13" t="s">
        <v>27</v>
      </c>
      <c r="G31" s="16" t="str">
        <f t="shared" si="0"/>
        <v xml:space="preserve">CREATE TABLE TB_MENU ( ); </v>
      </c>
      <c r="H31" s="16" t="str">
        <f t="shared" si="1"/>
        <v>COMMENT ON TABLE TB_MENU IS '메뉴 관리 테이블' ;</v>
      </c>
    </row>
    <row r="32" spans="1:8" s="16" customFormat="1" x14ac:dyDescent="0.15">
      <c r="A32" s="27">
        <v>29</v>
      </c>
      <c r="B32" s="25" t="s">
        <v>7</v>
      </c>
      <c r="C32" s="25" t="s">
        <v>15</v>
      </c>
      <c r="D32" s="12" t="s">
        <v>74</v>
      </c>
      <c r="E32" s="12" t="s">
        <v>75</v>
      </c>
      <c r="F32" s="13" t="s">
        <v>76</v>
      </c>
      <c r="G32" s="16" t="str">
        <f t="shared" si="0"/>
        <v xml:space="preserve">CREATE TABLE TB_MENU_ROLE ( ); </v>
      </c>
      <c r="H32" s="16" t="str">
        <f t="shared" si="1"/>
        <v>COMMENT ON TABLE TB_MENU_ROLE IS '메뉴 권한 테이블' ;</v>
      </c>
    </row>
    <row r="33" spans="1:8" s="16" customFormat="1" x14ac:dyDescent="0.15">
      <c r="A33" s="27">
        <v>30</v>
      </c>
      <c r="B33" s="25" t="s">
        <v>7</v>
      </c>
      <c r="C33" s="25" t="s">
        <v>15</v>
      </c>
      <c r="D33" s="12" t="s">
        <v>28</v>
      </c>
      <c r="E33" s="12" t="s">
        <v>38</v>
      </c>
      <c r="F33" s="13" t="s">
        <v>81</v>
      </c>
      <c r="G33" s="16" t="str">
        <f t="shared" si="0"/>
        <v xml:space="preserve">CREATE TABLE TB_CMMN_CD ( ); </v>
      </c>
      <c r="H33" s="16" t="str">
        <f t="shared" si="1"/>
        <v>COMMENT ON TABLE TB_CMMN_CD IS '공통 코드 관리 테이블' ;</v>
      </c>
    </row>
    <row r="34" spans="1:8" s="16" customFormat="1" x14ac:dyDescent="0.15">
      <c r="A34" s="27">
        <v>31</v>
      </c>
      <c r="B34" s="25" t="s">
        <v>7</v>
      </c>
      <c r="C34" s="25" t="s">
        <v>15</v>
      </c>
      <c r="D34" s="12" t="s">
        <v>78</v>
      </c>
      <c r="E34" s="12" t="s">
        <v>79</v>
      </c>
      <c r="F34" s="13" t="s">
        <v>80</v>
      </c>
      <c r="G34" s="16" t="str">
        <f t="shared" si="0"/>
        <v xml:space="preserve">CREATE TABLE TB_CMMN_CD_DETAIL ( ); </v>
      </c>
      <c r="H34" s="16" t="str">
        <f t="shared" si="1"/>
        <v>COMMENT ON TABLE TB_CMMN_CD_DETAIL IS '공통 코드 상세 관리 테이블' ;</v>
      </c>
    </row>
    <row r="35" spans="1:8" s="16" customFormat="1" x14ac:dyDescent="0.15">
      <c r="A35" s="27">
        <v>32</v>
      </c>
      <c r="B35" s="25" t="s">
        <v>7</v>
      </c>
      <c r="C35" s="25" t="s">
        <v>15</v>
      </c>
      <c r="D35" s="12" t="s">
        <v>82</v>
      </c>
      <c r="E35" s="12" t="s">
        <v>83</v>
      </c>
      <c r="F35" s="13" t="s">
        <v>84</v>
      </c>
      <c r="G35" s="16" t="str">
        <f t="shared" si="0"/>
        <v xml:space="preserve">CREATE TABLE TB_BANNER ( ); </v>
      </c>
      <c r="H35" s="16" t="str">
        <f t="shared" si="1"/>
        <v>COMMENT ON TABLE TB_BANNER IS '배너 관리 테이블' ;</v>
      </c>
    </row>
    <row r="36" spans="1:8" s="16" customFormat="1" x14ac:dyDescent="0.15">
      <c r="A36" s="27">
        <v>33</v>
      </c>
      <c r="B36" s="25" t="s">
        <v>7</v>
      </c>
      <c r="C36" s="25" t="s">
        <v>15</v>
      </c>
      <c r="D36" s="16" t="s">
        <v>77</v>
      </c>
      <c r="E36" s="16" t="s">
        <v>77</v>
      </c>
      <c r="F36" s="16" t="s">
        <v>77</v>
      </c>
      <c r="H36" s="16" t="str">
        <f t="shared" si="1"/>
        <v>COMMENT ON TABLE  + 로그성 테이블 추가 예정 +  IS ' + 로그성 테이블 추가 예정 + ' ;</v>
      </c>
    </row>
    <row r="37" spans="1:8" s="16" customFormat="1" x14ac:dyDescent="0.15">
      <c r="A37" s="27">
        <v>34</v>
      </c>
      <c r="B37" s="25" t="s">
        <v>7</v>
      </c>
      <c r="C37" s="25" t="s">
        <v>15</v>
      </c>
      <c r="D37" s="16" t="s">
        <v>85</v>
      </c>
      <c r="E37" s="16" t="s">
        <v>85</v>
      </c>
      <c r="F37" s="16" t="s">
        <v>85</v>
      </c>
      <c r="H37" s="16" t="str">
        <f t="shared" si="1"/>
        <v>COMMENT ON TABLE  + 통계성 테이블 추가 예정 +  IS ' + 통계성 테이블 추가 예정 + ' ;</v>
      </c>
    </row>
    <row r="38" spans="1:8" s="16" customFormat="1" x14ac:dyDescent="0.15">
      <c r="A38" s="18"/>
      <c r="B38" s="18"/>
      <c r="E38" s="20"/>
      <c r="F38" s="19"/>
    </row>
    <row r="39" spans="1:8" s="16" customFormat="1" x14ac:dyDescent="0.15">
      <c r="A39" s="18"/>
      <c r="B39" s="18"/>
      <c r="E39" s="20"/>
      <c r="F39" s="19"/>
    </row>
    <row r="40" spans="1:8" s="16" customFormat="1" x14ac:dyDescent="0.15">
      <c r="A40" s="18"/>
      <c r="B40" s="18"/>
      <c r="E40" s="20"/>
      <c r="F40" s="19"/>
    </row>
    <row r="41" spans="1:8" s="16" customFormat="1" x14ac:dyDescent="0.15">
      <c r="A41" s="18"/>
      <c r="B41" s="18"/>
      <c r="E41" s="17"/>
      <c r="F41" s="19"/>
    </row>
    <row r="42" spans="1:8" s="16" customFormat="1" x14ac:dyDescent="0.15">
      <c r="A42" s="18"/>
      <c r="B42" s="18"/>
      <c r="E42" s="17"/>
      <c r="F42" s="19"/>
    </row>
    <row r="43" spans="1:8" s="16" customFormat="1" x14ac:dyDescent="0.15">
      <c r="A43" s="18"/>
      <c r="B43" s="18"/>
      <c r="E43" s="17"/>
      <c r="F43" s="18"/>
    </row>
    <row r="44" spans="1:8" s="16" customFormat="1" x14ac:dyDescent="0.15">
      <c r="A44" s="18"/>
      <c r="B44" s="18"/>
      <c r="E44" s="17"/>
      <c r="F44" s="18"/>
    </row>
    <row r="45" spans="1:8" s="16" customFormat="1" x14ac:dyDescent="0.15">
      <c r="A45" s="18"/>
      <c r="B45" s="18"/>
      <c r="E45" s="17"/>
      <c r="F45" s="18"/>
    </row>
    <row r="46" spans="1:8" s="16" customFormat="1" x14ac:dyDescent="0.15">
      <c r="A46" s="18"/>
      <c r="B46" s="18"/>
      <c r="E46" s="17"/>
      <c r="F46" s="18"/>
    </row>
    <row r="47" spans="1:8" s="16" customFormat="1" x14ac:dyDescent="0.15">
      <c r="A47" s="18"/>
      <c r="B47" s="18"/>
      <c r="E47" s="17"/>
      <c r="F47" s="18"/>
    </row>
    <row r="48" spans="1:8" s="16" customFormat="1" x14ac:dyDescent="0.15">
      <c r="A48" s="18"/>
      <c r="B48" s="18"/>
      <c r="E48" s="17"/>
      <c r="F48" s="18"/>
    </row>
    <row r="49" spans="1:6" s="16" customFormat="1" x14ac:dyDescent="0.15">
      <c r="A49" s="18"/>
      <c r="B49" s="18"/>
      <c r="E49" s="17"/>
      <c r="F49" s="18"/>
    </row>
    <row r="50" spans="1:6" s="16" customFormat="1" x14ac:dyDescent="0.15">
      <c r="A50" s="18"/>
      <c r="B50" s="18"/>
      <c r="E50" s="17"/>
      <c r="F50" s="18"/>
    </row>
    <row r="51" spans="1:6" s="16" customFormat="1" x14ac:dyDescent="0.15">
      <c r="A51" s="18"/>
      <c r="B51" s="18"/>
      <c r="E51" s="17"/>
      <c r="F51" s="18"/>
    </row>
    <row r="52" spans="1:6" s="16" customFormat="1" x14ac:dyDescent="0.15">
      <c r="A52" s="18"/>
      <c r="B52" s="18"/>
      <c r="E52" s="17"/>
      <c r="F52" s="18"/>
    </row>
    <row r="53" spans="1:6" s="16" customFormat="1" x14ac:dyDescent="0.15">
      <c r="A53" s="18"/>
      <c r="B53" s="18"/>
      <c r="E53" s="17"/>
      <c r="F53" s="18"/>
    </row>
    <row r="54" spans="1:6" s="16" customFormat="1" x14ac:dyDescent="0.15">
      <c r="A54" s="18"/>
      <c r="B54" s="18"/>
      <c r="E54" s="17"/>
      <c r="F54" s="18"/>
    </row>
    <row r="55" spans="1:6" s="16" customFormat="1" x14ac:dyDescent="0.15">
      <c r="A55" s="18"/>
      <c r="B55" s="18"/>
      <c r="E55" s="17"/>
      <c r="F55" s="18"/>
    </row>
    <row r="56" spans="1:6" s="16" customFormat="1" x14ac:dyDescent="0.15">
      <c r="A56" s="18"/>
      <c r="B56" s="18"/>
      <c r="E56" s="17"/>
      <c r="F56" s="18"/>
    </row>
    <row r="57" spans="1:6" s="16" customFormat="1" x14ac:dyDescent="0.15">
      <c r="A57" s="18"/>
      <c r="B57" s="18"/>
      <c r="E57" s="17"/>
      <c r="F57" s="18"/>
    </row>
    <row r="58" spans="1:6" s="16" customFormat="1" x14ac:dyDescent="0.15">
      <c r="A58" s="18"/>
      <c r="B58" s="18"/>
      <c r="E58" s="17"/>
      <c r="F58" s="18"/>
    </row>
    <row r="59" spans="1:6" s="16" customFormat="1" x14ac:dyDescent="0.15">
      <c r="A59" s="18"/>
      <c r="B59" s="18"/>
      <c r="E59" s="17"/>
      <c r="F59" s="18"/>
    </row>
    <row r="60" spans="1:6" s="16" customFormat="1" x14ac:dyDescent="0.15">
      <c r="A60" s="18"/>
      <c r="B60" s="18"/>
      <c r="E60" s="17"/>
      <c r="F60" s="18"/>
    </row>
    <row r="61" spans="1:6" s="16" customFormat="1" x14ac:dyDescent="0.15">
      <c r="A61" s="18"/>
      <c r="B61" s="18"/>
      <c r="E61" s="17"/>
      <c r="F61" s="18"/>
    </row>
    <row r="62" spans="1:6" s="16" customFormat="1" x14ac:dyDescent="0.15">
      <c r="A62" s="18"/>
      <c r="B62" s="18"/>
      <c r="E62" s="17"/>
      <c r="F62" s="18"/>
    </row>
    <row r="63" spans="1:6" s="16" customFormat="1" x14ac:dyDescent="0.15">
      <c r="A63" s="18"/>
      <c r="B63" s="18"/>
      <c r="E63" s="17"/>
      <c r="F63" s="18"/>
    </row>
    <row r="64" spans="1:6" s="16" customFormat="1" x14ac:dyDescent="0.15">
      <c r="A64" s="18"/>
      <c r="B64" s="18"/>
      <c r="E64" s="17"/>
      <c r="F64" s="18"/>
    </row>
    <row r="65" spans="1:6" s="16" customFormat="1" x14ac:dyDescent="0.15">
      <c r="A65" s="18"/>
      <c r="B65" s="18"/>
      <c r="E65" s="17"/>
      <c r="F65" s="18"/>
    </row>
    <row r="66" spans="1:6" s="16" customFormat="1" x14ac:dyDescent="0.15">
      <c r="A66" s="18"/>
      <c r="B66" s="18"/>
      <c r="E66" s="17"/>
      <c r="F66" s="18"/>
    </row>
    <row r="67" spans="1:6" s="16" customFormat="1" x14ac:dyDescent="0.15">
      <c r="A67" s="18"/>
      <c r="B67" s="18"/>
      <c r="E67" s="17"/>
      <c r="F67" s="18"/>
    </row>
    <row r="68" spans="1:6" s="16" customFormat="1" x14ac:dyDescent="0.15">
      <c r="A68" s="18"/>
      <c r="B68" s="18"/>
      <c r="E68" s="17"/>
      <c r="F68" s="18"/>
    </row>
    <row r="69" spans="1:6" s="16" customFormat="1" x14ac:dyDescent="0.15">
      <c r="A69" s="18"/>
      <c r="B69" s="18"/>
      <c r="E69" s="17"/>
      <c r="F69" s="18"/>
    </row>
    <row r="70" spans="1:6" s="16" customFormat="1" x14ac:dyDescent="0.15">
      <c r="A70" s="18"/>
      <c r="B70" s="18"/>
      <c r="E70" s="17"/>
      <c r="F70" s="18"/>
    </row>
    <row r="71" spans="1:6" s="16" customFormat="1" x14ac:dyDescent="0.15">
      <c r="A71" s="18"/>
      <c r="B71" s="18"/>
      <c r="E71" s="17"/>
      <c r="F71" s="18"/>
    </row>
    <row r="72" spans="1:6" s="16" customFormat="1" x14ac:dyDescent="0.15">
      <c r="A72" s="18"/>
      <c r="B72" s="18"/>
      <c r="E72" s="17"/>
      <c r="F72" s="18"/>
    </row>
    <row r="73" spans="1:6" s="16" customFormat="1" x14ac:dyDescent="0.15">
      <c r="A73" s="18"/>
      <c r="B73" s="18"/>
      <c r="E73" s="17"/>
      <c r="F73" s="18"/>
    </row>
    <row r="74" spans="1:6" s="16" customFormat="1" x14ac:dyDescent="0.15">
      <c r="A74" s="18"/>
      <c r="B74" s="18"/>
      <c r="E74" s="17"/>
      <c r="F74" s="18"/>
    </row>
    <row r="75" spans="1:6" s="16" customFormat="1" x14ac:dyDescent="0.15">
      <c r="A75" s="18"/>
      <c r="B75" s="18"/>
      <c r="E75" s="17"/>
      <c r="F75" s="18"/>
    </row>
    <row r="76" spans="1:6" s="16" customFormat="1" x14ac:dyDescent="0.15">
      <c r="A76" s="18"/>
      <c r="B76" s="18"/>
      <c r="E76" s="17"/>
      <c r="F76" s="18"/>
    </row>
    <row r="77" spans="1:6" s="16" customFormat="1" x14ac:dyDescent="0.15">
      <c r="A77" s="18"/>
      <c r="B77" s="18"/>
      <c r="E77" s="17"/>
      <c r="F77" s="18"/>
    </row>
    <row r="78" spans="1:6" s="16" customFormat="1" x14ac:dyDescent="0.15">
      <c r="A78" s="18"/>
      <c r="B78" s="18"/>
      <c r="E78" s="17"/>
      <c r="F78" s="18"/>
    </row>
    <row r="79" spans="1:6" s="16" customFormat="1" x14ac:dyDescent="0.15">
      <c r="A79" s="18"/>
      <c r="B79" s="18"/>
      <c r="E79" s="17"/>
      <c r="F79" s="18"/>
    </row>
    <row r="80" spans="1:6" s="16" customFormat="1" x14ac:dyDescent="0.15">
      <c r="A80" s="18"/>
      <c r="B80" s="18"/>
      <c r="E80" s="17"/>
      <c r="F80" s="18"/>
    </row>
    <row r="81" spans="1:6" s="16" customFormat="1" x14ac:dyDescent="0.15">
      <c r="A81" s="18"/>
      <c r="B81" s="18"/>
      <c r="E81" s="17"/>
      <c r="F81" s="18"/>
    </row>
    <row r="82" spans="1:6" s="16" customFormat="1" x14ac:dyDescent="0.15">
      <c r="A82" s="18"/>
      <c r="B82" s="18"/>
      <c r="E82" s="17"/>
      <c r="F82" s="18"/>
    </row>
    <row r="83" spans="1:6" s="16" customFormat="1" x14ac:dyDescent="0.15">
      <c r="A83" s="18"/>
      <c r="B83" s="18"/>
      <c r="E83" s="17"/>
      <c r="F83" s="18"/>
    </row>
    <row r="84" spans="1:6" s="16" customFormat="1" x14ac:dyDescent="0.15">
      <c r="A84" s="18"/>
      <c r="B84" s="18"/>
      <c r="E84" s="17"/>
      <c r="F84" s="18"/>
    </row>
    <row r="85" spans="1:6" s="16" customFormat="1" x14ac:dyDescent="0.15">
      <c r="A85" s="18"/>
      <c r="B85" s="18"/>
      <c r="E85" s="17"/>
      <c r="F85" s="18"/>
    </row>
    <row r="86" spans="1:6" s="16" customFormat="1" x14ac:dyDescent="0.15">
      <c r="A86" s="18"/>
      <c r="B86" s="18"/>
      <c r="E86" s="17"/>
      <c r="F86" s="18"/>
    </row>
    <row r="87" spans="1:6" s="16" customFormat="1" x14ac:dyDescent="0.15">
      <c r="A87" s="18"/>
      <c r="B87" s="18"/>
      <c r="E87" s="17"/>
      <c r="F87" s="18"/>
    </row>
    <row r="88" spans="1:6" s="16" customFormat="1" x14ac:dyDescent="0.15">
      <c r="A88" s="18"/>
      <c r="B88" s="18"/>
      <c r="E88" s="17"/>
      <c r="F88" s="18"/>
    </row>
    <row r="89" spans="1:6" s="16" customFormat="1" x14ac:dyDescent="0.15">
      <c r="A89" s="18"/>
      <c r="B89" s="18"/>
      <c r="E89" s="17"/>
      <c r="F89" s="18"/>
    </row>
    <row r="90" spans="1:6" s="16" customFormat="1" x14ac:dyDescent="0.15">
      <c r="A90" s="18"/>
      <c r="B90" s="18"/>
      <c r="E90" s="17"/>
      <c r="F90" s="18"/>
    </row>
    <row r="91" spans="1:6" s="16" customFormat="1" x14ac:dyDescent="0.15">
      <c r="A91" s="18"/>
      <c r="B91" s="18"/>
      <c r="E91" s="17"/>
      <c r="F91" s="18"/>
    </row>
    <row r="92" spans="1:6" s="16" customFormat="1" x14ac:dyDescent="0.15">
      <c r="A92" s="18"/>
      <c r="B92" s="18"/>
      <c r="E92" s="17"/>
      <c r="F92" s="18"/>
    </row>
    <row r="93" spans="1:6" s="16" customFormat="1" x14ac:dyDescent="0.15">
      <c r="A93" s="18"/>
      <c r="B93" s="18"/>
      <c r="E93" s="17"/>
      <c r="F93" s="18"/>
    </row>
    <row r="94" spans="1:6" s="16" customFormat="1" x14ac:dyDescent="0.15">
      <c r="A94" s="18"/>
      <c r="B94" s="18"/>
      <c r="E94" s="17"/>
      <c r="F94" s="18"/>
    </row>
    <row r="95" spans="1:6" s="16" customFormat="1" x14ac:dyDescent="0.15">
      <c r="A95" s="18"/>
      <c r="B95" s="18"/>
      <c r="E95" s="17"/>
      <c r="F95" s="18"/>
    </row>
    <row r="96" spans="1:6" s="16" customFormat="1" x14ac:dyDescent="0.15">
      <c r="A96" s="18"/>
      <c r="B96" s="18"/>
      <c r="E96" s="17"/>
      <c r="F96" s="18"/>
    </row>
    <row r="97" spans="1:6" s="16" customFormat="1" x14ac:dyDescent="0.15">
      <c r="A97" s="18"/>
      <c r="B97" s="18"/>
      <c r="E97" s="17"/>
      <c r="F97" s="18"/>
    </row>
    <row r="98" spans="1:6" s="16" customFormat="1" x14ac:dyDescent="0.15">
      <c r="A98" s="18"/>
      <c r="B98" s="18"/>
      <c r="E98" s="17"/>
      <c r="F98" s="18"/>
    </row>
    <row r="99" spans="1:6" s="16" customFormat="1" x14ac:dyDescent="0.15">
      <c r="A99" s="18"/>
      <c r="B99" s="18"/>
      <c r="E99" s="17"/>
      <c r="F99" s="18"/>
    </row>
    <row r="100" spans="1:6" s="16" customFormat="1" x14ac:dyDescent="0.15">
      <c r="A100" s="18"/>
      <c r="B100" s="18"/>
      <c r="E100" s="17"/>
      <c r="F100" s="18"/>
    </row>
    <row r="101" spans="1:6" s="16" customFormat="1" x14ac:dyDescent="0.15">
      <c r="A101" s="18"/>
      <c r="B101" s="18"/>
      <c r="E101" s="17"/>
      <c r="F101" s="18"/>
    </row>
    <row r="102" spans="1:6" s="16" customFormat="1" x14ac:dyDescent="0.15">
      <c r="A102" s="18"/>
      <c r="B102" s="18"/>
      <c r="E102" s="17"/>
      <c r="F102" s="18"/>
    </row>
    <row r="103" spans="1:6" s="16" customFormat="1" x14ac:dyDescent="0.15">
      <c r="A103" s="18"/>
      <c r="B103" s="18"/>
      <c r="E103" s="17"/>
      <c r="F103" s="18"/>
    </row>
    <row r="104" spans="1:6" s="16" customFormat="1" x14ac:dyDescent="0.15">
      <c r="A104" s="18"/>
      <c r="B104" s="18"/>
      <c r="E104" s="17"/>
      <c r="F104" s="18"/>
    </row>
    <row r="105" spans="1:6" s="16" customFormat="1" x14ac:dyDescent="0.15">
      <c r="A105" s="18"/>
      <c r="B105" s="18"/>
      <c r="E105" s="17"/>
      <c r="F105" s="18"/>
    </row>
    <row r="106" spans="1:6" s="16" customFormat="1" x14ac:dyDescent="0.15">
      <c r="A106" s="18"/>
      <c r="B106" s="18"/>
      <c r="E106" s="17"/>
      <c r="F106" s="18"/>
    </row>
    <row r="107" spans="1:6" s="16" customFormat="1" x14ac:dyDescent="0.15">
      <c r="A107" s="18"/>
      <c r="B107" s="18"/>
      <c r="E107" s="17"/>
      <c r="F107" s="18"/>
    </row>
    <row r="108" spans="1:6" s="16" customFormat="1" x14ac:dyDescent="0.15">
      <c r="A108" s="18"/>
      <c r="B108" s="18"/>
      <c r="E108" s="17"/>
      <c r="F108" s="18"/>
    </row>
    <row r="109" spans="1:6" s="16" customFormat="1" x14ac:dyDescent="0.15">
      <c r="A109" s="18"/>
      <c r="B109" s="18"/>
      <c r="E109" s="17"/>
      <c r="F109" s="18"/>
    </row>
    <row r="110" spans="1:6" s="16" customFormat="1" x14ac:dyDescent="0.15">
      <c r="A110" s="18"/>
      <c r="B110" s="18"/>
      <c r="E110" s="17"/>
      <c r="F110" s="18"/>
    </row>
    <row r="111" spans="1:6" s="16" customFormat="1" x14ac:dyDescent="0.15">
      <c r="A111" s="18"/>
      <c r="B111" s="18"/>
      <c r="E111" s="17"/>
      <c r="F111" s="18"/>
    </row>
    <row r="112" spans="1:6" s="16" customFormat="1" x14ac:dyDescent="0.15">
      <c r="A112" s="18"/>
      <c r="B112" s="18"/>
      <c r="E112" s="17"/>
      <c r="F112" s="18"/>
    </row>
    <row r="113" spans="1:6" s="16" customFormat="1" x14ac:dyDescent="0.15">
      <c r="A113" s="18"/>
      <c r="B113" s="18"/>
      <c r="E113" s="17"/>
      <c r="F113" s="18"/>
    </row>
    <row r="114" spans="1:6" s="16" customFormat="1" x14ac:dyDescent="0.15">
      <c r="A114" s="18"/>
      <c r="B114" s="18"/>
      <c r="E114" s="17"/>
      <c r="F114" s="18"/>
    </row>
    <row r="115" spans="1:6" s="16" customFormat="1" x14ac:dyDescent="0.15">
      <c r="A115" s="18"/>
      <c r="B115" s="18"/>
      <c r="E115" s="17"/>
      <c r="F115" s="18"/>
    </row>
    <row r="116" spans="1:6" s="16" customFormat="1" x14ac:dyDescent="0.15">
      <c r="A116" s="18"/>
      <c r="B116" s="18"/>
      <c r="E116" s="17"/>
      <c r="F116" s="18"/>
    </row>
    <row r="117" spans="1:6" s="16" customFormat="1" x14ac:dyDescent="0.15">
      <c r="A117" s="18"/>
      <c r="B117" s="18"/>
      <c r="E117" s="17"/>
      <c r="F117" s="18"/>
    </row>
    <row r="118" spans="1:6" s="16" customFormat="1" x14ac:dyDescent="0.15">
      <c r="A118" s="18"/>
      <c r="B118" s="18"/>
      <c r="E118" s="17"/>
      <c r="F118" s="18"/>
    </row>
    <row r="119" spans="1:6" s="16" customFormat="1" x14ac:dyDescent="0.15">
      <c r="A119" s="18"/>
      <c r="B119" s="18"/>
      <c r="E119" s="17"/>
      <c r="F119" s="18"/>
    </row>
    <row r="120" spans="1:6" s="16" customFormat="1" x14ac:dyDescent="0.15">
      <c r="A120" s="18"/>
      <c r="B120" s="18"/>
      <c r="E120" s="17"/>
      <c r="F120" s="18"/>
    </row>
    <row r="121" spans="1:6" s="16" customFormat="1" x14ac:dyDescent="0.15">
      <c r="A121" s="18"/>
      <c r="B121" s="18"/>
      <c r="E121" s="17"/>
      <c r="F121" s="18"/>
    </row>
    <row r="122" spans="1:6" s="16" customFormat="1" x14ac:dyDescent="0.15">
      <c r="A122" s="18"/>
      <c r="B122" s="18"/>
      <c r="E122" s="17"/>
      <c r="F122" s="18"/>
    </row>
    <row r="123" spans="1:6" s="16" customFormat="1" x14ac:dyDescent="0.15">
      <c r="A123" s="18"/>
      <c r="B123" s="18"/>
      <c r="E123" s="17"/>
      <c r="F123" s="18"/>
    </row>
    <row r="124" spans="1:6" s="16" customFormat="1" x14ac:dyDescent="0.15">
      <c r="A124" s="18"/>
      <c r="B124" s="18"/>
      <c r="E124" s="17"/>
      <c r="F124" s="18"/>
    </row>
    <row r="125" spans="1:6" s="16" customFormat="1" x14ac:dyDescent="0.15">
      <c r="A125" s="18"/>
      <c r="B125" s="18"/>
      <c r="E125" s="17"/>
      <c r="F125" s="18"/>
    </row>
    <row r="126" spans="1:6" s="16" customFormat="1" x14ac:dyDescent="0.15">
      <c r="A126" s="18"/>
      <c r="B126" s="18"/>
      <c r="E126" s="17"/>
      <c r="F126" s="18"/>
    </row>
    <row r="127" spans="1:6" s="16" customFormat="1" x14ac:dyDescent="0.15">
      <c r="A127" s="18"/>
      <c r="B127" s="18"/>
      <c r="E127" s="17"/>
      <c r="F127" s="18"/>
    </row>
    <row r="128" spans="1:6" s="16" customFormat="1" x14ac:dyDescent="0.15">
      <c r="A128" s="18"/>
      <c r="B128" s="18"/>
      <c r="E128" s="17"/>
      <c r="F128" s="18"/>
    </row>
  </sheetData>
  <autoFilter ref="A3:F35" xr:uid="{9EA3090A-E262-42D4-99E5-F7D0583EC6C1}">
    <sortState ref="A4:F35">
      <sortCondition ref="A3:A35"/>
    </sortState>
  </autoFilter>
  <phoneticPr fontId="24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테이블 목록</vt:lpstr>
      <vt:lpstr>'테이블 목록'!Print_Area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2023-12-21T00:59:32Z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