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jjeoV/Desktop/jjeoV/2023/pioneerKids/workspace/ponkidsDev/ponkids/src/main/resources/doc/"/>
    </mc:Choice>
  </mc:AlternateContent>
  <xr:revisionPtr revIDLastSave="0" documentId="13_ncr:1_{D1B59070-5E70-5343-9899-A08E8A6B4EBE}" xr6:coauthVersionLast="47" xr6:coauthVersionMax="47" xr10:uidLastSave="{00000000-0000-0000-0000-000000000000}"/>
  <bookViews>
    <workbookView xWindow="0" yWindow="860" windowWidth="34200" windowHeight="21380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테이블정의서!$A$4:$X$451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[1]표지!$B$43</definedName>
    <definedName name="baseline" localSheetId="0">'[2]2.일정추적'!#REF!</definedName>
    <definedName name="baseline">'[2]2.일정추적'!#REF!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'[2]1.요약'!$C$4</definedName>
    <definedName name="T01_컬럼정보_Query" localSheetId="0">#REF!</definedName>
    <definedName name="T01_컬럼정보_Query">#REF!</definedName>
    <definedName name="tol">'[2]4.1공수분석_개발'!$J$6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100" i="26" l="1"/>
  <c r="AG100" i="26"/>
  <c r="AF100" i="26"/>
  <c r="AE100" i="26"/>
  <c r="AD100" i="26"/>
  <c r="AC100" i="26"/>
  <c r="AB100" i="26"/>
  <c r="AA100" i="26"/>
  <c r="Z100" i="26"/>
  <c r="Y100" i="26"/>
  <c r="AH89" i="26"/>
  <c r="AG89" i="26"/>
  <c r="AF89" i="26"/>
  <c r="AE89" i="26"/>
  <c r="AD89" i="26"/>
  <c r="AC89" i="26"/>
  <c r="AB89" i="26"/>
  <c r="AA89" i="26"/>
  <c r="Z89" i="26"/>
  <c r="Y89" i="26"/>
  <c r="AH97" i="26" l="1"/>
  <c r="AG97" i="26"/>
  <c r="AF97" i="26"/>
  <c r="AE97" i="26"/>
  <c r="AD97" i="26"/>
  <c r="AA97" i="26"/>
  <c r="Z97" i="26"/>
  <c r="Y97" i="26"/>
  <c r="T97" i="26"/>
  <c r="AC97" i="26" s="1"/>
  <c r="AH96" i="26"/>
  <c r="AG96" i="26"/>
  <c r="AF96" i="26"/>
  <c r="AE96" i="26"/>
  <c r="AD96" i="26"/>
  <c r="AC96" i="26"/>
  <c r="AB96" i="26"/>
  <c r="AA96" i="26"/>
  <c r="Z96" i="26"/>
  <c r="Y96" i="26"/>
  <c r="AH95" i="26"/>
  <c r="AG95" i="26"/>
  <c r="AF95" i="26"/>
  <c r="AE95" i="26"/>
  <c r="AD95" i="26"/>
  <c r="AC95" i="26"/>
  <c r="AB95" i="26"/>
  <c r="AA95" i="26"/>
  <c r="Z95" i="26"/>
  <c r="Y95" i="26"/>
  <c r="AH94" i="26"/>
  <c r="AG94" i="26"/>
  <c r="AF94" i="26"/>
  <c r="AE94" i="26"/>
  <c r="AD94" i="26"/>
  <c r="AC94" i="26"/>
  <c r="AB94" i="26"/>
  <c r="AA94" i="26"/>
  <c r="Z94" i="26"/>
  <c r="Y94" i="26"/>
  <c r="AH93" i="26"/>
  <c r="AG93" i="26"/>
  <c r="AF93" i="26"/>
  <c r="AE93" i="26"/>
  <c r="AD93" i="26"/>
  <c r="AC93" i="26"/>
  <c r="AB93" i="26"/>
  <c r="AA93" i="26"/>
  <c r="Z93" i="26"/>
  <c r="Y93" i="26"/>
  <c r="AH92" i="26"/>
  <c r="AG92" i="26"/>
  <c r="AF92" i="26"/>
  <c r="AE92" i="26"/>
  <c r="AD92" i="26"/>
  <c r="AC92" i="26"/>
  <c r="AB92" i="26"/>
  <c r="AA92" i="26"/>
  <c r="Z92" i="26"/>
  <c r="Y92" i="26"/>
  <c r="AH91" i="26"/>
  <c r="AG91" i="26"/>
  <c r="AF91" i="26"/>
  <c r="AE91" i="26"/>
  <c r="AD91" i="26"/>
  <c r="AC91" i="26"/>
  <c r="AB91" i="26"/>
  <c r="AA91" i="26"/>
  <c r="Z91" i="26"/>
  <c r="Y91" i="26"/>
  <c r="AH90" i="26"/>
  <c r="AG90" i="26"/>
  <c r="AF90" i="26"/>
  <c r="AE90" i="26"/>
  <c r="AD90" i="26"/>
  <c r="AC90" i="26"/>
  <c r="AB90" i="26"/>
  <c r="AA90" i="26"/>
  <c r="Z90" i="26"/>
  <c r="Y90" i="26"/>
  <c r="AH88" i="26"/>
  <c r="AG88" i="26"/>
  <c r="AF88" i="26"/>
  <c r="AE88" i="26"/>
  <c r="AD88" i="26"/>
  <c r="AC88" i="26"/>
  <c r="AB88" i="26"/>
  <c r="AA88" i="26"/>
  <c r="Z88" i="26"/>
  <c r="Y88" i="26"/>
  <c r="AH87" i="26"/>
  <c r="AG87" i="26"/>
  <c r="AF87" i="26"/>
  <c r="AE87" i="26"/>
  <c r="AD87" i="26"/>
  <c r="AA87" i="26"/>
  <c r="Z87" i="26"/>
  <c r="Y87" i="26"/>
  <c r="T87" i="26"/>
  <c r="AC87" i="26" s="1"/>
  <c r="AB98" i="26"/>
  <c r="AH107" i="26"/>
  <c r="AG107" i="26"/>
  <c r="AF107" i="26"/>
  <c r="AE107" i="26"/>
  <c r="AD107" i="26"/>
  <c r="AC107" i="26"/>
  <c r="AB107" i="26"/>
  <c r="AA107" i="26"/>
  <c r="Z107" i="26"/>
  <c r="Y107" i="26"/>
  <c r="AH106" i="26"/>
  <c r="AG106" i="26"/>
  <c r="AF106" i="26"/>
  <c r="AE106" i="26"/>
  <c r="AD106" i="26"/>
  <c r="AC106" i="26"/>
  <c r="AB106" i="26"/>
  <c r="AA106" i="26"/>
  <c r="Z106" i="26"/>
  <c r="Y106" i="26"/>
  <c r="AH105" i="26"/>
  <c r="AG105" i="26"/>
  <c r="AF105" i="26"/>
  <c r="AE105" i="26"/>
  <c r="AD105" i="26"/>
  <c r="AC105" i="26"/>
  <c r="AB105" i="26"/>
  <c r="AA105" i="26"/>
  <c r="Z105" i="26"/>
  <c r="Y105" i="26"/>
  <c r="AH104" i="26"/>
  <c r="AG104" i="26"/>
  <c r="AF104" i="26"/>
  <c r="AE104" i="26"/>
  <c r="AD104" i="26"/>
  <c r="AC104" i="26"/>
  <c r="AB104" i="26"/>
  <c r="AA104" i="26"/>
  <c r="Z104" i="26"/>
  <c r="Y104" i="26"/>
  <c r="AH103" i="26"/>
  <c r="AG103" i="26"/>
  <c r="AF103" i="26"/>
  <c r="AE103" i="26"/>
  <c r="AD103" i="26"/>
  <c r="AC103" i="26"/>
  <c r="AB103" i="26"/>
  <c r="AA103" i="26"/>
  <c r="Z103" i="26"/>
  <c r="Y103" i="26"/>
  <c r="AH102" i="26"/>
  <c r="AG102" i="26"/>
  <c r="AF102" i="26"/>
  <c r="AE102" i="26"/>
  <c r="AD102" i="26"/>
  <c r="AC102" i="26"/>
  <c r="AB102" i="26"/>
  <c r="AA102" i="26"/>
  <c r="Z102" i="26"/>
  <c r="Y102" i="26"/>
  <c r="AH101" i="26"/>
  <c r="AG101" i="26"/>
  <c r="AF101" i="26"/>
  <c r="AE101" i="26"/>
  <c r="AD101" i="26"/>
  <c r="AC101" i="26"/>
  <c r="AB101" i="26"/>
  <c r="AA101" i="26"/>
  <c r="Z101" i="26"/>
  <c r="Y101" i="26"/>
  <c r="AH99" i="26"/>
  <c r="AG99" i="26"/>
  <c r="AF99" i="26"/>
  <c r="AE99" i="26"/>
  <c r="AD99" i="26"/>
  <c r="AC99" i="26"/>
  <c r="AB99" i="26"/>
  <c r="AA99" i="26"/>
  <c r="Z99" i="26"/>
  <c r="Y99" i="26"/>
  <c r="AH98" i="26"/>
  <c r="AG98" i="26"/>
  <c r="AF98" i="26"/>
  <c r="AE98" i="26"/>
  <c r="AD98" i="26"/>
  <c r="AA98" i="26"/>
  <c r="Z98" i="26"/>
  <c r="Y98" i="26"/>
  <c r="AB97" i="26" l="1"/>
  <c r="AC98" i="26"/>
  <c r="AB87" i="26"/>
  <c r="AE6" i="26" l="1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6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68" i="26"/>
  <c r="AE69" i="26"/>
  <c r="AE70" i="26"/>
  <c r="AE71" i="26"/>
  <c r="AE72" i="26"/>
  <c r="AE73" i="26"/>
  <c r="AE74" i="26"/>
  <c r="AE75" i="26"/>
  <c r="AE76" i="26"/>
  <c r="AE77" i="26"/>
  <c r="AE78" i="26"/>
  <c r="AE79" i="26"/>
  <c r="AE80" i="26"/>
  <c r="AE81" i="26"/>
  <c r="AE82" i="26"/>
  <c r="AE83" i="26"/>
  <c r="AE84" i="26"/>
  <c r="AE85" i="26"/>
  <c r="AE86" i="26"/>
  <c r="AE108" i="26"/>
  <c r="AE109" i="26"/>
  <c r="AE110" i="26"/>
  <c r="AE111" i="26"/>
  <c r="AE112" i="26"/>
  <c r="AE113" i="26"/>
  <c r="AE114" i="26"/>
  <c r="AE115" i="26"/>
  <c r="AE116" i="26"/>
  <c r="AE117" i="26"/>
  <c r="AE118" i="26"/>
  <c r="AE119" i="26"/>
  <c r="AE120" i="26"/>
  <c r="AE121" i="26"/>
  <c r="AE122" i="26"/>
  <c r="AE123" i="26"/>
  <c r="AE124" i="26"/>
  <c r="AE125" i="26"/>
  <c r="AE126" i="26"/>
  <c r="AE127" i="26"/>
  <c r="AE128" i="26"/>
  <c r="AE129" i="26"/>
  <c r="AE130" i="26"/>
  <c r="AE131" i="26"/>
  <c r="AE132" i="26"/>
  <c r="AE133" i="26"/>
  <c r="AE134" i="26"/>
  <c r="AE135" i="26"/>
  <c r="AE136" i="26"/>
  <c r="AE137" i="26"/>
  <c r="AE138" i="26"/>
  <c r="AE139" i="26"/>
  <c r="AE140" i="26"/>
  <c r="AE141" i="26"/>
  <c r="AE142" i="26"/>
  <c r="AE143" i="26"/>
  <c r="AE144" i="26"/>
  <c r="AE145" i="26"/>
  <c r="AE146" i="26"/>
  <c r="AE147" i="26"/>
  <c r="AE148" i="26"/>
  <c r="AE149" i="26"/>
  <c r="AE150" i="26"/>
  <c r="AE151" i="26"/>
  <c r="AE152" i="26"/>
  <c r="AE153" i="26"/>
  <c r="AE154" i="26"/>
  <c r="AE155" i="26"/>
  <c r="AE156" i="26"/>
  <c r="AE157" i="26"/>
  <c r="AE158" i="26"/>
  <c r="AE159" i="26"/>
  <c r="AE160" i="26"/>
  <c r="AE161" i="26"/>
  <c r="AE162" i="26"/>
  <c r="AE163" i="26"/>
  <c r="AE164" i="26"/>
  <c r="AE165" i="26"/>
  <c r="AE166" i="26"/>
  <c r="AE167" i="26"/>
  <c r="AE168" i="26"/>
  <c r="AE169" i="26"/>
  <c r="AE170" i="26"/>
  <c r="AE171" i="26"/>
  <c r="AE172" i="26"/>
  <c r="AE173" i="26"/>
  <c r="AE174" i="26"/>
  <c r="AE175" i="26"/>
  <c r="AE176" i="26"/>
  <c r="AE177" i="26"/>
  <c r="AE178" i="26"/>
  <c r="AE179" i="26"/>
  <c r="AE180" i="26"/>
  <c r="AE181" i="26"/>
  <c r="AE182" i="26"/>
  <c r="AE183" i="26"/>
  <c r="AE184" i="26"/>
  <c r="AE185" i="26"/>
  <c r="AE186" i="26"/>
  <c r="AE187" i="26"/>
  <c r="AE188" i="26"/>
  <c r="AE189" i="26"/>
  <c r="AE190" i="26"/>
  <c r="AE191" i="26"/>
  <c r="AE192" i="26"/>
  <c r="AE193" i="26"/>
  <c r="AE194" i="26"/>
  <c r="AE195" i="26"/>
  <c r="AE196" i="26"/>
  <c r="AE197" i="26"/>
  <c r="AE198" i="26"/>
  <c r="AE199" i="26"/>
  <c r="AE200" i="26"/>
  <c r="AE201" i="26"/>
  <c r="AE202" i="26"/>
  <c r="AE203" i="26"/>
  <c r="AE204" i="26"/>
  <c r="AE205" i="26"/>
  <c r="AE206" i="26"/>
  <c r="AE207" i="26"/>
  <c r="AE208" i="26"/>
  <c r="AE209" i="26"/>
  <c r="AE210" i="26"/>
  <c r="AE211" i="26"/>
  <c r="AE212" i="26"/>
  <c r="AE213" i="26"/>
  <c r="AE214" i="26"/>
  <c r="AE215" i="26"/>
  <c r="AE216" i="26"/>
  <c r="AE217" i="26"/>
  <c r="AE218" i="26"/>
  <c r="AE219" i="26"/>
  <c r="AE220" i="26"/>
  <c r="AE221" i="26"/>
  <c r="AE222" i="26"/>
  <c r="AE223" i="26"/>
  <c r="AE224" i="26"/>
  <c r="AE225" i="26"/>
  <c r="AE226" i="26"/>
  <c r="AE227" i="26"/>
  <c r="AE228" i="26"/>
  <c r="AE229" i="26"/>
  <c r="AE230" i="26"/>
  <c r="AE231" i="26"/>
  <c r="AE232" i="26"/>
  <c r="AE233" i="26"/>
  <c r="AE234" i="26"/>
  <c r="AE235" i="26"/>
  <c r="AE236" i="26"/>
  <c r="AE237" i="26"/>
  <c r="AE238" i="26"/>
  <c r="AE239" i="26"/>
  <c r="AE240" i="26"/>
  <c r="AE241" i="26"/>
  <c r="AE242" i="26"/>
  <c r="AE243" i="26"/>
  <c r="AE244" i="26"/>
  <c r="AE245" i="26"/>
  <c r="AE246" i="26"/>
  <c r="AE247" i="26"/>
  <c r="AE248" i="26"/>
  <c r="AE249" i="26"/>
  <c r="AE250" i="26"/>
  <c r="AE251" i="26"/>
  <c r="AE252" i="26"/>
  <c r="AE253" i="26"/>
  <c r="AE254" i="26"/>
  <c r="AE255" i="26"/>
  <c r="AE256" i="26"/>
  <c r="AE257" i="26"/>
  <c r="AE258" i="26"/>
  <c r="AE259" i="26"/>
  <c r="AE260" i="26"/>
  <c r="AE261" i="26"/>
  <c r="AE262" i="26"/>
  <c r="AE263" i="26"/>
  <c r="AE264" i="26"/>
  <c r="AE265" i="26"/>
  <c r="AE266" i="26"/>
  <c r="AE267" i="26"/>
  <c r="AE268" i="26"/>
  <c r="AE269" i="26"/>
  <c r="AE270" i="26"/>
  <c r="AE271" i="26"/>
  <c r="AE272" i="26"/>
  <c r="AE273" i="26"/>
  <c r="AE274" i="26"/>
  <c r="AE275" i="26"/>
  <c r="AE276" i="26"/>
  <c r="AE277" i="26"/>
  <c r="AE278" i="26"/>
  <c r="AE279" i="26"/>
  <c r="AE280" i="26"/>
  <c r="AE281" i="26"/>
  <c r="AE282" i="26"/>
  <c r="AE283" i="26"/>
  <c r="AE284" i="26"/>
  <c r="AE285" i="26"/>
  <c r="AE286" i="26"/>
  <c r="AE287" i="26"/>
  <c r="AE288" i="26"/>
  <c r="AE289" i="26"/>
  <c r="AE290" i="26"/>
  <c r="AE291" i="26"/>
  <c r="AE292" i="26"/>
  <c r="AE293" i="26"/>
  <c r="AE294" i="26"/>
  <c r="AE295" i="26"/>
  <c r="AE296" i="26"/>
  <c r="AE297" i="26"/>
  <c r="AE298" i="26"/>
  <c r="AE299" i="26"/>
  <c r="AE300" i="26"/>
  <c r="AE301" i="26"/>
  <c r="AE302" i="26"/>
  <c r="AE303" i="26"/>
  <c r="AE304" i="26"/>
  <c r="AE305" i="26"/>
  <c r="AE306" i="26"/>
  <c r="AE307" i="26"/>
  <c r="AE308" i="26"/>
  <c r="AE309" i="26"/>
  <c r="AE310" i="26"/>
  <c r="AE311" i="26"/>
  <c r="AE312" i="26"/>
  <c r="AE313" i="26"/>
  <c r="AE314" i="26"/>
  <c r="AE315" i="26"/>
  <c r="AE316" i="26"/>
  <c r="AE317" i="26"/>
  <c r="AE318" i="26"/>
  <c r="AE319" i="26"/>
  <c r="AE320" i="26"/>
  <c r="AE321" i="26"/>
  <c r="AE322" i="26"/>
  <c r="AE323" i="26"/>
  <c r="AE324" i="26"/>
  <c r="AE325" i="26"/>
  <c r="AE326" i="26"/>
  <c r="AE327" i="26"/>
  <c r="AE328" i="26"/>
  <c r="AE329" i="26"/>
  <c r="AE330" i="26"/>
  <c r="AE331" i="26"/>
  <c r="AE332" i="26"/>
  <c r="AE333" i="26"/>
  <c r="AE334" i="26"/>
  <c r="AE335" i="26"/>
  <c r="AE336" i="26"/>
  <c r="AE337" i="26"/>
  <c r="AE338" i="26"/>
  <c r="AE339" i="26"/>
  <c r="AE340" i="26"/>
  <c r="AE341" i="26"/>
  <c r="AE342" i="26"/>
  <c r="AE343" i="26"/>
  <c r="AE344" i="26"/>
  <c r="AE345" i="26"/>
  <c r="AE346" i="26"/>
  <c r="AE347" i="26"/>
  <c r="AE348" i="26"/>
  <c r="AE349" i="26"/>
  <c r="AE350" i="26"/>
  <c r="AE351" i="26"/>
  <c r="AE352" i="26"/>
  <c r="AE353" i="26"/>
  <c r="AE354" i="26"/>
  <c r="AE355" i="26"/>
  <c r="AE356" i="26"/>
  <c r="AE357" i="26"/>
  <c r="AE358" i="26"/>
  <c r="AE359" i="26"/>
  <c r="AE360" i="26"/>
  <c r="AE361" i="26"/>
  <c r="AE362" i="26"/>
  <c r="AE363" i="26"/>
  <c r="AE364" i="26"/>
  <c r="AE365" i="26"/>
  <c r="AE366" i="26"/>
  <c r="AE367" i="26"/>
  <c r="AE368" i="26"/>
  <c r="AE369" i="26"/>
  <c r="AE370" i="26"/>
  <c r="AE371" i="26"/>
  <c r="AE372" i="26"/>
  <c r="AE373" i="26"/>
  <c r="AE374" i="26"/>
  <c r="AE375" i="26"/>
  <c r="AE376" i="26"/>
  <c r="AE377" i="26"/>
  <c r="AE378" i="26"/>
  <c r="AE379" i="26"/>
  <c r="AE380" i="26"/>
  <c r="AE381" i="26"/>
  <c r="AE382" i="26"/>
  <c r="AE383" i="26"/>
  <c r="AE384" i="26"/>
  <c r="AE385" i="26"/>
  <c r="AE386" i="26"/>
  <c r="AE387" i="26"/>
  <c r="AE388" i="26"/>
  <c r="AE389" i="26"/>
  <c r="AE390" i="26"/>
  <c r="AE391" i="26"/>
  <c r="AE392" i="26"/>
  <c r="AE393" i="26"/>
  <c r="AE394" i="26"/>
  <c r="AE395" i="26"/>
  <c r="AE396" i="26"/>
  <c r="AE397" i="26"/>
  <c r="AE398" i="26"/>
  <c r="AE399" i="26"/>
  <c r="AE400" i="26"/>
  <c r="AE401" i="26"/>
  <c r="AE402" i="26"/>
  <c r="AE403" i="26"/>
  <c r="AE404" i="26"/>
  <c r="AE405" i="26"/>
  <c r="AE406" i="26"/>
  <c r="AE407" i="26"/>
  <c r="AE408" i="26"/>
  <c r="AE409" i="26"/>
  <c r="AE410" i="26"/>
  <c r="AE411" i="26"/>
  <c r="AE412" i="26"/>
  <c r="AE413" i="26"/>
  <c r="AE414" i="26"/>
  <c r="AE415" i="26"/>
  <c r="AE416" i="26"/>
  <c r="AE417" i="26"/>
  <c r="AE418" i="26"/>
  <c r="AE419" i="26"/>
  <c r="AE420" i="26"/>
  <c r="AE421" i="26"/>
  <c r="AE422" i="26"/>
  <c r="AE423" i="26"/>
  <c r="AE424" i="26"/>
  <c r="AE425" i="26"/>
  <c r="AE426" i="26"/>
  <c r="AE427" i="26"/>
  <c r="AE428" i="26"/>
  <c r="AE429" i="26"/>
  <c r="AE430" i="26"/>
  <c r="AE431" i="26"/>
  <c r="AE432" i="26"/>
  <c r="AE433" i="26"/>
  <c r="AE434" i="26"/>
  <c r="AE435" i="26"/>
  <c r="AE436" i="26"/>
  <c r="AE437" i="26"/>
  <c r="AE438" i="26"/>
  <c r="AE439" i="26"/>
  <c r="AE440" i="26"/>
  <c r="AE441" i="26"/>
  <c r="AE442" i="26"/>
  <c r="AE443" i="26"/>
  <c r="AE444" i="26"/>
  <c r="AE445" i="26"/>
  <c r="AE446" i="26"/>
  <c r="AE447" i="26"/>
  <c r="AE448" i="26"/>
  <c r="AE449" i="26"/>
  <c r="AE450" i="26"/>
  <c r="AE451" i="26"/>
  <c r="AE5" i="26"/>
  <c r="AH365" i="26"/>
  <c r="AG365" i="26"/>
  <c r="AF365" i="26"/>
  <c r="AD365" i="26"/>
  <c r="AC365" i="26"/>
  <c r="AB365" i="26"/>
  <c r="Z365" i="26"/>
  <c r="Y365" i="26"/>
  <c r="AA365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108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193" i="26"/>
  <c r="AG194" i="26"/>
  <c r="AG195" i="26"/>
  <c r="AG196" i="26"/>
  <c r="AG197" i="26"/>
  <c r="AG198" i="26"/>
  <c r="AG199" i="26"/>
  <c r="AG200" i="26"/>
  <c r="AG201" i="26"/>
  <c r="AG202" i="26"/>
  <c r="AG203" i="26"/>
  <c r="AG204" i="26"/>
  <c r="AG205" i="26"/>
  <c r="AG206" i="26"/>
  <c r="AG207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25" i="26"/>
  <c r="AG226" i="26"/>
  <c r="AG227" i="26"/>
  <c r="AG228" i="26"/>
  <c r="AG229" i="26"/>
  <c r="AG230" i="26"/>
  <c r="AG231" i="26"/>
  <c r="AG232" i="26"/>
  <c r="AG233" i="26"/>
  <c r="AG234" i="26"/>
  <c r="AG235" i="26"/>
  <c r="AG236" i="26"/>
  <c r="AG237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5" i="26"/>
  <c r="AB248" i="26" l="1"/>
  <c r="AB249" i="26"/>
  <c r="AB250" i="26"/>
  <c r="AB251" i="26"/>
  <c r="AB252" i="26"/>
  <c r="AB253" i="26"/>
  <c r="AB254" i="26"/>
  <c r="AB256" i="26"/>
  <c r="AB257" i="26"/>
  <c r="AB260" i="26"/>
  <c r="AB261" i="26"/>
  <c r="AB262" i="26"/>
  <c r="AB263" i="26"/>
  <c r="AB264" i="26"/>
  <c r="AB265" i="26"/>
  <c r="AB266" i="26"/>
  <c r="AB267" i="26"/>
  <c r="AB268" i="26"/>
  <c r="AB270" i="26"/>
  <c r="AB271" i="26"/>
  <c r="AB272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8" i="26"/>
  <c r="AB300" i="26"/>
  <c r="AB301" i="26"/>
  <c r="AB302" i="26"/>
  <c r="AB303" i="26"/>
  <c r="AB304" i="26"/>
  <c r="AB305" i="26"/>
  <c r="AB306" i="26"/>
  <c r="AB307" i="26"/>
  <c r="AB308" i="26"/>
  <c r="AB309" i="26"/>
  <c r="AB311" i="26"/>
  <c r="AB313" i="26"/>
  <c r="AB314" i="26"/>
  <c r="AB315" i="26"/>
  <c r="AB316" i="26"/>
  <c r="AB317" i="26"/>
  <c r="AB318" i="26"/>
  <c r="AB319" i="26"/>
  <c r="AB320" i="26"/>
  <c r="AB322" i="26"/>
  <c r="AB323" i="26"/>
  <c r="AB324" i="26"/>
  <c r="AB325" i="26"/>
  <c r="AB326" i="26"/>
  <c r="AB327" i="26"/>
  <c r="AB328" i="26"/>
  <c r="AB329" i="26"/>
  <c r="AB330" i="26"/>
  <c r="AB332" i="26"/>
  <c r="AB333" i="26"/>
  <c r="AB334" i="26"/>
  <c r="AB335" i="26"/>
  <c r="AB336" i="26"/>
  <c r="AB337" i="26"/>
  <c r="AB338" i="26"/>
  <c r="AB339" i="26"/>
  <c r="AB340" i="26"/>
  <c r="AB341" i="26"/>
  <c r="AB342" i="26"/>
  <c r="AB343" i="26"/>
  <c r="AB345" i="26"/>
  <c r="AB346" i="26"/>
  <c r="AB347" i="26"/>
  <c r="AB349" i="26"/>
  <c r="AB350" i="26"/>
  <c r="AB351" i="26"/>
  <c r="AB352" i="26"/>
  <c r="AB353" i="26"/>
  <c r="AB354" i="26"/>
  <c r="AB357" i="26"/>
  <c r="AB358" i="26"/>
  <c r="AB359" i="26"/>
  <c r="AB360" i="26"/>
  <c r="AB362" i="26"/>
  <c r="AB363" i="26"/>
  <c r="AB364" i="26"/>
  <c r="AB366" i="26"/>
  <c r="AB367" i="26"/>
  <c r="AB368" i="26"/>
  <c r="AB369" i="26"/>
  <c r="AB370" i="26"/>
  <c r="AB371" i="26"/>
  <c r="AB372" i="26"/>
  <c r="AB373" i="26"/>
  <c r="AB374" i="26"/>
  <c r="AB376" i="26"/>
  <c r="AB377" i="26"/>
  <c r="AB378" i="26"/>
  <c r="AB379" i="26"/>
  <c r="AB380" i="26"/>
  <c r="AB381" i="26"/>
  <c r="AB382" i="26"/>
  <c r="AB383" i="26"/>
  <c r="AB384" i="26"/>
  <c r="AB386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5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4" i="26"/>
  <c r="AB425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A248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8" i="26"/>
  <c r="AD79" i="26"/>
  <c r="AD80" i="26"/>
  <c r="AD81" i="26"/>
  <c r="AD82" i="26"/>
  <c r="AD83" i="26"/>
  <c r="AD84" i="26"/>
  <c r="AD85" i="26"/>
  <c r="AD86" i="26"/>
  <c r="AD108" i="26"/>
  <c r="AD109" i="26"/>
  <c r="AD110" i="26"/>
  <c r="AD111" i="26"/>
  <c r="AD112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193" i="26"/>
  <c r="AD194" i="26"/>
  <c r="AD195" i="26"/>
  <c r="AD196" i="26"/>
  <c r="AD197" i="26"/>
  <c r="AD198" i="26"/>
  <c r="AD199" i="26"/>
  <c r="AD200" i="26"/>
  <c r="AD201" i="26"/>
  <c r="AD202" i="26"/>
  <c r="AD203" i="26"/>
  <c r="AD204" i="26"/>
  <c r="AD205" i="26"/>
  <c r="AD206" i="26"/>
  <c r="AD207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25" i="26"/>
  <c r="AD226" i="26"/>
  <c r="AD227" i="26"/>
  <c r="AD228" i="26"/>
  <c r="AD229" i="26"/>
  <c r="AD230" i="26"/>
  <c r="AD231" i="26"/>
  <c r="AD232" i="26"/>
  <c r="AD233" i="26"/>
  <c r="AD234" i="26"/>
  <c r="AD235" i="26"/>
  <c r="AD236" i="26"/>
  <c r="AD237" i="26"/>
  <c r="AD238" i="26"/>
  <c r="AD239" i="26"/>
  <c r="AD240" i="26"/>
  <c r="AD241" i="26"/>
  <c r="AD242" i="26"/>
  <c r="AD243" i="26"/>
  <c r="AD244" i="26"/>
  <c r="AD245" i="26"/>
  <c r="AD246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4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5" i="26"/>
  <c r="AD426" i="26"/>
  <c r="AD427" i="26"/>
  <c r="AD428" i="26"/>
  <c r="AD429" i="26"/>
  <c r="AD430" i="26"/>
  <c r="AD431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5" i="26"/>
  <c r="AF451" i="26"/>
  <c r="AF450" i="26"/>
  <c r="AF449" i="26"/>
  <c r="AF448" i="26"/>
  <c r="AF447" i="26"/>
  <c r="AF446" i="26"/>
  <c r="AF445" i="26"/>
  <c r="AF444" i="26"/>
  <c r="AF443" i="26"/>
  <c r="AF442" i="26"/>
  <c r="AF441" i="26"/>
  <c r="AF440" i="26"/>
  <c r="AF439" i="26"/>
  <c r="AF438" i="26"/>
  <c r="AF437" i="26"/>
  <c r="AF436" i="26"/>
  <c r="AF435" i="26"/>
  <c r="AF434" i="26"/>
  <c r="AF433" i="26"/>
  <c r="AF432" i="26"/>
  <c r="AF431" i="26"/>
  <c r="AF430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1" i="26"/>
  <c r="AF380" i="26"/>
  <c r="AF379" i="26"/>
  <c r="AF378" i="26"/>
  <c r="AF377" i="26"/>
  <c r="AF376" i="26"/>
  <c r="AF375" i="26"/>
  <c r="AF374" i="26"/>
  <c r="AF373" i="26"/>
  <c r="AF372" i="26"/>
  <c r="AF371" i="26"/>
  <c r="AF370" i="26"/>
  <c r="AF369" i="26"/>
  <c r="AF368" i="26"/>
  <c r="AF367" i="26"/>
  <c r="AF366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4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8" i="26"/>
  <c r="AF247" i="26"/>
  <c r="AF246" i="26"/>
  <c r="AF245" i="26"/>
  <c r="AF244" i="26"/>
  <c r="AF243" i="26"/>
  <c r="AF242" i="26"/>
  <c r="AF241" i="26"/>
  <c r="AF240" i="26"/>
  <c r="AF239" i="26"/>
  <c r="AF238" i="26"/>
  <c r="AF237" i="26"/>
  <c r="AF236" i="26"/>
  <c r="AF235" i="26"/>
  <c r="AF234" i="26"/>
  <c r="AF233" i="26"/>
  <c r="AF232" i="26"/>
  <c r="AF231" i="26"/>
  <c r="AF230" i="26"/>
  <c r="AF229" i="26"/>
  <c r="AF228" i="26"/>
  <c r="AF227" i="26"/>
  <c r="AF226" i="26"/>
  <c r="AF225" i="26"/>
  <c r="AF224" i="26"/>
  <c r="AF223" i="26"/>
  <c r="AF222" i="26"/>
  <c r="AF221" i="26"/>
  <c r="AF220" i="26"/>
  <c r="AF219" i="26"/>
  <c r="AF218" i="26"/>
  <c r="AF217" i="26"/>
  <c r="AF216" i="26"/>
  <c r="AF215" i="26"/>
  <c r="AF214" i="26"/>
  <c r="AF213" i="26"/>
  <c r="AF212" i="26"/>
  <c r="AF211" i="26"/>
  <c r="AF210" i="26"/>
  <c r="AF209" i="26"/>
  <c r="AF208" i="26"/>
  <c r="AF207" i="26"/>
  <c r="AF206" i="26"/>
  <c r="AF205" i="26"/>
  <c r="AF204" i="26"/>
  <c r="AF203" i="26"/>
  <c r="AF202" i="26"/>
  <c r="AF201" i="26"/>
  <c r="AF200" i="26"/>
  <c r="AF199" i="26"/>
  <c r="AF198" i="26"/>
  <c r="AF197" i="26"/>
  <c r="AF196" i="26"/>
  <c r="AF195" i="26"/>
  <c r="AF194" i="26"/>
  <c r="AF193" i="26"/>
  <c r="AF192" i="26"/>
  <c r="AF191" i="26"/>
  <c r="AF190" i="26"/>
  <c r="AF189" i="26"/>
  <c r="AF188" i="26"/>
  <c r="AF187" i="26"/>
  <c r="AF186" i="26"/>
  <c r="AF185" i="26"/>
  <c r="AF184" i="26"/>
  <c r="AF183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112" i="26"/>
  <c r="AF111" i="26"/>
  <c r="AF110" i="26"/>
  <c r="AF109" i="26"/>
  <c r="AF108" i="26"/>
  <c r="AF86" i="26"/>
  <c r="AF85" i="26"/>
  <c r="AF84" i="26"/>
  <c r="AF83" i="26"/>
  <c r="AF82" i="26"/>
  <c r="AF81" i="26"/>
  <c r="AF80" i="26"/>
  <c r="AF79" i="26"/>
  <c r="AF78" i="26"/>
  <c r="AF77" i="26"/>
  <c r="AF76" i="26"/>
  <c r="AF75" i="26"/>
  <c r="AF74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H241" i="26" l="1"/>
  <c r="AC241" i="26"/>
  <c r="AB241" i="26"/>
  <c r="AA241" i="26"/>
  <c r="Z241" i="26"/>
  <c r="Y241" i="26"/>
  <c r="Y242" i="26"/>
  <c r="Z242" i="26"/>
  <c r="AA242" i="26"/>
  <c r="AB242" i="26"/>
  <c r="AC242" i="26"/>
  <c r="AH242" i="26"/>
  <c r="AH228" i="26"/>
  <c r="AC228" i="26"/>
  <c r="AB228" i="26"/>
  <c r="AA228" i="26"/>
  <c r="Z228" i="26"/>
  <c r="Y228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109" i="26"/>
  <c r="AC111" i="26"/>
  <c r="AC112" i="26"/>
  <c r="AC113" i="26"/>
  <c r="AC114" i="26"/>
  <c r="AC115" i="26"/>
  <c r="AC116" i="26"/>
  <c r="AC117" i="26"/>
  <c r="AC118" i="26"/>
  <c r="AC119" i="26"/>
  <c r="AC120" i="26"/>
  <c r="AC122" i="26"/>
  <c r="AC124" i="26"/>
  <c r="AC125" i="26"/>
  <c r="AC126" i="26"/>
  <c r="AC127" i="26"/>
  <c r="AC128" i="26"/>
  <c r="AC129" i="26"/>
  <c r="AC130" i="26"/>
  <c r="AC131" i="26"/>
  <c r="AC133" i="26"/>
  <c r="AC134" i="26"/>
  <c r="AC135" i="26"/>
  <c r="AC136" i="26"/>
  <c r="AC137" i="26"/>
  <c r="AC138" i="26"/>
  <c r="AC139" i="26"/>
  <c r="AC140" i="26"/>
  <c r="AC141" i="26"/>
  <c r="AC142" i="26"/>
  <c r="AC144" i="26"/>
  <c r="AC145" i="26"/>
  <c r="AC146" i="26"/>
  <c r="AC147" i="26"/>
  <c r="AC148" i="26"/>
  <c r="AC149" i="26"/>
  <c r="AC150" i="26"/>
  <c r="AC151" i="26"/>
  <c r="AC152" i="26"/>
  <c r="AC154" i="26"/>
  <c r="AC155" i="26"/>
  <c r="AC156" i="26"/>
  <c r="AC157" i="26"/>
  <c r="AC158" i="26"/>
  <c r="AC159" i="26"/>
  <c r="AC160" i="26"/>
  <c r="AC161" i="26"/>
  <c r="AC162" i="26"/>
  <c r="AC164" i="26"/>
  <c r="AC165" i="26"/>
  <c r="AC166" i="26"/>
  <c r="AC168" i="26"/>
  <c r="AC169" i="26"/>
  <c r="AC170" i="26"/>
  <c r="AC171" i="26"/>
  <c r="AC172" i="26"/>
  <c r="AC173" i="26"/>
  <c r="AC174" i="26"/>
  <c r="AC175" i="26"/>
  <c r="AC176" i="26"/>
  <c r="AC177" i="26"/>
  <c r="AC179" i="26"/>
  <c r="AC180" i="26"/>
  <c r="AC182" i="26"/>
  <c r="AC183" i="26"/>
  <c r="AC184" i="26"/>
  <c r="AC185" i="26"/>
  <c r="AC186" i="26"/>
  <c r="AC187" i="26"/>
  <c r="AC188" i="26"/>
  <c r="AC189" i="26"/>
  <c r="AC190" i="26"/>
  <c r="AC191" i="26"/>
  <c r="AC192" i="26"/>
  <c r="AC194" i="26"/>
  <c r="AC195" i="26"/>
  <c r="AC197" i="26"/>
  <c r="AC198" i="26"/>
  <c r="AC199" i="26"/>
  <c r="AC200" i="26"/>
  <c r="AC201" i="26"/>
  <c r="AC202" i="26"/>
  <c r="AC203" i="26"/>
  <c r="AC204" i="26"/>
  <c r="AC205" i="26"/>
  <c r="AC206" i="26"/>
  <c r="AC207" i="26"/>
  <c r="AC208" i="26"/>
  <c r="AC209" i="26"/>
  <c r="AC210" i="26"/>
  <c r="AC212" i="26"/>
  <c r="AC213" i="26"/>
  <c r="AC214" i="26"/>
  <c r="AC215" i="26"/>
  <c r="AC216" i="26"/>
  <c r="AC217" i="26"/>
  <c r="AC218" i="26"/>
  <c r="AC219" i="26"/>
  <c r="AC220" i="26"/>
  <c r="AC221" i="26"/>
  <c r="AC223" i="26"/>
  <c r="AC224" i="26"/>
  <c r="AC225" i="26"/>
  <c r="AC226" i="26"/>
  <c r="AC227" i="26"/>
  <c r="AC229" i="26"/>
  <c r="AC230" i="26"/>
  <c r="AC231" i="26"/>
  <c r="AC232" i="26"/>
  <c r="AC233" i="26"/>
  <c r="AC234" i="26"/>
  <c r="AC235" i="26"/>
  <c r="AC236" i="26"/>
  <c r="AC238" i="26"/>
  <c r="AC240" i="26"/>
  <c r="AC243" i="26"/>
  <c r="AC244" i="26"/>
  <c r="AC245" i="26"/>
  <c r="AC246" i="26"/>
  <c r="AC248" i="26"/>
  <c r="AC249" i="26"/>
  <c r="AC250" i="26"/>
  <c r="AC251" i="26"/>
  <c r="AC252" i="26"/>
  <c r="AC253" i="26"/>
  <c r="AC254" i="26"/>
  <c r="AC256" i="26"/>
  <c r="AC257" i="26"/>
  <c r="AC260" i="26"/>
  <c r="AC261" i="26"/>
  <c r="AC262" i="26"/>
  <c r="AC263" i="26"/>
  <c r="AC264" i="26"/>
  <c r="AC265" i="26"/>
  <c r="AC266" i="26"/>
  <c r="AC267" i="26"/>
  <c r="AC268" i="26"/>
  <c r="AC270" i="26"/>
  <c r="AC271" i="26"/>
  <c r="AC272" i="26"/>
  <c r="AC273" i="26"/>
  <c r="AC274" i="26"/>
  <c r="AC275" i="26"/>
  <c r="AC276" i="26"/>
  <c r="AC277" i="26"/>
  <c r="AC278" i="26"/>
  <c r="AC279" i="26"/>
  <c r="AC280" i="26"/>
  <c r="AC281" i="26"/>
  <c r="AC282" i="26"/>
  <c r="AC283" i="26"/>
  <c r="AC285" i="26"/>
  <c r="AC286" i="26"/>
  <c r="AC287" i="26"/>
  <c r="AC288" i="26"/>
  <c r="AC289" i="26"/>
  <c r="AC290" i="26"/>
  <c r="AC291" i="26"/>
  <c r="AC292" i="26"/>
  <c r="AC293" i="26"/>
  <c r="AC294" i="26"/>
  <c r="AC295" i="26"/>
  <c r="AC296" i="26"/>
  <c r="AC298" i="26"/>
  <c r="AC300" i="26"/>
  <c r="AC301" i="26"/>
  <c r="AC302" i="26"/>
  <c r="AC303" i="26"/>
  <c r="AC304" i="26"/>
  <c r="AC305" i="26"/>
  <c r="AC306" i="26"/>
  <c r="AC307" i="26"/>
  <c r="AC308" i="26"/>
  <c r="AC309" i="26"/>
  <c r="AC311" i="26"/>
  <c r="AC313" i="26"/>
  <c r="AC314" i="26"/>
  <c r="AC315" i="26"/>
  <c r="AC316" i="26"/>
  <c r="AC317" i="26"/>
  <c r="AC318" i="26"/>
  <c r="AC319" i="26"/>
  <c r="AC320" i="26"/>
  <c r="AC322" i="26"/>
  <c r="AC323" i="26"/>
  <c r="AC324" i="26"/>
  <c r="AC325" i="26"/>
  <c r="AC326" i="26"/>
  <c r="AC327" i="26"/>
  <c r="AC328" i="26"/>
  <c r="AC329" i="26"/>
  <c r="AC330" i="26"/>
  <c r="AC332" i="26"/>
  <c r="AC333" i="26"/>
  <c r="AC334" i="26"/>
  <c r="AC335" i="26"/>
  <c r="AC336" i="26"/>
  <c r="AC337" i="26"/>
  <c r="AC338" i="26"/>
  <c r="AC339" i="26"/>
  <c r="AC340" i="26"/>
  <c r="AC341" i="26"/>
  <c r="AC342" i="26"/>
  <c r="AC343" i="26"/>
  <c r="AC345" i="26"/>
  <c r="AC346" i="26"/>
  <c r="AC347" i="26"/>
  <c r="AC349" i="26"/>
  <c r="AC350" i="26"/>
  <c r="AC351" i="26"/>
  <c r="AC352" i="26"/>
  <c r="AC353" i="26"/>
  <c r="AC354" i="26"/>
  <c r="AC357" i="26"/>
  <c r="AC358" i="26"/>
  <c r="AC359" i="26"/>
  <c r="AC360" i="26"/>
  <c r="AC362" i="26"/>
  <c r="AC363" i="26"/>
  <c r="AC364" i="26"/>
  <c r="AC366" i="26"/>
  <c r="AC367" i="26"/>
  <c r="AC368" i="26"/>
  <c r="AC369" i="26"/>
  <c r="AC370" i="26"/>
  <c r="AC371" i="26"/>
  <c r="AC372" i="26"/>
  <c r="AC373" i="26"/>
  <c r="AC374" i="26"/>
  <c r="AC376" i="26"/>
  <c r="AC377" i="26"/>
  <c r="AC378" i="26"/>
  <c r="AC379" i="26"/>
  <c r="AC380" i="26"/>
  <c r="AC381" i="26"/>
  <c r="AC382" i="26"/>
  <c r="AC383" i="26"/>
  <c r="AC384" i="26"/>
  <c r="AC386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1" i="26"/>
  <c r="AC402" i="26"/>
  <c r="AC403" i="26"/>
  <c r="AC405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C424" i="26"/>
  <c r="AC425" i="26"/>
  <c r="AC427" i="26"/>
  <c r="AC428" i="26"/>
  <c r="AC429" i="26"/>
  <c r="AC430" i="26"/>
  <c r="AC431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H414" i="26" l="1"/>
  <c r="Y414" i="26"/>
  <c r="T181" i="26" l="1"/>
  <c r="AC181" i="26" s="1"/>
  <c r="T167" i="26"/>
  <c r="AC167" i="26" s="1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108" i="26"/>
  <c r="AC108" i="26" s="1"/>
  <c r="AC110" i="26"/>
  <c r="T121" i="26"/>
  <c r="AC121" i="26" s="1"/>
  <c r="AC123" i="26"/>
  <c r="T132" i="26"/>
  <c r="AC132" i="26" s="1"/>
  <c r="Y360" i="26"/>
  <c r="Y361" i="26"/>
  <c r="AC258" i="26" l="1"/>
  <c r="AB258" i="26"/>
  <c r="AC356" i="26"/>
  <c r="AB356" i="26"/>
  <c r="T297" i="26"/>
  <c r="T321" i="26"/>
  <c r="T331" i="26"/>
  <c r="T284" i="26"/>
  <c r="AC284" i="26" l="1"/>
  <c r="AB284" i="26"/>
  <c r="AC331" i="26"/>
  <c r="AB331" i="26"/>
  <c r="AC321" i="26"/>
  <c r="AB321" i="26"/>
  <c r="AC297" i="26"/>
  <c r="AB297" i="26"/>
  <c r="AH335" i="26"/>
  <c r="Y335" i="26"/>
  <c r="T310" i="26"/>
  <c r="AH343" i="26"/>
  <c r="Y343" i="26"/>
  <c r="AH342" i="26"/>
  <c r="Y342" i="26"/>
  <c r="AH341" i="26"/>
  <c r="Y341" i="26"/>
  <c r="AH340" i="26"/>
  <c r="Y340" i="26"/>
  <c r="AH339" i="26"/>
  <c r="Y339" i="26"/>
  <c r="AH338" i="26"/>
  <c r="Y338" i="26"/>
  <c r="AH337" i="26"/>
  <c r="Y337" i="26"/>
  <c r="AH336" i="26"/>
  <c r="Y336" i="26"/>
  <c r="AH334" i="26"/>
  <c r="Y334" i="26"/>
  <c r="AH333" i="26"/>
  <c r="Y333" i="26"/>
  <c r="AH332" i="26"/>
  <c r="Y332" i="26"/>
  <c r="AH331" i="26"/>
  <c r="Y331" i="26"/>
  <c r="AH330" i="26"/>
  <c r="Y330" i="26"/>
  <c r="AH329" i="26"/>
  <c r="Y329" i="26"/>
  <c r="AH328" i="26"/>
  <c r="Y328" i="26"/>
  <c r="AH327" i="26"/>
  <c r="Y327" i="26"/>
  <c r="AH326" i="26"/>
  <c r="Y326" i="26"/>
  <c r="AH325" i="26"/>
  <c r="Y325" i="26"/>
  <c r="AH324" i="26"/>
  <c r="Y324" i="26"/>
  <c r="AH323" i="26"/>
  <c r="Y323" i="26"/>
  <c r="AH322" i="26"/>
  <c r="Y322" i="26"/>
  <c r="AH321" i="26"/>
  <c r="Y321" i="26"/>
  <c r="AH320" i="26"/>
  <c r="Y320" i="26"/>
  <c r="AH319" i="26"/>
  <c r="Y319" i="26"/>
  <c r="AH318" i="26"/>
  <c r="Y318" i="26"/>
  <c r="AH317" i="26"/>
  <c r="Y317" i="26"/>
  <c r="AH316" i="26"/>
  <c r="Y316" i="26"/>
  <c r="AH315" i="26"/>
  <c r="Y315" i="26"/>
  <c r="AH314" i="26"/>
  <c r="Y314" i="26"/>
  <c r="AH313" i="26"/>
  <c r="Y313" i="26"/>
  <c r="AH312" i="26"/>
  <c r="Y312" i="26"/>
  <c r="AH311" i="26"/>
  <c r="Y311" i="26"/>
  <c r="AH310" i="26"/>
  <c r="Y310" i="26"/>
  <c r="AH309" i="26"/>
  <c r="Y309" i="26"/>
  <c r="AH308" i="26"/>
  <c r="Y308" i="26"/>
  <c r="AH307" i="26"/>
  <c r="Y307" i="26"/>
  <c r="AH306" i="26"/>
  <c r="Y306" i="26"/>
  <c r="AH305" i="26"/>
  <c r="Y305" i="26"/>
  <c r="AH304" i="26"/>
  <c r="Y304" i="26"/>
  <c r="AH303" i="26"/>
  <c r="Y303" i="26"/>
  <c r="AH302" i="26"/>
  <c r="Y302" i="26"/>
  <c r="AH301" i="26"/>
  <c r="Y301" i="26"/>
  <c r="AH300" i="26"/>
  <c r="Y300" i="26"/>
  <c r="AH299" i="26"/>
  <c r="Y299" i="26"/>
  <c r="AH298" i="26"/>
  <c r="Y298" i="26"/>
  <c r="AH297" i="26"/>
  <c r="Y297" i="26"/>
  <c r="AB299" i="26"/>
  <c r="AH290" i="26"/>
  <c r="AH289" i="26"/>
  <c r="AH288" i="26"/>
  <c r="AH287" i="26"/>
  <c r="AH286" i="26"/>
  <c r="AH285" i="26"/>
  <c r="AH284" i="26"/>
  <c r="Y289" i="26"/>
  <c r="Y288" i="26"/>
  <c r="Y287" i="26"/>
  <c r="Y286" i="26"/>
  <c r="Y285" i="26"/>
  <c r="Y284" i="26"/>
  <c r="AH296" i="26"/>
  <c r="Y296" i="26"/>
  <c r="AH295" i="26"/>
  <c r="Y295" i="26"/>
  <c r="AH294" i="26"/>
  <c r="Y294" i="26"/>
  <c r="AH293" i="26"/>
  <c r="Y293" i="26"/>
  <c r="AH292" i="26"/>
  <c r="Y292" i="26"/>
  <c r="AH291" i="26"/>
  <c r="Y291" i="26"/>
  <c r="Y290" i="26"/>
  <c r="T344" i="26"/>
  <c r="AB344" i="26" s="1"/>
  <c r="Y344" i="26"/>
  <c r="AH344" i="26"/>
  <c r="Y345" i="26"/>
  <c r="AH345" i="26"/>
  <c r="Y346" i="26"/>
  <c r="AH346" i="26"/>
  <c r="Y347" i="26"/>
  <c r="AH347" i="26"/>
  <c r="Y348" i="26"/>
  <c r="AH348" i="26"/>
  <c r="Y349" i="26"/>
  <c r="AH349" i="26"/>
  <c r="Y350" i="26"/>
  <c r="AH350" i="26"/>
  <c r="Y351" i="26"/>
  <c r="AH351" i="26"/>
  <c r="Y352" i="26"/>
  <c r="AH352" i="26"/>
  <c r="Y353" i="26"/>
  <c r="AH353" i="26"/>
  <c r="Y354" i="26"/>
  <c r="AH354" i="26"/>
  <c r="T355" i="26"/>
  <c r="Y355" i="26"/>
  <c r="AH355" i="26"/>
  <c r="Y356" i="26"/>
  <c r="AH356" i="26"/>
  <c r="Y357" i="26"/>
  <c r="AH357" i="26"/>
  <c r="Y358" i="26"/>
  <c r="AH358" i="26"/>
  <c r="Y359" i="26"/>
  <c r="AH359" i="26"/>
  <c r="AH360" i="26"/>
  <c r="AB361" i="26"/>
  <c r="AH361" i="26"/>
  <c r="Y362" i="26"/>
  <c r="AH362" i="26"/>
  <c r="Y363" i="26"/>
  <c r="AH363" i="26"/>
  <c r="Y364" i="26"/>
  <c r="AH364" i="26"/>
  <c r="Y366" i="26"/>
  <c r="AH366" i="26"/>
  <c r="Y367" i="26"/>
  <c r="AH367" i="26"/>
  <c r="Y368" i="26"/>
  <c r="AH368" i="26"/>
  <c r="Y369" i="26"/>
  <c r="AH369" i="26"/>
  <c r="Y370" i="26"/>
  <c r="AH370" i="26"/>
  <c r="Y371" i="26"/>
  <c r="AH371" i="26"/>
  <c r="Y372" i="26"/>
  <c r="AH372" i="26"/>
  <c r="Y373" i="26"/>
  <c r="AH373" i="26"/>
  <c r="Y374" i="26"/>
  <c r="AH374" i="26"/>
  <c r="T375" i="26"/>
  <c r="Y375" i="26"/>
  <c r="AH375" i="26"/>
  <c r="Y376" i="26"/>
  <c r="AH376" i="26"/>
  <c r="Y377" i="26"/>
  <c r="AH377" i="26"/>
  <c r="Y378" i="26"/>
  <c r="AH378" i="26"/>
  <c r="Y379" i="26"/>
  <c r="AH379" i="26"/>
  <c r="Y380" i="26"/>
  <c r="AH380" i="26"/>
  <c r="Y381" i="26"/>
  <c r="AH381" i="26"/>
  <c r="Y382" i="26"/>
  <c r="AH382" i="26"/>
  <c r="Y383" i="26"/>
  <c r="AH383" i="26"/>
  <c r="Y384" i="26"/>
  <c r="AH384" i="26"/>
  <c r="T385" i="26"/>
  <c r="AB385" i="26" s="1"/>
  <c r="Y385" i="26"/>
  <c r="AH385" i="26"/>
  <c r="Y386" i="26"/>
  <c r="AH386" i="26"/>
  <c r="Y387" i="26"/>
  <c r="AH387" i="26"/>
  <c r="Y388" i="26"/>
  <c r="AH388" i="26"/>
  <c r="Y389" i="26"/>
  <c r="AH389" i="26"/>
  <c r="Y390" i="26"/>
  <c r="AH390" i="26"/>
  <c r="Y391" i="26"/>
  <c r="AH391" i="26"/>
  <c r="Y392" i="26"/>
  <c r="AH392" i="26"/>
  <c r="Y393" i="26"/>
  <c r="AH393" i="26"/>
  <c r="Y394" i="26"/>
  <c r="AH394" i="26"/>
  <c r="Y395" i="26"/>
  <c r="AH395" i="26"/>
  <c r="Y396" i="26"/>
  <c r="AH396" i="26"/>
  <c r="Y397" i="26"/>
  <c r="AH397" i="26"/>
  <c r="Y398" i="26"/>
  <c r="AH398" i="26"/>
  <c r="Y399" i="26"/>
  <c r="AH399" i="26"/>
  <c r="Y400" i="26"/>
  <c r="AH400" i="26"/>
  <c r="Y401" i="26"/>
  <c r="AH401" i="26"/>
  <c r="Y402" i="26"/>
  <c r="AH402" i="26"/>
  <c r="Y403" i="26"/>
  <c r="AH403" i="26"/>
  <c r="T404" i="26"/>
  <c r="Y404" i="26"/>
  <c r="AH404" i="26"/>
  <c r="Y405" i="26"/>
  <c r="AH405" i="26"/>
  <c r="AC310" i="26" l="1"/>
  <c r="AB310" i="26"/>
  <c r="AC312" i="26"/>
  <c r="AB312" i="26"/>
  <c r="AC355" i="26"/>
  <c r="AB355" i="26"/>
  <c r="AC404" i="26"/>
  <c r="AB404" i="26"/>
  <c r="AC375" i="26"/>
  <c r="AB375" i="26"/>
  <c r="AC348" i="26"/>
  <c r="AB348" i="26"/>
  <c r="AC385" i="26"/>
  <c r="AC361" i="26"/>
  <c r="AC344" i="26"/>
  <c r="AC299" i="26"/>
  <c r="AH258" i="26"/>
  <c r="Y258" i="26"/>
  <c r="AH257" i="26"/>
  <c r="Y257" i="26"/>
  <c r="AH181" i="26"/>
  <c r="AB181" i="26"/>
  <c r="AA181" i="26"/>
  <c r="Z181" i="26"/>
  <c r="Y181" i="26"/>
  <c r="AH180" i="26"/>
  <c r="AB180" i="26"/>
  <c r="AA180" i="26"/>
  <c r="Z180" i="26"/>
  <c r="Y180" i="26"/>
  <c r="AH185" i="26"/>
  <c r="AB185" i="26"/>
  <c r="AA185" i="26"/>
  <c r="Z185" i="26"/>
  <c r="Y185" i="26"/>
  <c r="AH199" i="26" l="1"/>
  <c r="AB199" i="26"/>
  <c r="AA199" i="26"/>
  <c r="Z199" i="26"/>
  <c r="Y199" i="26"/>
  <c r="AH167" i="26" l="1"/>
  <c r="AH166" i="26"/>
  <c r="AB167" i="26"/>
  <c r="AB166" i="26"/>
  <c r="AA167" i="26"/>
  <c r="AA166" i="26"/>
  <c r="Z167" i="26"/>
  <c r="Z166" i="26"/>
  <c r="Y167" i="26"/>
  <c r="Y166" i="26"/>
  <c r="AH70" i="26" l="1"/>
  <c r="AB70" i="26"/>
  <c r="AA70" i="26"/>
  <c r="Z70" i="26"/>
  <c r="Y70" i="26"/>
  <c r="AH21" i="26" l="1"/>
  <c r="AB21" i="26"/>
  <c r="AA21" i="26"/>
  <c r="Z21" i="26"/>
  <c r="Y21" i="26"/>
  <c r="AH20" i="26"/>
  <c r="AB20" i="26"/>
  <c r="AA20" i="26"/>
  <c r="Z20" i="26"/>
  <c r="Y20" i="26"/>
  <c r="AH19" i="26"/>
  <c r="AB19" i="26"/>
  <c r="AA19" i="26"/>
  <c r="Z19" i="26"/>
  <c r="Y19" i="26"/>
  <c r="AH18" i="26"/>
  <c r="AB18" i="26"/>
  <c r="AA18" i="26"/>
  <c r="Z18" i="26"/>
  <c r="Y18" i="26"/>
  <c r="AH36" i="26" l="1"/>
  <c r="AB36" i="26"/>
  <c r="AA36" i="26"/>
  <c r="Z36" i="26"/>
  <c r="Y36" i="26"/>
  <c r="AH227" i="26" l="1"/>
  <c r="AB227" i="26"/>
  <c r="AA227" i="26"/>
  <c r="Z227" i="26"/>
  <c r="Y227" i="26"/>
  <c r="AH15" i="26" l="1"/>
  <c r="AH14" i="26"/>
  <c r="AH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36" i="26" l="1"/>
  <c r="AH237" i="26" l="1"/>
  <c r="AH238" i="26"/>
  <c r="AH239" i="26"/>
  <c r="AH240" i="26"/>
  <c r="AB238" i="26"/>
  <c r="AA237" i="26"/>
  <c r="Y234" i="26" l="1"/>
  <c r="Y235" i="26"/>
  <c r="Y236" i="26"/>
  <c r="Y237" i="26"/>
  <c r="AA225" i="26"/>
  <c r="AA226" i="26"/>
  <c r="AA229" i="26"/>
  <c r="AA230" i="26"/>
  <c r="AA231" i="26"/>
  <c r="AA232" i="26"/>
  <c r="AA233" i="26"/>
  <c r="AA234" i="26"/>
  <c r="AA235" i="26"/>
  <c r="AA236" i="26"/>
  <c r="AA238" i="26"/>
  <c r="AA239" i="26"/>
  <c r="AB231" i="26"/>
  <c r="AB232" i="26"/>
  <c r="AB233" i="26"/>
  <c r="AB234" i="26"/>
  <c r="AB235" i="26"/>
  <c r="Z237" i="26"/>
  <c r="AH6" i="26" l="1"/>
  <c r="AH7" i="26"/>
  <c r="AH8" i="26"/>
  <c r="AH9" i="26"/>
  <c r="AH10" i="26"/>
  <c r="AH11" i="26"/>
  <c r="AH12" i="26"/>
  <c r="AH16" i="26"/>
  <c r="AH17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2" i="26"/>
  <c r="AH183" i="26"/>
  <c r="AH184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9" i="26"/>
  <c r="AH230" i="26"/>
  <c r="AH231" i="26"/>
  <c r="AH232" i="26"/>
  <c r="AH233" i="26"/>
  <c r="AH234" i="26"/>
  <c r="AH235" i="26"/>
  <c r="AH236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406" i="26"/>
  <c r="AH407" i="26"/>
  <c r="AH408" i="26"/>
  <c r="AH409" i="26"/>
  <c r="AH410" i="26"/>
  <c r="AH411" i="26"/>
  <c r="AH412" i="26"/>
  <c r="AH413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5" i="26"/>
  <c r="AB6" i="26" l="1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4" i="26"/>
  <c r="AB75" i="26"/>
  <c r="AB76" i="26"/>
  <c r="AB78" i="26"/>
  <c r="AB79" i="26"/>
  <c r="AB80" i="26"/>
  <c r="AB81" i="26"/>
  <c r="AB82" i="26"/>
  <c r="AB83" i="26"/>
  <c r="AB84" i="26"/>
  <c r="AB85" i="26"/>
  <c r="AB86" i="26"/>
  <c r="AB109" i="26"/>
  <c r="AB111" i="26"/>
  <c r="AB112" i="26"/>
  <c r="AB113" i="26"/>
  <c r="AB114" i="26"/>
  <c r="AB115" i="26"/>
  <c r="AB116" i="26"/>
  <c r="AB117" i="26"/>
  <c r="AB118" i="26"/>
  <c r="AB119" i="26"/>
  <c r="AB120" i="26"/>
  <c r="AB124" i="26"/>
  <c r="AB125" i="26"/>
  <c r="AB126" i="26"/>
  <c r="AB127" i="26"/>
  <c r="AB128" i="26"/>
  <c r="AB129" i="26"/>
  <c r="AB130" i="26"/>
  <c r="AB131" i="26"/>
  <c r="AB134" i="26"/>
  <c r="AB135" i="26"/>
  <c r="AB136" i="26"/>
  <c r="AB137" i="26"/>
  <c r="AB138" i="26"/>
  <c r="AB139" i="26"/>
  <c r="AB140" i="26"/>
  <c r="AB141" i="26"/>
  <c r="AB142" i="26"/>
  <c r="AB144" i="26"/>
  <c r="AB145" i="26"/>
  <c r="AB146" i="26"/>
  <c r="AB147" i="26"/>
  <c r="AB148" i="26"/>
  <c r="AB149" i="26"/>
  <c r="AB150" i="26"/>
  <c r="AB151" i="26"/>
  <c r="AB152" i="26"/>
  <c r="AB155" i="26"/>
  <c r="AB156" i="26"/>
  <c r="AB157" i="26"/>
  <c r="AB158" i="26"/>
  <c r="AB159" i="26"/>
  <c r="AB160" i="26"/>
  <c r="AB161" i="26"/>
  <c r="AB162" i="26"/>
  <c r="AB164" i="26"/>
  <c r="AB165" i="26"/>
  <c r="AB168" i="26"/>
  <c r="AB169" i="26"/>
  <c r="AB170" i="26"/>
  <c r="AB171" i="26"/>
  <c r="AB172" i="26"/>
  <c r="AB173" i="26"/>
  <c r="AB174" i="26"/>
  <c r="AB175" i="26"/>
  <c r="AB176" i="26"/>
  <c r="AB177" i="26"/>
  <c r="AB179" i="26"/>
  <c r="AB182" i="26"/>
  <c r="AB183" i="26"/>
  <c r="AB184" i="26"/>
  <c r="AB186" i="26"/>
  <c r="AB187" i="26"/>
  <c r="AB188" i="26"/>
  <c r="AB189" i="26"/>
  <c r="AB190" i="26"/>
  <c r="AB191" i="26"/>
  <c r="AB192" i="26"/>
  <c r="AB194" i="26"/>
  <c r="AB195" i="26"/>
  <c r="AB197" i="26"/>
  <c r="AB198" i="26"/>
  <c r="AB200" i="26"/>
  <c r="AB201" i="26"/>
  <c r="AB202" i="26"/>
  <c r="AB203" i="26"/>
  <c r="AB204" i="26"/>
  <c r="AB205" i="26"/>
  <c r="AB206" i="26"/>
  <c r="AB207" i="26"/>
  <c r="AB208" i="26"/>
  <c r="AB209" i="26"/>
  <c r="AB210" i="26"/>
  <c r="AB212" i="26"/>
  <c r="AB213" i="26"/>
  <c r="AB214" i="26"/>
  <c r="AB215" i="26"/>
  <c r="AB216" i="26"/>
  <c r="AB217" i="26"/>
  <c r="AB218" i="26"/>
  <c r="AB219" i="26"/>
  <c r="AB220" i="26"/>
  <c r="AB221" i="26"/>
  <c r="AB223" i="26"/>
  <c r="AB224" i="26"/>
  <c r="AB225" i="26"/>
  <c r="AB226" i="26"/>
  <c r="AB229" i="26"/>
  <c r="AB230" i="26"/>
  <c r="AB240" i="26"/>
  <c r="AB244" i="26"/>
  <c r="AB245" i="26"/>
  <c r="AB246" i="26"/>
  <c r="AB426" i="26"/>
  <c r="AB259" i="26"/>
  <c r="AC196" i="26"/>
  <c r="AB122" i="26"/>
  <c r="AB32" i="26"/>
  <c r="T423" i="26"/>
  <c r="T269" i="26"/>
  <c r="AB269" i="26" s="1"/>
  <c r="T255" i="26"/>
  <c r="AB255" i="26" s="1"/>
  <c r="T237" i="26"/>
  <c r="AC237" i="26" s="1"/>
  <c r="T222" i="26"/>
  <c r="T211" i="26"/>
  <c r="AC211" i="26" s="1"/>
  <c r="T193" i="26"/>
  <c r="T178" i="26"/>
  <c r="T163" i="26"/>
  <c r="T153" i="26"/>
  <c r="AC153" i="26" s="1"/>
  <c r="T143" i="26"/>
  <c r="AB56" i="26"/>
  <c r="AC423" i="26" l="1"/>
  <c r="AB423" i="26"/>
  <c r="AC406" i="26"/>
  <c r="AB406" i="26"/>
  <c r="AB58" i="26"/>
  <c r="AC222" i="26"/>
  <c r="AC259" i="26"/>
  <c r="AB163" i="26"/>
  <c r="AC163" i="26"/>
  <c r="AB133" i="26"/>
  <c r="AC178" i="26"/>
  <c r="AC247" i="26"/>
  <c r="AC269" i="26"/>
  <c r="AB193" i="26"/>
  <c r="AC193" i="26"/>
  <c r="AB77" i="26"/>
  <c r="AC143" i="26"/>
  <c r="AC255" i="26"/>
  <c r="AC426" i="26"/>
  <c r="AB239" i="26"/>
  <c r="AC239" i="26"/>
  <c r="AB237" i="26"/>
  <c r="AB46" i="26"/>
  <c r="AB5" i="26"/>
  <c r="AB222" i="26"/>
  <c r="AB30" i="26"/>
  <c r="AB121" i="26"/>
  <c r="AB132" i="26"/>
  <c r="AB178" i="26"/>
  <c r="AB66" i="26"/>
  <c r="AB143" i="26"/>
  <c r="AB110" i="26"/>
  <c r="AB211" i="26"/>
  <c r="AB153" i="26"/>
  <c r="AB123" i="26"/>
  <c r="AB196" i="26"/>
  <c r="AB243" i="26"/>
  <c r="AB16" i="26"/>
  <c r="AB247" i="26"/>
  <c r="AB108" i="26"/>
  <c r="AB154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5" i="26"/>
  <c r="AA168" i="26"/>
  <c r="AA169" i="26"/>
  <c r="AA170" i="26"/>
  <c r="AA171" i="26"/>
  <c r="AA172" i="26"/>
  <c r="AA173" i="26"/>
  <c r="AA174" i="26"/>
  <c r="AA175" i="26"/>
  <c r="AA176" i="26"/>
  <c r="AA177" i="26"/>
  <c r="AA178" i="26"/>
  <c r="AA179" i="26"/>
  <c r="AA182" i="26"/>
  <c r="AA183" i="26"/>
  <c r="AA184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200" i="26"/>
  <c r="AA201" i="26"/>
  <c r="AA202" i="26"/>
  <c r="AA203" i="26"/>
  <c r="AA204" i="26"/>
  <c r="AA205" i="26"/>
  <c r="AA206" i="26"/>
  <c r="AA207" i="26"/>
  <c r="AA208" i="26"/>
  <c r="AA209" i="26"/>
  <c r="AA210" i="26"/>
  <c r="AA211" i="26"/>
  <c r="AA212" i="26"/>
  <c r="AA213" i="26"/>
  <c r="AA214" i="26"/>
  <c r="AA215" i="26"/>
  <c r="AA216" i="26"/>
  <c r="AA217" i="26"/>
  <c r="AA218" i="26"/>
  <c r="AA219" i="26"/>
  <c r="AA220" i="26"/>
  <c r="AA221" i="26"/>
  <c r="AA222" i="26"/>
  <c r="AA223" i="26"/>
  <c r="AA224" i="26"/>
  <c r="AA240" i="26"/>
  <c r="AA243" i="26"/>
  <c r="AA244" i="26"/>
  <c r="AA245" i="26"/>
  <c r="AA246" i="26"/>
  <c r="AA247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8" i="26"/>
  <c r="Z169" i="26"/>
  <c r="Z170" i="26"/>
  <c r="Z171" i="26"/>
  <c r="Z172" i="26"/>
  <c r="Z173" i="26"/>
  <c r="Z174" i="26"/>
  <c r="Z175" i="26"/>
  <c r="Z176" i="26"/>
  <c r="Z177" i="26"/>
  <c r="Z178" i="26"/>
  <c r="Z179" i="26"/>
  <c r="Z182" i="26"/>
  <c r="Z183" i="26"/>
  <c r="Z184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200" i="26"/>
  <c r="Z201" i="26"/>
  <c r="Z202" i="26"/>
  <c r="Z203" i="26"/>
  <c r="Z204" i="26"/>
  <c r="Z205" i="26"/>
  <c r="Z206" i="26"/>
  <c r="Z207" i="26"/>
  <c r="Z208" i="26"/>
  <c r="Z209" i="26"/>
  <c r="Z210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9" i="26"/>
  <c r="Z230" i="26"/>
  <c r="Z231" i="26"/>
  <c r="Z232" i="26"/>
  <c r="Z233" i="26"/>
  <c r="Z234" i="26"/>
  <c r="Z235" i="26"/>
  <c r="Z236" i="26"/>
  <c r="Z238" i="26"/>
  <c r="Z239" i="26"/>
  <c r="Z240" i="26"/>
  <c r="Z243" i="26"/>
  <c r="Z244" i="26"/>
  <c r="Z245" i="26"/>
  <c r="Z246" i="26"/>
  <c r="Z247" i="26"/>
  <c r="Z6" i="26"/>
  <c r="Z5" i="26"/>
  <c r="Y406" i="26"/>
  <c r="Y407" i="26"/>
  <c r="Y408" i="26"/>
  <c r="Y409" i="26"/>
  <c r="Y410" i="26"/>
  <c r="Y411" i="26"/>
  <c r="Y412" i="26"/>
  <c r="Y413" i="26"/>
  <c r="Y415" i="26"/>
  <c r="Y416" i="26"/>
  <c r="Y417" i="26"/>
  <c r="Y418" i="26"/>
  <c r="Y419" i="26"/>
  <c r="Y420" i="26"/>
  <c r="Y421" i="26"/>
  <c r="Y422" i="26"/>
  <c r="Y423" i="26"/>
  <c r="Y424" i="26"/>
  <c r="Y425" i="26"/>
  <c r="Y426" i="26"/>
  <c r="Y427" i="26"/>
  <c r="Y428" i="26"/>
  <c r="Y429" i="26"/>
  <c r="Y430" i="26"/>
  <c r="Y431" i="26"/>
  <c r="Y432" i="26"/>
  <c r="Y433" i="26"/>
  <c r="Y434" i="26"/>
  <c r="Y435" i="26"/>
  <c r="Y436" i="26"/>
  <c r="Y437" i="26"/>
  <c r="Y438" i="26"/>
  <c r="Y439" i="26"/>
  <c r="Y440" i="26"/>
  <c r="Y441" i="26"/>
  <c r="Y442" i="26"/>
  <c r="Y443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5" i="26"/>
  <c r="Y146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59" i="26"/>
  <c r="Y160" i="26"/>
  <c r="Y161" i="26"/>
  <c r="Y162" i="26"/>
  <c r="Y163" i="26"/>
  <c r="Y164" i="26"/>
  <c r="Y165" i="26"/>
  <c r="Y168" i="26"/>
  <c r="Y169" i="26"/>
  <c r="Y170" i="26"/>
  <c r="Y171" i="26"/>
  <c r="Y172" i="26"/>
  <c r="Y173" i="26"/>
  <c r="Y174" i="26"/>
  <c r="Y175" i="26"/>
  <c r="Y176" i="26"/>
  <c r="Y177" i="26"/>
  <c r="Y178" i="26"/>
  <c r="Y179" i="26"/>
  <c r="Y182" i="26"/>
  <c r="Y183" i="26"/>
  <c r="Y184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200" i="26"/>
  <c r="Y201" i="26"/>
  <c r="Y202" i="26"/>
  <c r="Y203" i="26"/>
  <c r="Y204" i="26"/>
  <c r="Y205" i="26"/>
  <c r="Y206" i="26"/>
  <c r="Y207" i="26"/>
  <c r="Y208" i="26"/>
  <c r="Y209" i="26"/>
  <c r="Y210" i="26"/>
  <c r="Y211" i="26"/>
  <c r="Y212" i="26"/>
  <c r="Y213" i="26"/>
  <c r="Y214" i="26"/>
  <c r="Y215" i="26"/>
  <c r="Y216" i="26"/>
  <c r="Y217" i="26"/>
  <c r="Y218" i="26"/>
  <c r="Y219" i="26"/>
  <c r="Y220" i="26"/>
  <c r="Y221" i="26"/>
  <c r="Y222" i="26"/>
  <c r="Y223" i="26"/>
  <c r="Y224" i="26"/>
  <c r="Y225" i="26"/>
  <c r="Y226" i="26"/>
  <c r="Y229" i="26"/>
  <c r="Y230" i="26"/>
  <c r="Y231" i="26"/>
  <c r="Y232" i="26"/>
  <c r="Y233" i="26"/>
  <c r="Y238" i="26"/>
  <c r="Y239" i="26"/>
  <c r="Y240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9" i="26"/>
  <c r="Y260" i="26"/>
  <c r="Y261" i="26"/>
  <c r="Y262" i="26"/>
  <c r="Y263" i="26"/>
  <c r="Y264" i="26"/>
  <c r="Y265" i="26"/>
  <c r="Y266" i="26"/>
  <c r="Y267" i="26"/>
  <c r="Y268" i="26"/>
  <c r="Y269" i="26"/>
  <c r="Y270" i="26"/>
  <c r="Y271" i="26"/>
  <c r="Y272" i="26"/>
  <c r="Y273" i="26"/>
  <c r="Y274" i="26"/>
  <c r="Y275" i="26"/>
  <c r="Y276" i="26"/>
  <c r="Y277" i="26"/>
  <c r="Y278" i="26"/>
  <c r="Y279" i="26"/>
  <c r="Y280" i="26"/>
  <c r="Y281" i="26"/>
  <c r="Y282" i="26"/>
  <c r="Y283" i="26"/>
  <c r="Y5" i="26"/>
</calcChain>
</file>

<file path=xl/sharedStrings.xml><?xml version="1.0" encoding="utf-8"?>
<sst xmlns="http://schemas.openxmlformats.org/spreadsheetml/2006/main" count="4505" uniqueCount="795">
  <si>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</si>
  <si>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</si>
  <si>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</si>
  <si>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</si>
  <si>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</si>
  <si>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</si>
  <si>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</si>
  <si>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</si>
  <si>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</si>
  <si>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</si>
  <si>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</si>
  <si>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</si>
  <si>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</si>
  <si>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</si>
  <si>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</si>
  <si>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</si>
  <si>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</si>
  <si>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</si>
  <si>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</si>
  <si>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</si>
  <si>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</si>
  <si>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</si>
  <si>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</si>
  <si>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</si>
  <si>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</si>
  <si>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</si>
  <si>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</si>
  <si>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</si>
  <si>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</si>
  <si>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</si>
  <si>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</si>
  <si>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</si>
  <si>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</si>
  <si>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</si>
  <si>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</si>
  <si>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</si>
  <si>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</si>
  <si>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</si>
  <si>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</si>
  <si>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</si>
  <si>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</si>
  <si>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</si>
  <si>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</si>
  <si>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</si>
  <si>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</si>
  <si>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</si>
  <si>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</si>
  <si>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</si>
  <si>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</si>
  <si>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</si>
  <si>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</si>
  <si>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</si>
  <si>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</si>
  <si>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</si>
  <si>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</si>
  <si>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</si>
  <si>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</si>
  <si>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</si>
  <si>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</si>
  <si>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</si>
  <si>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</si>
  <si>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</si>
  <si>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</si>
  <si>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</si>
  <si>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</si>
  <si>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</si>
  <si>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</si>
  <si>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</si>
  <si>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</si>
  <si>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</si>
  <si>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</si>
  <si>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</si>
  <si>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</si>
  <si>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</si>
  <si>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</si>
  <si>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</si>
  <si>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</si>
  <si>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</si>
  <si>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</si>
  <si>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</si>
  <si>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</si>
  <si>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</si>
  <si>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</si>
  <si>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</si>
  <si>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</si>
  <si>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</si>
  <si>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</si>
  <si>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</si>
  <si>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</si>
  <si>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</si>
  <si>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</si>
  <si>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</si>
  <si>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</si>
  <si>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</si>
  <si>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</si>
  <si>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</si>
  <si>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</si>
  <si>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</si>
  <si>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</si>
  <si>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</si>
  <si>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</si>
  <si>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</si>
  <si>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</si>
  <si>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</si>
  <si>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</si>
  <si>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</si>
  <si>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</si>
  <si>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</si>
  <si>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</si>
  <si>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</si>
  <si>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</si>
  <si>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</si>
  <si>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</si>
  <si>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</si>
  <si>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</si>
  <si>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</si>
  <si>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</si>
  <si>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</si>
  <si>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</si>
  <si>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</si>
  <si>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</si>
  <si>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</si>
  <si>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</si>
  <si>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</si>
  <si>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</si>
  <si>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</si>
  <si>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</si>
  <si>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</si>
  <si>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</si>
  <si>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</si>
  <si>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</si>
  <si>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</si>
  <si>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</si>
  <si>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</si>
  <si>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</si>
  <si>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</si>
  <si>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</si>
  <si>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</si>
  <si>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</si>
  <si>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</si>
  <si>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</si>
  <si>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</si>
  <si>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</si>
  <si>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</si>
  <si>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</si>
  <si>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</si>
  <si>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</si>
  <si>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</si>
  <si>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</si>
  <si>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</si>
  <si>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</si>
  <si>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</si>
  <si>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</si>
  <si>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</si>
  <si>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</si>
  <si>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</si>
  <si>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</si>
  <si>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</si>
  <si>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</si>
  <si>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</si>
  <si>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</si>
  <si>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</si>
  <si>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</si>
  <si>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</si>
  <si>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</si>
  <si>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</si>
  <si>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</si>
  <si>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</si>
  <si>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</si>
  <si>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</si>
  <si>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</si>
  <si>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</si>
  <si>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</si>
  <si>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</si>
  <si>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</si>
  <si>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</si>
  <si>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</si>
  <si>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</si>
  <si>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</si>
  <si>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</si>
  <si>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</si>
  <si>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</si>
  <si>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</si>
  <si>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</si>
  <si>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</si>
  <si>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</si>
  <si>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</si>
  <si>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</si>
  <si>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</si>
  <si>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</si>
  <si>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</si>
  <si>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</si>
  <si>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</si>
  <si>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</si>
  <si>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</si>
  <si>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</si>
  <si>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</si>
  <si>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</si>
  <si>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</si>
  <si>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</si>
  <si>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</si>
  <si>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</si>
  <si>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</si>
  <si>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</si>
  <si>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</si>
  <si>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</si>
  <si>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</si>
  <si>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</si>
  <si>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</si>
  <si>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</si>
  <si>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</si>
  <si>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</si>
  <si>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</si>
  <si>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</si>
  <si>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</si>
  <si>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</si>
  <si>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</si>
  <si>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</si>
  <si>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</si>
  <si>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</si>
  <si>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</si>
  <si>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</si>
  <si>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</si>
  <si>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</si>
  <si>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</si>
  <si>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</si>
  <si>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</si>
  <si>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</si>
  <si>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</si>
  <si>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</si>
  <si>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</si>
  <si>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</si>
  <si>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</si>
  <si>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</si>
  <si>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</si>
  <si>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</si>
  <si>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</si>
  <si>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</si>
  <si>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</si>
  <si>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</si>
  <si>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</si>
  <si>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</si>
  <si>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</si>
  <si>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</si>
  <si>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</si>
  <si>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</si>
  <si>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</si>
  <si>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</si>
  <si>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</si>
  <si>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</si>
  <si>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</si>
  <si>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</si>
  <si>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</si>
  <si>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</si>
  <si>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</si>
  <si>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</si>
  <si>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</si>
  <si>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</si>
  <si>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</si>
  <si>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</si>
  <si>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</si>
  <si>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</si>
  <si>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</si>
  <si>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</si>
  <si>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</si>
  <si>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</si>
  <si>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</si>
  <si>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</si>
  <si>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</si>
  <si>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</si>
  <si>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</si>
  <si>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</si>
  <si>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</si>
  <si>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</si>
  <si>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</si>
  <si>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</si>
  <si>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</si>
  <si>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</si>
  <si>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</si>
  <si>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</si>
  <si>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</si>
  <si>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</si>
  <si>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</si>
  <si>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</si>
  <si>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</si>
  <si>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</si>
  <si>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</si>
  <si>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</si>
  <si>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</si>
  <si>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</si>
  <si>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</si>
  <si>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</si>
  <si>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</si>
  <si>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</si>
  <si>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</si>
  <si>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</si>
  <si>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</si>
  <si>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</si>
  <si>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</si>
  <si>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</si>
  <si>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</si>
  <si>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</si>
  <si>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</si>
  <si>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</si>
  <si>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</si>
  <si>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</si>
  <si>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</si>
  <si>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</si>
  <si>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</si>
  <si>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</si>
  <si>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</si>
  <si>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</si>
  <si>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</si>
  <si>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</si>
  <si>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</si>
  <si>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</si>
  <si>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</si>
  <si>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</si>
  <si>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</si>
  <si>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</si>
  <si>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</si>
  <si>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</si>
  <si>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</si>
  <si>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</si>
  <si>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</si>
  <si>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</si>
  <si>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</si>
  <si>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</si>
  <si>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</si>
  <si>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</si>
  <si>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</si>
  <si>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</si>
  <si>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</si>
  <si>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</si>
  <si>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</si>
  <si>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</si>
  <si>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</si>
  <si>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</si>
  <si>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</si>
  <si>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</si>
  <si>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</si>
  <si>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</si>
  <si>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</si>
  <si>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</si>
  <si>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</si>
  <si>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</si>
  <si>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</si>
  <si>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</si>
  <si>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</si>
  <si>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</si>
  <si>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</si>
  <si>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</si>
  <si>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</si>
  <si>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</si>
  <si>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</si>
  <si>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</si>
  <si>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</si>
  <si>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</si>
  <si>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</si>
  <si>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</si>
  <si>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</si>
  <si>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</si>
  <si>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</si>
  <si>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</si>
  <si>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</si>
  <si>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</si>
  <si>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</si>
  <si>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</si>
  <si>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</si>
  <si>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</si>
  <si>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</si>
  <si>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</si>
  <si>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</si>
  <si>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</si>
  <si>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</si>
  <si>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</si>
  <si>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</si>
  <si>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</si>
  <si>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</si>
  <si>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</si>
  <si>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</si>
  <si>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</si>
  <si>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</si>
  <si>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</si>
  <si>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</si>
  <si>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</si>
  <si>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</si>
  <si>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</si>
  <si>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</si>
  <si>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</si>
  <si>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</si>
  <si>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</si>
  <si>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</si>
  <si>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</si>
  <si>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</si>
  <si>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</si>
  <si>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</si>
  <si>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</si>
  <si>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</si>
  <si>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</si>
  <si>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</si>
  <si>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</si>
  <si>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</si>
  <si>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</si>
  <si>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</si>
  <si>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</si>
  <si>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</si>
  <si>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</si>
  <si>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</si>
  <si>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</si>
  <si>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</si>
  <si>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</si>
  <si>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</si>
  <si>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</si>
  <si>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</si>
  <si>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</si>
  <si>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</si>
  <si>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</si>
  <si>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</si>
  <si>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</si>
  <si>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</si>
  <si>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</si>
  <si>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</si>
  <si>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</si>
  <si>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</si>
  <si>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</si>
  <si>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</si>
  <si>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</si>
  <si>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</si>
  <si>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</si>
  <si>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</si>
  <si>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</si>
  <si>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</si>
  <si>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</si>
  <si>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</si>
  <si>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</si>
  <si>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</si>
  <si>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</si>
  <si>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</si>
  <si>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</si>
  <si>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</si>
  <si>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</si>
  <si>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</si>
  <si>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</si>
  <si>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</si>
  <si>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</si>
  <si>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</si>
  <si>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</si>
  <si>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</si>
  <si>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</si>
  <si>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</si>
  <si>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</si>
  <si>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</si>
  <si>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</si>
  <si>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</si>
  <si>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</si>
  <si>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</si>
  <si>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</si>
  <si>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</si>
  <si>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</si>
  <si>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</si>
  <si>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</si>
  <si>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</si>
  <si>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</si>
  <si>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</si>
  <si>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</si>
  <si>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</si>
  <si>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</si>
  <si>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</si>
  <si>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</si>
  <si>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</si>
  <si>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</si>
  <si>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</si>
  <si>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</si>
  <si>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</si>
  <si>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</si>
  <si>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</si>
  <si>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</si>
  <si>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</si>
  <si>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</si>
  <si>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</si>
  <si>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</si>
  <si>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</si>
  <si>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</si>
  <si>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</si>
  <si>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</si>
  <si>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</si>
  <si>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</si>
  <si>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</si>
  <si>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</si>
  <si>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</si>
  <si>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</si>
  <si>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</si>
  <si>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</si>
  <si>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</si>
  <si>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</si>
  <si>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</si>
  <si>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</si>
  <si>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</si>
  <si>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</si>
  <si>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</si>
  <si>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</si>
  <si>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</si>
  <si>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</si>
  <si>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</si>
  <si>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</si>
  <si>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</si>
  <si>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</si>
  <si>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</si>
  <si>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</si>
  <si>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</si>
  <si>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</si>
  <si>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</si>
  <si>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</si>
  <si>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</si>
  <si>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</si>
  <si>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</si>
  <si>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</si>
  <si>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</si>
  <si>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</si>
  <si>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</si>
  <si>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</si>
  <si>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</si>
  <si>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</si>
  <si>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</si>
  <si>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</si>
  <si>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</si>
  <si>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</si>
  <si>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</si>
  <si>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</si>
  <si>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</si>
  <si>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</si>
  <si>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</si>
  <si>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</si>
  <si>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</si>
  <si>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</si>
  <si>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</si>
  <si>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</si>
  <si>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</si>
  <si>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</si>
  <si>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</si>
  <si>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</si>
  <si>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</si>
  <si>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</si>
  <si>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</si>
  <si>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</si>
  <si>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</si>
  <si>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</si>
  <si>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</si>
  <si>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</si>
  <si>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</si>
  <si>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</si>
  <si>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</si>
  <si>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</si>
  <si>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</si>
  <si>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</si>
  <si>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</si>
  <si>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</si>
  <si>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</si>
  <si>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</si>
  <si>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</si>
  <si>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</si>
  <si>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</si>
  <si>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</si>
  <si>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</si>
  <si>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</si>
  <si>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</si>
  <si>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</si>
  <si>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</si>
  <si>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</si>
  <si>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</si>
  <si>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</si>
  <si>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</si>
  <si>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</si>
  <si>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</si>
  <si>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</si>
  <si>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</si>
  <si>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</si>
  <si>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</si>
  <si>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</si>
  <si>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</si>
  <si>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</si>
  <si>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</si>
  <si>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</si>
  <si>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</si>
  <si>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</si>
  <si>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</si>
  <si>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</si>
  <si>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</si>
  <si>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</si>
  <si>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</si>
  <si>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</si>
  <si>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</si>
  <si>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</si>
  <si>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</si>
  <si>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</si>
  <si>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</si>
  <si>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</si>
  <si>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</si>
  <si>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</si>
  <si>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</si>
  <si>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</si>
  <si>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</si>
  <si>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</si>
  <si>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</si>
  <si>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</si>
  <si>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</si>
  <si>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</si>
  <si>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</si>
  <si>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</si>
  <si>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</si>
  <si>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</si>
  <si>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</si>
  <si>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</si>
  <si>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</si>
  <si>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</si>
  <si>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</si>
  <si>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</si>
  <si>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</si>
  <si>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</si>
  <si>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</si>
  <si>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</si>
  <si>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</si>
  <si>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</si>
  <si>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</si>
  <si>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</si>
  <si>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</si>
  <si>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</si>
  <si>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</si>
  <si>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</si>
  <si>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</si>
  <si>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</si>
  <si>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</si>
  <si>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</si>
  <si>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</si>
  <si>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</si>
  <si>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</si>
  <si>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</si>
  <si>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</si>
  <si>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</si>
  <si>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</si>
  <si>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</si>
  <si>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</si>
  <si>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</si>
  <si>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</si>
  <si>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</si>
  <si>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</si>
  <si>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</si>
  <si>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</si>
  <si>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</si>
  <si>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</si>
  <si>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</si>
  <si>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</si>
  <si>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</si>
  <si>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</si>
  <si>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</si>
  <si>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</si>
  <si>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</si>
  <si>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</si>
  <si>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</si>
  <si>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</si>
  <si>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</si>
  <si>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</si>
  <si>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</si>
  <si>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</si>
  <si>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</si>
  <si>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</si>
  <si>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</si>
  <si>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</si>
  <si>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</si>
  <si>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</si>
  <si>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</si>
  <si>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</si>
  <si>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</si>
  <si>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</si>
  <si>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</si>
  <si>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</si>
  <si>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</si>
  <si>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</si>
  <si>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</si>
  <si>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</si>
  <si>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</si>
  <si>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</si>
  <si>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</si>
  <si>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</si>
  <si>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</si>
  <si>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</si>
  <si>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</si>
  <si>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</si>
  <si>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</si>
  <si>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</si>
  <si>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</si>
  <si>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</si>
  <si>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</si>
  <si>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</si>
  <si>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</si>
  <si>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</si>
  <si>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</si>
  <si>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</si>
  <si>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</si>
  <si>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</si>
  <si>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</si>
  <si>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</si>
  <si>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</si>
  <si>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</si>
  <si>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</si>
  <si>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</si>
  <si>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</si>
  <si>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</si>
  <si>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</si>
  <si>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</si>
  <si>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</si>
  <si>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</si>
  <si>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</si>
  <si>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</si>
  <si>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</si>
  <si>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</si>
  <si>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</si>
  <si>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</si>
  <si>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</si>
  <si>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</si>
  <si>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</si>
  <si>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</si>
  <si>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</si>
  <si>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</si>
  <si>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</si>
  <si>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</si>
  <si>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</si>
  <si>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</si>
  <si>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</si>
  <si>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</si>
  <si>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</si>
  <si>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</si>
  <si>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</si>
  <si>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</si>
  <si>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</si>
  <si>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</si>
  <si>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</si>
  <si>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</si>
  <si>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</si>
  <si>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</si>
  <si>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</si>
  <si>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</si>
  <si>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</si>
  <si>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</si>
  <si>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</si>
  <si>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</si>
  <si>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</si>
  <si>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</si>
  <si>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</si>
  <si>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</si>
  <si>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</si>
  <si>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</si>
  <si>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</si>
  <si>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</si>
  <si>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</si>
  <si>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N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</si>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</sst>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-* #,##0_-;\-* #,##0_-;_-* &quot;-&quot;_-;_-@_-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\-* #,##0.00_-;_-* &quot;-&quot;??_-;_-@_-"/>
    <numFmt numFmtId="180" formatCode="&quot;₩&quot;&quot;₩&quot;&quot;₩&quot;\$#,##0.00_);&quot;₩&quot;&quot;₩&quot;\(&quot;₩&quot;&quot;₩&quot;&quot;₩&quot;\$#,##0.00&quot;₩&quot;&quot;₩&quot;&quot;₩&quot;\)"/>
    <numFmt numFmtId="181" formatCode="_-* #,##0.00_-;&quot;₩&quot;&quot;₩&quot;&quot;₩&quot;&quot;₩&quot;&quot;₩&quot;\-* #,##0.00_-;_-* &quot;-&quot;??_-;_-@_-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&quot;₩&quot;#,##0.00;[Red]&quot;₩&quot;&quot;₩&quot;&quot;₩&quot;&quot;₩&quot;&quot;₩&quot;&quot;₩&quot;&quot;₩&quot;&quot;₩&quot;&quot;₩&quot;&quot;₩&quot;&quot;₩&quot;\-&quot;₩&quot;#,##0.00"/>
    <numFmt numFmtId="185" formatCode="0_ "/>
  </numFmts>
  <fonts count="4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4" fontId="2" fillId="0" borderId="0"/>
    <xf numFmtId="182" fontId="2" fillId="0" borderId="0"/>
    <xf numFmtId="183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1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39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5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5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5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5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5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</cellXfs>
  <cellStyles count="100"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01.&#54588;&#50724;&#45768;&#53412;&#51592;/02.&#48516;&#49437;/cps2021/80.%20&#44048;&#47532;&#47928;&#49436;/2022&#45380;&#46020;%20&#44048;&#47532;/01.%20&#49444;&#44228;&#45800;&#44228;(&#51473;&#44036;)&#44048;&#47532;/02.%20&#51228;&#52636;&#49328;&#52636;&#47932;/02.%20&#51025;&#50857;&#44060;&#48156;/02.%20&#49444;&#44228;/06.%20&#45936;&#51060;&#53552;&#44396;&#51312;&#49444;&#44228;/06-5.%20&#53076;&#46300;&#51221;&#51032;&#49436;/CPS-SD-&#53076;&#46300;&#51221;&#51032;&#49436;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H502"/>
  <sheetViews>
    <sheetView tabSelected="1" topLeftCell="L1" zoomScaleNormal="100" zoomScaleSheetLayoutView="85" workbookViewId="0">
      <pane ySplit="4" topLeftCell="A389" activePane="bottomLeft" state="frozen"/>
      <selection activeCell="S1" sqref="S1"/>
      <selection pane="bottomLeft" activeCell="S408" sqref="S408"/>
    </sheetView>
  </sheetViews>
  <sheetFormatPr baseColWidth="10" defaultColWidth="8.83203125" defaultRowHeight="17"/>
  <cols>
    <col min="1" max="1" width="6.83203125" style="89" customWidth="1"/>
    <col min="2" max="2" width="9" style="89" bestFit="1" customWidth="1"/>
    <col min="3" max="3" width="10.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5" style="93" bestFit="1" customWidth="1"/>
    <col min="8" max="8" width="17.83203125" style="93" bestFit="1" customWidth="1"/>
    <col min="9" max="9" width="10.83203125" style="89" bestFit="1" customWidth="1"/>
    <col min="10" max="10" width="3.1640625" style="89" bestFit="1" customWidth="1"/>
    <col min="11" max="11" width="6.5" style="89" bestFit="1" customWidth="1"/>
    <col min="12" max="12" width="20.33203125" style="89" bestFit="1" customWidth="1"/>
    <col min="13" max="13" width="16.83203125" style="89" customWidth="1"/>
    <col min="14" max="15" width="18.5" style="89" bestFit="1" customWidth="1"/>
    <col min="16" max="16" width="19.5" style="93" customWidth="1"/>
    <col min="17" max="17" width="7.83203125" style="94" bestFit="1" customWidth="1"/>
    <col min="18" max="18" width="7.83203125" style="89" bestFit="1" customWidth="1"/>
    <col min="19" max="19" width="24.33203125" style="93" customWidth="1"/>
    <col min="20" max="20" width="29.6640625" style="131" customWidth="1"/>
    <col min="21" max="21" width="23.5" style="131" customWidth="1"/>
    <col min="22" max="22" width="91.83203125" style="93" bestFit="1" customWidth="1"/>
    <col min="23" max="23" width="8.5" style="89" bestFit="1" customWidth="1"/>
    <col min="24" max="24" width="14.33203125" style="131" bestFit="1" customWidth="1"/>
    <col min="25" max="25" width="25" style="131" customWidth="1"/>
    <col min="26" max="26" width="40.83203125" style="131" bestFit="1" customWidth="1"/>
    <col min="27" max="27" width="36" style="131" customWidth="1"/>
    <col min="28" max="28" width="29.6640625" style="131" customWidth="1"/>
    <col min="29" max="29" width="83.1640625" style="131" customWidth="1"/>
    <col min="30" max="30" width="80.6640625" style="131" bestFit="1" customWidth="1"/>
    <col min="31" max="33" width="80.6640625" style="131" customWidth="1"/>
    <col min="34" max="34" width="86.5" style="131" bestFit="1" customWidth="1"/>
    <col min="35" max="16384" width="8.83203125" style="131"/>
  </cols>
  <sheetData>
    <row r="1" spans="1:34" s="41" customFormat="1" ht="20" customHeight="1" thickBot="1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4" s="41" customFormat="1" ht="10.5" customHeight="1" thickTop="1" thickBot="1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4" s="41" customFormat="1" ht="25" customHeight="1" thickBot="1">
      <c r="A3" s="136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8"/>
      <c r="T3" s="79"/>
      <c r="U3" s="79"/>
      <c r="V3" s="121"/>
      <c r="W3" s="72"/>
      <c r="X3" s="72"/>
    </row>
    <row r="4" spans="1:34" s="41" customFormat="1" ht="32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558</v>
      </c>
      <c r="M4" s="80" t="s">
        <v>559</v>
      </c>
      <c r="N4" s="80" t="s">
        <v>561</v>
      </c>
      <c r="O4" s="80" t="s">
        <v>560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566</v>
      </c>
      <c r="U4" s="71" t="s">
        <v>565</v>
      </c>
      <c r="V4" s="122" t="s">
        <v>317</v>
      </c>
      <c r="W4" s="72" t="s">
        <v>69</v>
      </c>
      <c r="X4" s="72" t="s">
        <v>70</v>
      </c>
      <c r="Z4" s="41" t="s">
        <v>555</v>
      </c>
      <c r="AA4" s="41" t="s">
        <v>556</v>
      </c>
      <c r="AB4" s="41" t="s">
        <v>557</v>
      </c>
      <c r="AC4" s="41" t="s">
        <v>739</v>
      </c>
      <c r="AD4" s="41" t="s">
        <v>740</v>
      </c>
      <c r="AE4" s="41" t="s">
        <v>742</v>
      </c>
      <c r="AF4" s="41" t="s">
        <v>743</v>
      </c>
      <c r="AG4" s="41" t="s">
        <v>746</v>
      </c>
      <c r="AH4" s="41" t="s">
        <v>567</v>
      </c>
    </row>
    <row r="5" spans="1:34" s="50" customFormat="1" ht="20" customHeight="1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172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'" &amp; $R5 &amp; "'") &amp; 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IF(ISBLANK($R5),"","ALTER TABLE " &amp; $D5 &amp; " ALTER COLUMN " &amp; G5 &amp; " SET DEFAULT " &amp; $R5 &amp; ";")</f>
        <v/>
      </c>
      <c r="AH5" s="50" t="str">
        <f>"COMMENT ON COLUMN "&amp;D5&amp;"."&amp;G5&amp;" IS '"&amp;S5&amp;"' ;"</f>
        <v>COMMENT ON COLUMN TB_USER.USER_SN IS '사용자 일련번호' ;</v>
      </c>
    </row>
    <row r="6" spans="1:34" s="50" customFormat="1" ht="20" customHeight="1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515</v>
      </c>
      <c r="H6" s="100" t="s">
        <v>516</v>
      </c>
      <c r="I6" s="75" t="s">
        <v>72</v>
      </c>
      <c r="J6" s="75"/>
      <c r="K6" s="75"/>
      <c r="L6" s="75"/>
      <c r="M6" s="75"/>
      <c r="N6" s="75"/>
      <c r="O6" s="75"/>
      <c r="P6" s="105" t="s">
        <v>543</v>
      </c>
      <c r="Q6" s="126" t="s">
        <v>548</v>
      </c>
      <c r="R6" s="75"/>
      <c r="S6" s="110" t="s">
        <v>517</v>
      </c>
      <c r="T6" s="115"/>
      <c r="U6" s="115"/>
      <c r="V6" s="123" t="s">
        <v>518</v>
      </c>
      <c r="W6" s="48"/>
      <c r="X6" s="49"/>
      <c r="Y6" s="129" t="str">
        <f t="shared" ref="Y6:Y66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66" si="2">IF(ISBLANK(T6),"","CREATE SEQUENCE "&amp;T6&amp;" START 100000;")</f>
        <v/>
      </c>
      <c r="AC6" s="50" t="str">
        <f t="shared" ref="AC6:AC69" si="3">IF(ISBLANK(T6),"","ALTER TABLE "&amp;D6&amp;" ALTER COLUMN "&amp;G6&amp;" SET DEFAULT NEXTVAL('"&amp;T6&amp;"');")</f>
        <v/>
      </c>
      <c r="AD6" s="50" t="str">
        <f t="shared" ref="AD6:AD69" si="4">"ALTER TABLE "&amp;$D6&amp;" ALTER COLUMN "&amp;$G6&amp;" TYPE "&amp;$P6&amp;IF(ISBLANK(Q6),"",Q6)&amp;";"</f>
        <v>ALTER TABLE TB_USER ALTER COLUMN USER_ID TYPE VARCHAR(50);</v>
      </c>
      <c r="AE6" s="50" t="str">
        <f t="shared" ref="AE6:AE69" si="5">"ALTER TABLE "&amp;$D6&amp;" ADD COLUMN "&amp;$G6&amp;" "&amp;$P6&amp;IF(ISBLANK(Q6),"",$Q6)&amp;IF(ISBLANK($I6),""," NOT NULL")&amp;IF(ISBLANK($R6),""," DEFAULT '" &amp; $R6 &amp; "'") &amp; ";"</f>
        <v>ALTER TABLE TB_USER ADD COLUMN USER_ID VARCHAR(50) NOT NULL;</v>
      </c>
      <c r="AF6" s="50" t="str">
        <f t="shared" ref="AF6:AF69" si="6">"ALTER TABLE "&amp;$D6&amp;" DROP COLUMN "&amp;$G6&amp;";"</f>
        <v>ALTER TABLE TB_USER DROP COLUMN USER_ID;</v>
      </c>
      <c r="AG6" s="50" t="str">
        <f t="shared" ref="AG6:AG69" si="7">IF(ISBLANK($R6),"","ALTER TABLE " &amp; $D6 &amp; " ALTER COLUMN " &amp; G6 &amp; " SET DEFAULT " &amp; $R6 &amp; ";")</f>
        <v/>
      </c>
      <c r="AH6" s="50" t="str">
        <f t="shared" ref="AH6:AH66" si="8">"COMMENT ON COLUMN "&amp;D6&amp;"."&amp;G6&amp;" IS '"&amp;S6&amp;"' ;"</f>
        <v>COMMENT ON COLUMN TB_USER.USER_ID IS '사용자 ID' ;</v>
      </c>
    </row>
    <row r="7" spans="1:34" s="50" customFormat="1" ht="20" customHeight="1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733</v>
      </c>
      <c r="H7" s="101" t="s">
        <v>734</v>
      </c>
      <c r="I7" s="75" t="s">
        <v>72</v>
      </c>
      <c r="J7" s="52"/>
      <c r="K7" s="52"/>
      <c r="L7" s="84"/>
      <c r="M7" s="84"/>
      <c r="N7" s="84"/>
      <c r="O7" s="84"/>
      <c r="P7" s="105" t="s">
        <v>543</v>
      </c>
      <c r="Q7" s="126" t="s">
        <v>550</v>
      </c>
      <c r="R7" s="84"/>
      <c r="S7" s="53" t="s">
        <v>734</v>
      </c>
      <c r="T7" s="115"/>
      <c r="U7" s="115"/>
      <c r="V7" s="123" t="s">
        <v>735</v>
      </c>
      <c r="W7" s="48"/>
      <c r="X7" s="49"/>
      <c r="Y7" s="129" t="str">
        <f t="shared" si="0"/>
        <v>TB_USER</v>
      </c>
      <c r="Z7" s="50" t="str">
        <f t="shared" ref="Z7:Z67" si="9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/>
      </c>
      <c r="AH7" s="50" t="str">
        <f t="shared" si="8"/>
        <v>COMMENT ON COLUMN TB_USER.PASSWORD IS '비밀번호' ;</v>
      </c>
    </row>
    <row r="8" spans="1:34" s="50" customFormat="1" ht="20" customHeight="1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222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543</v>
      </c>
      <c r="Q8" s="126" t="s">
        <v>548</v>
      </c>
      <c r="R8" s="84"/>
      <c r="S8" s="53" t="s">
        <v>225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9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/>
      </c>
      <c r="AH8" s="50" t="str">
        <f t="shared" si="8"/>
        <v>COMMENT ON COLUMN TB_USER.USER_NM IS '사용자 이름' ;</v>
      </c>
    </row>
    <row r="9" spans="1:34" s="50" customFormat="1" ht="20" customHeight="1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736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544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9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/>
      </c>
      <c r="AH9" s="50" t="str">
        <f t="shared" si="8"/>
        <v>COMMENT ON COLUMN TB_USER.GENDER IS '사용자의 성별. 남자 혹은 여자' ;</v>
      </c>
    </row>
    <row r="10" spans="1:34" s="50" customFormat="1" ht="20" customHeight="1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545</v>
      </c>
      <c r="R10" s="84"/>
      <c r="S10" s="58" t="s">
        <v>111</v>
      </c>
      <c r="T10" s="115"/>
      <c r="U10" s="115"/>
      <c r="V10" s="123" t="s">
        <v>738</v>
      </c>
      <c r="W10" s="48"/>
      <c r="X10" s="49"/>
      <c r="Y10" s="129" t="str">
        <f t="shared" si="0"/>
        <v>TB_USER</v>
      </c>
      <c r="Z10" s="50" t="str">
        <f t="shared" si="9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/>
      </c>
      <c r="AH10" s="50" t="str">
        <f t="shared" si="8"/>
        <v>COMMENT ON COLUMN TB_USER.BRDT_DATE IS '사용자 생년월일' ;</v>
      </c>
    </row>
    <row r="11" spans="1:34" s="50" customFormat="1" ht="20" customHeight="1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546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9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/>
      </c>
      <c r="AH11" s="50" t="str">
        <f t="shared" si="8"/>
        <v>COMMENT ON COLUMN TB_USER.TEL_NO IS '사용자 연락처' ;</v>
      </c>
    </row>
    <row r="12" spans="1:34" s="50" customFormat="1" ht="20" customHeight="1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549</v>
      </c>
      <c r="R12" s="84"/>
      <c r="S12" s="58" t="s">
        <v>112</v>
      </c>
      <c r="T12" s="115"/>
      <c r="U12" s="115"/>
      <c r="V12" s="123" t="s">
        <v>793</v>
      </c>
      <c r="W12" s="48"/>
      <c r="X12" s="49"/>
      <c r="Y12" s="129" t="str">
        <f t="shared" si="0"/>
        <v>TB_USER</v>
      </c>
      <c r="Z12" s="50" t="str">
        <f t="shared" si="9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/>
      </c>
      <c r="AH12" s="50" t="str">
        <f t="shared" si="8"/>
        <v>COMMENT ON COLUMN TB_USER.RESIDE_AREA IS '사용자 거주지역' ;</v>
      </c>
    </row>
    <row r="13" spans="1:34" s="50" customFormat="1" ht="20" customHeight="1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581</v>
      </c>
      <c r="H13" s="101" t="s">
        <v>576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545</v>
      </c>
      <c r="R13" s="84"/>
      <c r="S13" s="58" t="s">
        <v>576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9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/>
      </c>
      <c r="AH13" s="50" t="str">
        <f t="shared" si="8"/>
        <v>COMMENT ON COLUMN TB_USER.ZIP IS '우편번호' ;</v>
      </c>
    </row>
    <row r="14" spans="1:34" s="50" customFormat="1" ht="20" customHeight="1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582</v>
      </c>
      <c r="H14" s="101" t="s">
        <v>578</v>
      </c>
      <c r="I14" s="84"/>
      <c r="J14" s="52"/>
      <c r="K14" s="52"/>
      <c r="L14" s="84"/>
      <c r="M14" s="84"/>
      <c r="N14" s="84"/>
      <c r="O14" s="84"/>
      <c r="P14" s="51" t="s">
        <v>580</v>
      </c>
      <c r="Q14" s="126" t="s">
        <v>551</v>
      </c>
      <c r="R14" s="84"/>
      <c r="S14" s="58" t="s">
        <v>575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9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/>
      </c>
      <c r="AH14" s="50" t="str">
        <f t="shared" si="8"/>
        <v>COMMENT ON COLUMN TB_USER.RDNM_ADR IS '도로명 주소' ;</v>
      </c>
    </row>
    <row r="15" spans="1:34" s="50" customFormat="1" ht="20" customHeight="1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583</v>
      </c>
      <c r="H15" s="101" t="s">
        <v>579</v>
      </c>
      <c r="I15" s="84"/>
      <c r="J15" s="52"/>
      <c r="K15" s="52"/>
      <c r="L15" s="84"/>
      <c r="M15" s="84"/>
      <c r="N15" s="84"/>
      <c r="O15" s="84"/>
      <c r="P15" s="51" t="s">
        <v>580</v>
      </c>
      <c r="Q15" s="126" t="s">
        <v>551</v>
      </c>
      <c r="R15" s="84"/>
      <c r="S15" s="58" t="s">
        <v>577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9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/>
      </c>
      <c r="AH15" s="50" t="str">
        <f t="shared" si="8"/>
        <v>COMMENT ON COLUMN TB_USER.DETAIL_ADR IS '상세 주소' ;</v>
      </c>
    </row>
    <row r="16" spans="1:34" s="50" customFormat="1" ht="20" customHeight="1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372</v>
      </c>
      <c r="H16" s="101" t="s">
        <v>374</v>
      </c>
      <c r="I16" s="75"/>
      <c r="J16" s="52"/>
      <c r="K16" s="52">
        <v>1</v>
      </c>
      <c r="L16" s="10" t="s">
        <v>371</v>
      </c>
      <c r="M16" s="101" t="s">
        <v>372</v>
      </c>
      <c r="N16" s="101" t="s">
        <v>562</v>
      </c>
      <c r="O16" s="101" t="s">
        <v>563</v>
      </c>
      <c r="P16" s="51" t="s">
        <v>229</v>
      </c>
      <c r="Q16" s="124"/>
      <c r="R16" s="84"/>
      <c r="S16" s="101" t="s">
        <v>376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9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/>
      </c>
      <c r="AH16" s="50" t="str">
        <f t="shared" si="8"/>
        <v>COMMENT ON COLUMN TB_USER.ATCH_FILE_SN IS '첨부 파일 일련번호' ;</v>
      </c>
    </row>
    <row r="17" spans="1:34" s="50" customFormat="1" ht="20" customHeight="1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159</v>
      </c>
      <c r="H17" s="101" t="s">
        <v>158</v>
      </c>
      <c r="I17" s="75" t="s">
        <v>160</v>
      </c>
      <c r="J17" s="52"/>
      <c r="K17" s="52"/>
      <c r="L17" s="52"/>
      <c r="M17" s="52"/>
      <c r="N17" s="52"/>
      <c r="O17" s="52"/>
      <c r="P17" s="51" t="s">
        <v>106</v>
      </c>
      <c r="Q17" s="126" t="s">
        <v>544</v>
      </c>
      <c r="R17" s="87" t="s">
        <v>592</v>
      </c>
      <c r="S17" s="53" t="s">
        <v>161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9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''N'';</v>
      </c>
      <c r="AF17" s="50" t="str">
        <f t="shared" si="6"/>
        <v>ALTER TABLE TB_USER DROP COLUMN MNGR_YN;</v>
      </c>
      <c r="AG17" s="50" t="str">
        <f t="shared" si="7"/>
        <v>ALTER TABLE TB_USER ALTER COLUMN MNGR_YN SET DEFAULT 'N';</v>
      </c>
      <c r="AH17" s="50" t="str">
        <f t="shared" si="8"/>
        <v>COMMENT ON COLUMN TB_USER.MNGR_YN IS '관리자 여부' ;</v>
      </c>
    </row>
    <row r="18" spans="1:34" s="50" customFormat="1" ht="20" customHeight="1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614</v>
      </c>
      <c r="H18" s="101" t="s">
        <v>613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544</v>
      </c>
      <c r="R18" s="87"/>
      <c r="S18" s="53" t="s">
        <v>621</v>
      </c>
      <c r="T18" s="115"/>
      <c r="U18" s="115"/>
      <c r="V18" s="123"/>
      <c r="W18" s="48"/>
      <c r="X18" s="49"/>
      <c r="Y18" s="129" t="str">
        <f t="shared" ref="Y18:Y21" si="10">D18</f>
        <v>TB_USER</v>
      </c>
      <c r="Z18" s="50" t="str">
        <f t="shared" ref="Z18:Z21" si="11">G18&amp;" "&amp;P18&amp;Q18&amp;IF(ISBLANK(J18),""," PRIMARY KEY")&amp;IF(AND(ISBLANK(J18),I18="Y")," NOT NULL","")&amp;","</f>
        <v>MNGR_CONFM_YN VARCHAR(1) NOT NULL,</v>
      </c>
      <c r="AA18" s="50" t="str">
        <f t="shared" ref="AA18:AA21" si="12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1" si="13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si="7"/>
        <v/>
      </c>
      <c r="AH18" s="50" t="str">
        <f t="shared" ref="AH18:AH21" si="14">"COMMENT ON COLUMN "&amp;D18&amp;"."&amp;G18&amp;" IS '"&amp;S18&amp;"' ;"</f>
        <v>COMMENT ON COLUMN TB_USER.MNGR_CONFM_YN IS '관리자 승인 여부' ;</v>
      </c>
    </row>
    <row r="19" spans="1:34" s="50" customFormat="1" ht="20" customHeight="1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616</v>
      </c>
      <c r="H19" s="101" t="s">
        <v>618</v>
      </c>
      <c r="I19" s="52"/>
      <c r="J19" s="52"/>
      <c r="K19" s="52"/>
      <c r="L19" s="84"/>
      <c r="M19" s="84"/>
      <c r="N19" s="84"/>
      <c r="O19" s="84"/>
      <c r="P19" s="105" t="s">
        <v>543</v>
      </c>
      <c r="Q19" s="126" t="s">
        <v>548</v>
      </c>
      <c r="R19" s="85"/>
      <c r="S19" s="112" t="s">
        <v>622</v>
      </c>
      <c r="T19" s="115"/>
      <c r="U19" s="115"/>
      <c r="V19" s="123" t="s">
        <v>518</v>
      </c>
      <c r="W19" s="48"/>
      <c r="X19" s="49"/>
      <c r="Y19" s="129" t="str">
        <f t="shared" si="10"/>
        <v>TB_USER</v>
      </c>
      <c r="Z19" s="50" t="str">
        <f t="shared" si="11"/>
        <v>CONFMER_ID VARCHAR(50),</v>
      </c>
      <c r="AA19" s="50" t="str">
        <f t="shared" si="12"/>
        <v/>
      </c>
      <c r="AB19" s="50" t="str">
        <f t="shared" si="13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7"/>
        <v/>
      </c>
      <c r="AH19" s="50" t="str">
        <f t="shared" si="14"/>
        <v>COMMENT ON COLUMN TB_USER.CONFMER_ID IS '승인자 ID' ;</v>
      </c>
    </row>
    <row r="20" spans="1:34" s="50" customFormat="1" ht="20" customHeight="1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617</v>
      </c>
      <c r="H20" s="101" t="s">
        <v>619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549</v>
      </c>
      <c r="R20" s="85"/>
      <c r="S20" s="112" t="s">
        <v>623</v>
      </c>
      <c r="T20" s="115"/>
      <c r="U20" s="115"/>
      <c r="V20" s="123"/>
      <c r="W20" s="48"/>
      <c r="X20" s="49"/>
      <c r="Y20" s="129" t="str">
        <f t="shared" si="10"/>
        <v>TB_USER</v>
      </c>
      <c r="Z20" s="50" t="str">
        <f t="shared" si="11"/>
        <v>CONFMER_IP VARCHAR(100),</v>
      </c>
      <c r="AA20" s="50" t="str">
        <f t="shared" si="12"/>
        <v/>
      </c>
      <c r="AB20" s="50" t="str">
        <f t="shared" si="13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7"/>
        <v/>
      </c>
      <c r="AH20" s="50" t="str">
        <f t="shared" si="14"/>
        <v>COMMENT ON COLUMN TB_USER.CONFMER_IP IS '승인자 IP' ;</v>
      </c>
    </row>
    <row r="21" spans="1:34" s="50" customFormat="1" ht="20" customHeight="1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615</v>
      </c>
      <c r="H21" s="102" t="s">
        <v>620</v>
      </c>
      <c r="I21" s="61"/>
      <c r="J21" s="61"/>
      <c r="K21" s="61"/>
      <c r="L21" s="61"/>
      <c r="M21" s="61"/>
      <c r="N21" s="61"/>
      <c r="O21" s="61"/>
      <c r="P21" s="51" t="s">
        <v>732</v>
      </c>
      <c r="Q21" s="126"/>
      <c r="R21" s="82"/>
      <c r="S21" s="112" t="s">
        <v>624</v>
      </c>
      <c r="T21" s="115"/>
      <c r="U21" s="115"/>
      <c r="V21" s="123"/>
      <c r="W21" s="48"/>
      <c r="X21" s="49"/>
      <c r="Y21" s="129" t="str">
        <f t="shared" si="10"/>
        <v>TB_USER</v>
      </c>
      <c r="Z21" s="50" t="str">
        <f t="shared" si="11"/>
        <v>CONFM_DT TIMESTAMP,</v>
      </c>
      <c r="AA21" s="50" t="str">
        <f t="shared" si="12"/>
        <v/>
      </c>
      <c r="AB21" s="50" t="str">
        <f t="shared" si="13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7"/>
        <v/>
      </c>
      <c r="AH21" s="50" t="str">
        <f t="shared" si="14"/>
        <v>COMMENT ON COLUMN TB_USER.CONFM_DT IS '승인 일시' ;</v>
      </c>
    </row>
    <row r="22" spans="1:34" s="50" customFormat="1" ht="20" customHeight="1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611</v>
      </c>
      <c r="H22" s="101" t="s">
        <v>610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550</v>
      </c>
      <c r="R22" s="85"/>
      <c r="S22" s="101" t="s">
        <v>612</v>
      </c>
      <c r="T22" s="115"/>
      <c r="U22" s="115"/>
      <c r="V22" s="123"/>
      <c r="W22" s="48"/>
      <c r="X22" s="49"/>
      <c r="Y22" s="129" t="str">
        <f t="shared" si="0"/>
        <v>TB_USER</v>
      </c>
      <c r="Z22" s="50" t="str">
        <f t="shared" si="9"/>
        <v>CNTN_SNS VARCHAR(255),</v>
      </c>
      <c r="AA22" s="50" t="str">
        <f t="shared" si="1"/>
        <v/>
      </c>
      <c r="AB22" s="50" t="str">
        <f t="shared" si="2"/>
        <v/>
      </c>
      <c r="AC22" s="50" t="str">
        <f t="shared" si="3"/>
        <v/>
      </c>
      <c r="AD22" s="50" t="str">
        <f t="shared" si="4"/>
        <v>ALTER TABLE TB_USER ALTER COLUMN CNTN_SNS TYPE VARCHAR(255);</v>
      </c>
      <c r="AE22" s="50" t="str">
        <f t="shared" si="5"/>
        <v>ALTER TABLE TB_USER ADD COLUMN CNTN_SNS VARCHAR(255);</v>
      </c>
      <c r="AF22" s="50" t="str">
        <f t="shared" si="6"/>
        <v>ALTER TABLE TB_USER DROP COLUMN CNTN_SNS;</v>
      </c>
      <c r="AG22" s="50" t="str">
        <f t="shared" si="7"/>
        <v/>
      </c>
      <c r="AH22" s="50" t="str">
        <f t="shared" si="8"/>
        <v>COMMENT ON COLUMN TB_USER.CNTN_SNS IS '연계 SNS' ;</v>
      </c>
    </row>
    <row r="23" spans="1:34" s="50" customFormat="1" ht="20" customHeight="1">
      <c r="A23" s="55">
        <v>19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19</v>
      </c>
      <c r="G23" s="101" t="s">
        <v>97</v>
      </c>
      <c r="H23" s="101" t="s">
        <v>98</v>
      </c>
      <c r="I23" s="75"/>
      <c r="J23" s="52"/>
      <c r="K23" s="52"/>
      <c r="L23" s="52"/>
      <c r="M23" s="52"/>
      <c r="N23" s="52"/>
      <c r="O23" s="52"/>
      <c r="P23" s="51" t="s">
        <v>732</v>
      </c>
      <c r="Q23" s="126"/>
      <c r="R23" s="85"/>
      <c r="S23" s="58" t="s">
        <v>99</v>
      </c>
      <c r="T23" s="115"/>
      <c r="U23" s="115"/>
      <c r="V23" s="123"/>
      <c r="W23" s="48"/>
      <c r="X23" s="49"/>
      <c r="Y23" s="129" t="str">
        <f t="shared" si="0"/>
        <v>TB_USER</v>
      </c>
      <c r="Z23" s="50" t="str">
        <f t="shared" si="9"/>
        <v>LAST_LOGIN_DT TIMESTAMP,</v>
      </c>
      <c r="AA23" s="50" t="str">
        <f t="shared" si="1"/>
        <v/>
      </c>
      <c r="AB23" s="50" t="str">
        <f t="shared" si="2"/>
        <v/>
      </c>
      <c r="AC23" s="50" t="str">
        <f t="shared" si="3"/>
        <v/>
      </c>
      <c r="AD23" s="50" t="str">
        <f t="shared" si="4"/>
        <v>ALTER TABLE TB_USER ALTER COLUMN LAST_LOGIN_DT TYPE TIMESTAMP;</v>
      </c>
      <c r="AE23" s="50" t="str">
        <f t="shared" si="5"/>
        <v>ALTER TABLE TB_USER ADD COLUMN LAST_LOGIN_DT TIMESTAMP;</v>
      </c>
      <c r="AF23" s="50" t="str">
        <f t="shared" si="6"/>
        <v>ALTER TABLE TB_USER DROP COLUMN LAST_LOGIN_DT;</v>
      </c>
      <c r="AG23" s="50" t="str">
        <f t="shared" si="7"/>
        <v/>
      </c>
      <c r="AH23" s="50" t="str">
        <f t="shared" si="8"/>
        <v>COMMENT ON COLUMN TB_USER.LAST_LOGIN_DT IS '마지막 로그인한 일시' ;</v>
      </c>
    </row>
    <row r="24" spans="1:34" s="50" customFormat="1" ht="20" customHeight="1">
      <c r="A24" s="55">
        <v>20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20</v>
      </c>
      <c r="G24" s="102" t="s">
        <v>91</v>
      </c>
      <c r="H24" s="51" t="s">
        <v>77</v>
      </c>
      <c r="I24" s="75" t="s">
        <v>72</v>
      </c>
      <c r="J24" s="52"/>
      <c r="K24" s="52"/>
      <c r="L24" s="52"/>
      <c r="M24" s="52"/>
      <c r="N24" s="52"/>
      <c r="O24" s="52"/>
      <c r="P24" s="56" t="s">
        <v>106</v>
      </c>
      <c r="Q24" s="126" t="s">
        <v>549</v>
      </c>
      <c r="R24" s="85"/>
      <c r="S24" s="112" t="s">
        <v>218</v>
      </c>
      <c r="T24" s="115"/>
      <c r="U24" s="115"/>
      <c r="V24" s="123"/>
      <c r="W24" s="48"/>
      <c r="X24" s="49"/>
      <c r="Y24" s="129" t="str">
        <f t="shared" si="0"/>
        <v>TB_USER</v>
      </c>
      <c r="Z24" s="50" t="str">
        <f t="shared" si="9"/>
        <v>REGISTER_IP VARCHAR(100) NOT NULL,</v>
      </c>
      <c r="AA24" s="50" t="str">
        <f t="shared" si="1"/>
        <v/>
      </c>
      <c r="AB24" s="50" t="str">
        <f t="shared" si="2"/>
        <v/>
      </c>
      <c r="AC24" s="50" t="str">
        <f t="shared" si="3"/>
        <v/>
      </c>
      <c r="AD24" s="50" t="str">
        <f t="shared" si="4"/>
        <v>ALTER TABLE TB_USER ALTER COLUMN REGISTER_IP TYPE VARCHAR(100);</v>
      </c>
      <c r="AE24" s="50" t="str">
        <f t="shared" si="5"/>
        <v>ALTER TABLE TB_USER ADD COLUMN REGISTER_IP VARCHAR(100) NOT NULL;</v>
      </c>
      <c r="AF24" s="50" t="str">
        <f t="shared" si="6"/>
        <v>ALTER TABLE TB_USER DROP COLUMN REGISTER_IP;</v>
      </c>
      <c r="AG24" s="50" t="str">
        <f t="shared" si="7"/>
        <v/>
      </c>
      <c r="AH24" s="50" t="str">
        <f t="shared" si="8"/>
        <v>COMMENT ON COLUMN TB_USER.REGISTER_IP IS '등록자 IP' ;</v>
      </c>
    </row>
    <row r="25" spans="1:34" s="50" customFormat="1" ht="20" customHeight="1">
      <c r="A25" s="55">
        <v>21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21</v>
      </c>
      <c r="G25" s="102" t="s">
        <v>92</v>
      </c>
      <c r="H25" s="101" t="s">
        <v>78</v>
      </c>
      <c r="I25" s="75" t="s">
        <v>72</v>
      </c>
      <c r="J25" s="52"/>
      <c r="K25" s="52"/>
      <c r="L25" s="52"/>
      <c r="M25" s="52"/>
      <c r="N25" s="52"/>
      <c r="O25" s="52"/>
      <c r="P25" s="51" t="s">
        <v>732</v>
      </c>
      <c r="Q25" s="126"/>
      <c r="R25" s="85"/>
      <c r="S25" s="112" t="s">
        <v>217</v>
      </c>
      <c r="T25" s="115"/>
      <c r="U25" s="115"/>
      <c r="V25" s="123"/>
      <c r="W25" s="48"/>
      <c r="X25" s="49"/>
      <c r="Y25" s="129" t="str">
        <f t="shared" si="0"/>
        <v>TB_USER</v>
      </c>
      <c r="Z25" s="50" t="str">
        <f t="shared" si="9"/>
        <v>REG_DT TIMESTAMP NOT NULL,</v>
      </c>
      <c r="AA25" s="50" t="str">
        <f t="shared" si="1"/>
        <v/>
      </c>
      <c r="AB25" s="50" t="str">
        <f t="shared" si="2"/>
        <v/>
      </c>
      <c r="AC25" s="50" t="str">
        <f t="shared" si="3"/>
        <v/>
      </c>
      <c r="AD25" s="50" t="str">
        <f t="shared" si="4"/>
        <v>ALTER TABLE TB_USER ALTER COLUMN REG_DT TYPE TIMESTAMP;</v>
      </c>
      <c r="AE25" s="50" t="str">
        <f t="shared" si="5"/>
        <v>ALTER TABLE TB_USER ADD COLUMN REG_DT TIMESTAMP NOT NULL;</v>
      </c>
      <c r="AF25" s="50" t="str">
        <f t="shared" si="6"/>
        <v>ALTER TABLE TB_USER DROP COLUMN REG_DT;</v>
      </c>
      <c r="AG25" s="50" t="str">
        <f t="shared" si="7"/>
        <v/>
      </c>
      <c r="AH25" s="50" t="str">
        <f t="shared" si="8"/>
        <v>COMMENT ON COLUMN TB_USER.REG_DT IS '등록 일시' ;</v>
      </c>
    </row>
    <row r="26" spans="1:34" s="50" customFormat="1" ht="20" customHeight="1">
      <c r="A26" s="55">
        <v>22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22</v>
      </c>
      <c r="G26" s="102" t="s">
        <v>93</v>
      </c>
      <c r="H26" s="101" t="s">
        <v>80</v>
      </c>
      <c r="I26" s="52"/>
      <c r="J26" s="52"/>
      <c r="K26" s="52"/>
      <c r="L26" s="84"/>
      <c r="M26" s="84"/>
      <c r="N26" s="84"/>
      <c r="O26" s="84"/>
      <c r="P26" s="105" t="s">
        <v>543</v>
      </c>
      <c r="Q26" s="126" t="s">
        <v>548</v>
      </c>
      <c r="R26" s="85"/>
      <c r="S26" s="112" t="s">
        <v>216</v>
      </c>
      <c r="T26" s="115"/>
      <c r="U26" s="115"/>
      <c r="V26" s="123" t="s">
        <v>518</v>
      </c>
      <c r="W26" s="48"/>
      <c r="X26" s="49"/>
      <c r="Y26" s="129" t="str">
        <f t="shared" si="0"/>
        <v>TB_USER</v>
      </c>
      <c r="Z26" s="50" t="str">
        <f t="shared" si="9"/>
        <v>UPDUSR_ID VARCHAR(50),</v>
      </c>
      <c r="AA26" s="50" t="str">
        <f t="shared" si="1"/>
        <v/>
      </c>
      <c r="AB26" s="50" t="str">
        <f t="shared" si="2"/>
        <v/>
      </c>
      <c r="AC26" s="50" t="str">
        <f t="shared" si="3"/>
        <v/>
      </c>
      <c r="AD26" s="50" t="str">
        <f t="shared" si="4"/>
        <v>ALTER TABLE TB_USER ALTER COLUMN UPDUSR_ID TYPE VARCHAR(50);</v>
      </c>
      <c r="AE26" s="50" t="str">
        <f t="shared" si="5"/>
        <v>ALTER TABLE TB_USER ADD COLUMN UPDUSR_ID VARCHAR(50);</v>
      </c>
      <c r="AF26" s="50" t="str">
        <f t="shared" si="6"/>
        <v>ALTER TABLE TB_USER DROP COLUMN UPDUSR_ID;</v>
      </c>
      <c r="AG26" s="50" t="str">
        <f t="shared" si="7"/>
        <v/>
      </c>
      <c r="AH26" s="50" t="str">
        <f t="shared" si="8"/>
        <v>COMMENT ON COLUMN TB_USER.UPDUSR_ID IS '수정자 ID' ;</v>
      </c>
    </row>
    <row r="27" spans="1:34" s="50" customFormat="1" ht="20" customHeight="1">
      <c r="A27" s="55">
        <v>23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23</v>
      </c>
      <c r="G27" s="102" t="s">
        <v>94</v>
      </c>
      <c r="H27" s="101" t="s">
        <v>79</v>
      </c>
      <c r="I27" s="52"/>
      <c r="J27" s="52"/>
      <c r="K27" s="52"/>
      <c r="L27" s="52"/>
      <c r="M27" s="52"/>
      <c r="N27" s="52"/>
      <c r="O27" s="52"/>
      <c r="P27" s="56" t="s">
        <v>106</v>
      </c>
      <c r="Q27" s="126" t="s">
        <v>549</v>
      </c>
      <c r="R27" s="85"/>
      <c r="S27" s="112" t="s">
        <v>215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9"/>
        <v>UPDUSR_IP VARCHAR(100),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UPDUSR_IP TYPE VARCHAR(100);</v>
      </c>
      <c r="AE27" s="50" t="str">
        <f t="shared" si="5"/>
        <v>ALTER TABLE TB_USER ADD COLUMN UPDUSR_IP VARCHAR(100);</v>
      </c>
      <c r="AF27" s="50" t="str">
        <f t="shared" si="6"/>
        <v>ALTER TABLE TB_USER DROP COLUMN UPDUSR_IP;</v>
      </c>
      <c r="AG27" s="50" t="str">
        <f t="shared" si="7"/>
        <v/>
      </c>
      <c r="AH27" s="50" t="str">
        <f t="shared" si="8"/>
        <v>COMMENT ON COLUMN TB_USER.UPDUSR_IP IS '수정자 IP' ;</v>
      </c>
    </row>
    <row r="28" spans="1:34" s="50" customFormat="1" ht="20" customHeight="1">
      <c r="A28" s="55">
        <v>24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24</v>
      </c>
      <c r="G28" s="103" t="s">
        <v>95</v>
      </c>
      <c r="H28" s="102" t="s">
        <v>81</v>
      </c>
      <c r="I28" s="61"/>
      <c r="J28" s="61"/>
      <c r="K28" s="61"/>
      <c r="L28" s="61"/>
      <c r="M28" s="61"/>
      <c r="N28" s="61"/>
      <c r="O28" s="61"/>
      <c r="P28" s="51" t="s">
        <v>732</v>
      </c>
      <c r="Q28" s="126"/>
      <c r="R28" s="82"/>
      <c r="S28" s="112" t="s">
        <v>214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9"/>
        <v>UPDT_DT TIMESTAMP,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UPDT_DT TYPE TIMESTAMP;</v>
      </c>
      <c r="AE28" s="50" t="str">
        <f t="shared" si="5"/>
        <v>ALTER TABLE TB_USER ADD COLUMN UPDT_DT TIMESTAMP;</v>
      </c>
      <c r="AF28" s="50" t="str">
        <f t="shared" si="6"/>
        <v>ALTER TABLE TB_USER DROP COLUMN UPDT_DT;</v>
      </c>
      <c r="AG28" s="50" t="str">
        <f t="shared" si="7"/>
        <v/>
      </c>
      <c r="AH28" s="50" t="str">
        <f t="shared" si="8"/>
        <v>COMMENT ON COLUMN TB_USER.UPDT_DT IS '수정 일시' ;</v>
      </c>
    </row>
    <row r="29" spans="1:34" s="50" customFormat="1" ht="20" customHeight="1">
      <c r="A29" s="55">
        <v>25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25</v>
      </c>
      <c r="G29" s="102" t="s">
        <v>96</v>
      </c>
      <c r="H29" s="102" t="s">
        <v>82</v>
      </c>
      <c r="I29" s="75" t="s">
        <v>72</v>
      </c>
      <c r="J29" s="61"/>
      <c r="K29" s="61"/>
      <c r="L29" s="61"/>
      <c r="M29" s="61"/>
      <c r="N29" s="61"/>
      <c r="O29" s="61"/>
      <c r="P29" s="51" t="s">
        <v>106</v>
      </c>
      <c r="Q29" s="126" t="s">
        <v>544</v>
      </c>
      <c r="R29" s="87" t="s">
        <v>592</v>
      </c>
      <c r="S29" s="112" t="s">
        <v>213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9"/>
        <v>DEL_YN VARCHAR(1)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DEL_YN TYPE VARCHAR(1);</v>
      </c>
      <c r="AE29" s="50" t="str">
        <f t="shared" si="5"/>
        <v>ALTER TABLE TB_USER ADD COLUMN DEL_YN VARCHAR(1) NOT NULL DEFAULT ''N'';</v>
      </c>
      <c r="AF29" s="50" t="str">
        <f t="shared" si="6"/>
        <v>ALTER TABLE TB_USER DROP COLUMN DEL_YN;</v>
      </c>
      <c r="AG29" s="50" t="str">
        <f t="shared" si="7"/>
        <v>ALTER TABLE TB_USER ALTER COLUMN DEL_YN SET DEFAULT 'N';</v>
      </c>
      <c r="AH29" s="50" t="str">
        <f t="shared" si="8"/>
        <v>COMMENT ON COLUMN TB_USER.DEL_YN IS '삭제 여부' ;</v>
      </c>
    </row>
    <row r="30" spans="1:34" s="50" customFormat="1" ht="20" customHeight="1">
      <c r="A30" s="55">
        <v>26</v>
      </c>
      <c r="B30" s="55" t="s">
        <v>7</v>
      </c>
      <c r="C30" s="45" t="s">
        <v>8</v>
      </c>
      <c r="D30" s="12" t="s">
        <v>114</v>
      </c>
      <c r="E30" s="12" t="s">
        <v>115</v>
      </c>
      <c r="F30" s="47">
        <v>1</v>
      </c>
      <c r="G30" s="103" t="s">
        <v>121</v>
      </c>
      <c r="H30" s="102" t="s">
        <v>120</v>
      </c>
      <c r="I30" s="75" t="s">
        <v>72</v>
      </c>
      <c r="J30" s="61">
        <v>1</v>
      </c>
      <c r="K30" s="61"/>
      <c r="L30" s="69"/>
      <c r="M30" s="69"/>
      <c r="N30" s="69"/>
      <c r="O30" s="69"/>
      <c r="P30" s="105" t="s">
        <v>172</v>
      </c>
      <c r="Q30" s="47"/>
      <c r="R30" s="82"/>
      <c r="S30" s="112" t="s">
        <v>268</v>
      </c>
      <c r="T30" s="132" t="str">
        <f>"SEQ_"&amp;D30&amp;"_SN"</f>
        <v>SEQ_TB_USER_CHLDRN_SN</v>
      </c>
      <c r="U30" s="132"/>
      <c r="V30" s="123"/>
      <c r="W30" s="68"/>
      <c r="X30" s="70"/>
      <c r="Y30" s="129" t="str">
        <f t="shared" si="0"/>
        <v>TB_USER_CHLDRN</v>
      </c>
      <c r="Z30" s="50" t="str">
        <f t="shared" si="9"/>
        <v>CHLDRN_SN INTEGER PRIMARY KEY,</v>
      </c>
      <c r="AA30" s="50" t="str">
        <f t="shared" si="1"/>
        <v/>
      </c>
      <c r="AB30" s="50" t="str">
        <f t="shared" si="2"/>
        <v>CREATE SEQUENCE SEQ_TB_USER_CHLDRN_SN START 100000;</v>
      </c>
      <c r="AC30" s="50" t="str">
        <f t="shared" si="3"/>
        <v>ALTER TABLE TB_USER_CHLDRN ALTER COLUMN CHLDRN_SN SET DEFAULT NEXTVAL('SEQ_TB_USER_CHLDRN_SN');</v>
      </c>
      <c r="AD30" s="50" t="str">
        <f t="shared" si="4"/>
        <v>ALTER TABLE TB_USER_CHLDRN ALTER COLUMN CHLDRN_SN TYPE INTEGER;</v>
      </c>
      <c r="AE30" s="50" t="str">
        <f t="shared" si="5"/>
        <v>ALTER TABLE TB_USER_CHLDRN ADD COLUMN CHLDRN_SN INTEGER NOT NULL;</v>
      </c>
      <c r="AF30" s="50" t="str">
        <f t="shared" si="6"/>
        <v>ALTER TABLE TB_USER_CHLDRN DROP COLUMN CHLDRN_SN;</v>
      </c>
      <c r="AG30" s="50" t="str">
        <f t="shared" si="7"/>
        <v/>
      </c>
      <c r="AH30" s="50" t="str">
        <f t="shared" si="8"/>
        <v>COMMENT ON COLUMN TB_USER_CHLDRN.CHLDRN_SN IS '자녀 일련번호' ;</v>
      </c>
    </row>
    <row r="31" spans="1:34" s="50" customFormat="1" ht="20" customHeight="1">
      <c r="A31" s="55">
        <v>27</v>
      </c>
      <c r="B31" s="55" t="s">
        <v>7</v>
      </c>
      <c r="C31" s="45" t="s">
        <v>8</v>
      </c>
      <c r="D31" s="12" t="s">
        <v>114</v>
      </c>
      <c r="E31" s="12" t="s">
        <v>115</v>
      </c>
      <c r="F31" s="47">
        <v>2</v>
      </c>
      <c r="G31" s="100" t="s">
        <v>744</v>
      </c>
      <c r="H31" s="100" t="s">
        <v>745</v>
      </c>
      <c r="I31" s="75" t="s">
        <v>72</v>
      </c>
      <c r="J31" s="61"/>
      <c r="K31" s="61">
        <v>1</v>
      </c>
      <c r="L31" s="83" t="s">
        <v>9</v>
      </c>
      <c r="M31" s="100" t="s">
        <v>744</v>
      </c>
      <c r="N31" s="100" t="s">
        <v>562</v>
      </c>
      <c r="O31" s="100" t="s">
        <v>564</v>
      </c>
      <c r="P31" s="105" t="s">
        <v>172</v>
      </c>
      <c r="Q31" s="126"/>
      <c r="R31" s="86"/>
      <c r="S31" s="112" t="s">
        <v>109</v>
      </c>
      <c r="T31" s="115"/>
      <c r="U31" s="115"/>
      <c r="V31" s="123"/>
      <c r="W31" s="68"/>
      <c r="X31" s="70"/>
      <c r="Y31" s="129" t="str">
        <f t="shared" si="0"/>
        <v>TB_USER_CHLDRN</v>
      </c>
      <c r="Z31" s="50" t="str">
        <f t="shared" si="9"/>
        <v>USER_SN INTEGER NOT NULL,</v>
      </c>
      <c r="AA31" s="50" t="str">
        <f t="shared" si="1"/>
        <v>ALTER TABLE TB_USER_CHLDRN ADD CONSTRAINT TB_USER_CHLDRN_FKEY1 FOREIGN KEY(USER_SN) REFERENCES TB_USER(USER_SN) ON UPDATE CASCADE ON DELETE CASCADE;</v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TB_USER_CHLDRN ALTER COLUMN USER_SN TYPE INTEGER;</v>
      </c>
      <c r="AE31" s="50" t="str">
        <f t="shared" si="5"/>
        <v>ALTER TABLE TB_USER_CHLDRN ADD COLUMN USER_SN INTEGER NOT NULL;</v>
      </c>
      <c r="AF31" s="50" t="str">
        <f t="shared" si="6"/>
        <v>ALTER TABLE TB_USER_CHLDRN DROP COLUMN USER_SN;</v>
      </c>
      <c r="AG31" s="50" t="str">
        <f t="shared" si="7"/>
        <v/>
      </c>
      <c r="AH31" s="50" t="str">
        <f t="shared" si="8"/>
        <v>COMMENT ON COLUMN TB_USER_CHLDRN.USER_SN IS '사용자 일련번호' ;</v>
      </c>
    </row>
    <row r="32" spans="1:34" s="41" customFormat="1" ht="20" customHeight="1">
      <c r="A32" s="55">
        <v>28</v>
      </c>
      <c r="B32" s="55" t="s">
        <v>7</v>
      </c>
      <c r="C32" s="45" t="s">
        <v>8</v>
      </c>
      <c r="D32" s="12" t="s">
        <v>114</v>
      </c>
      <c r="E32" s="12" t="s">
        <v>115</v>
      </c>
      <c r="F32" s="47">
        <v>3</v>
      </c>
      <c r="G32" s="104" t="s">
        <v>188</v>
      </c>
      <c r="H32" s="104" t="s">
        <v>126</v>
      </c>
      <c r="I32" s="75" t="s">
        <v>72</v>
      </c>
      <c r="J32" s="76"/>
      <c r="K32" s="76"/>
      <c r="L32" s="76"/>
      <c r="M32" s="76"/>
      <c r="N32" s="76"/>
      <c r="O32" s="76"/>
      <c r="P32" s="109" t="s">
        <v>229</v>
      </c>
      <c r="Q32" s="47"/>
      <c r="R32" s="76"/>
      <c r="S32" s="113" t="s">
        <v>127</v>
      </c>
      <c r="T32" s="132"/>
      <c r="U32" s="132"/>
      <c r="V32" s="123"/>
      <c r="W32" s="48"/>
      <c r="X32" s="49"/>
      <c r="Y32" s="129" t="str">
        <f t="shared" si="0"/>
        <v>TB_USER_CHLDRN</v>
      </c>
      <c r="Z32" s="50" t="str">
        <f t="shared" si="9"/>
        <v>USER_CHLDRN_SEQ INTEGER NOT NULL,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TB_USER_CHLDRN ALTER COLUMN USER_CHLDRN_SEQ TYPE INTEGER;</v>
      </c>
      <c r="AE32" s="50" t="str">
        <f t="shared" si="5"/>
        <v>ALTER TABLE TB_USER_CHLDRN ADD COLUMN USER_CHLDRN_SEQ INTEGER NOT NULL;</v>
      </c>
      <c r="AF32" s="50" t="str">
        <f t="shared" si="6"/>
        <v>ALTER TABLE TB_USER_CHLDRN DROP COLUMN USER_CHLDRN_SEQ;</v>
      </c>
      <c r="AG32" s="50" t="str">
        <f t="shared" si="7"/>
        <v/>
      </c>
      <c r="AH32" s="50" t="str">
        <f t="shared" si="8"/>
        <v>COMMENT ON COLUMN TB_USER_CHLDRN.USER_CHLDRN_SEQ IS '해당 사용자의 몇번째 자녀인지 구분하는 값' ;</v>
      </c>
    </row>
    <row r="33" spans="1:34" s="41" customFormat="1" ht="20" customHeight="1">
      <c r="A33" s="55">
        <v>29</v>
      </c>
      <c r="B33" s="55" t="s">
        <v>7</v>
      </c>
      <c r="C33" s="45" t="s">
        <v>8</v>
      </c>
      <c r="D33" s="12" t="s">
        <v>114</v>
      </c>
      <c r="E33" s="12" t="s">
        <v>115</v>
      </c>
      <c r="F33" s="47">
        <v>4</v>
      </c>
      <c r="G33" s="104" t="s">
        <v>223</v>
      </c>
      <c r="H33" s="104" t="s">
        <v>122</v>
      </c>
      <c r="I33" s="75" t="s">
        <v>72</v>
      </c>
      <c r="J33" s="76"/>
      <c r="K33" s="76"/>
      <c r="L33" s="76"/>
      <c r="M33" s="76"/>
      <c r="N33" s="76"/>
      <c r="O33" s="76"/>
      <c r="P33" s="105" t="s">
        <v>543</v>
      </c>
      <c r="Q33" s="126" t="s">
        <v>548</v>
      </c>
      <c r="R33" s="76"/>
      <c r="S33" s="113" t="s">
        <v>138</v>
      </c>
      <c r="T33" s="115"/>
      <c r="U33" s="115"/>
      <c r="V33" s="123"/>
      <c r="W33" s="48"/>
      <c r="X33" s="49"/>
      <c r="Y33" s="129" t="str">
        <f t="shared" si="0"/>
        <v>TB_USER_CHLDRN</v>
      </c>
      <c r="Z33" s="50" t="str">
        <f t="shared" si="9"/>
        <v>CHLDRN_NM VARCHAR(50)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TB_USER_CHLDRN ALTER COLUMN CHLDRN_NM TYPE VARCHAR(50);</v>
      </c>
      <c r="AE33" s="50" t="str">
        <f t="shared" si="5"/>
        <v>ALTER TABLE TB_USER_CHLDRN ADD COLUMN CHLDRN_NM VARCHAR(50) NOT NULL;</v>
      </c>
      <c r="AF33" s="50" t="str">
        <f t="shared" si="6"/>
        <v>ALTER TABLE TB_USER_CHLDRN DROP COLUMN CHLDRN_NM;</v>
      </c>
      <c r="AG33" s="50" t="str">
        <f t="shared" si="7"/>
        <v/>
      </c>
      <c r="AH33" s="50" t="str">
        <f t="shared" si="8"/>
        <v>COMMENT ON COLUMN TB_USER_CHLDRN.CHLDRN_NM IS '자녀 이름' ;</v>
      </c>
    </row>
    <row r="34" spans="1:34" s="41" customFormat="1" ht="20" customHeight="1">
      <c r="A34" s="55">
        <v>30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5</v>
      </c>
      <c r="G34" s="104" t="s">
        <v>737</v>
      </c>
      <c r="H34" s="104" t="s">
        <v>123</v>
      </c>
      <c r="I34" s="75" t="s">
        <v>72</v>
      </c>
      <c r="J34" s="76"/>
      <c r="K34" s="76"/>
      <c r="L34" s="76"/>
      <c r="M34" s="76"/>
      <c r="N34" s="76"/>
      <c r="O34" s="76"/>
      <c r="P34" s="51" t="s">
        <v>106</v>
      </c>
      <c r="Q34" s="126" t="s">
        <v>544</v>
      </c>
      <c r="R34" s="76"/>
      <c r="S34" s="113" t="s">
        <v>139</v>
      </c>
      <c r="T34" s="115"/>
      <c r="U34" s="115"/>
      <c r="V34" s="123"/>
      <c r="W34" s="48"/>
      <c r="X34" s="49"/>
      <c r="Y34" s="129" t="str">
        <f t="shared" si="0"/>
        <v>TB_USER_CHLDRN</v>
      </c>
      <c r="Z34" s="50" t="str">
        <f t="shared" si="9"/>
        <v>CHLDRN_GENDER VARCHAR(1) NOT NULL,</v>
      </c>
      <c r="AA34" s="50" t="str">
        <f t="shared" si="1"/>
        <v/>
      </c>
      <c r="AB34" s="50" t="str">
        <f t="shared" si="2"/>
        <v/>
      </c>
      <c r="AC34" s="50" t="str">
        <f t="shared" si="3"/>
        <v/>
      </c>
      <c r="AD34" s="50" t="str">
        <f t="shared" si="4"/>
        <v>ALTER TABLE TB_USER_CHLDRN ALTER COLUMN CHLDRN_GENDER TYPE VARCHAR(1);</v>
      </c>
      <c r="AE34" s="50" t="str">
        <f t="shared" si="5"/>
        <v>ALTER TABLE TB_USER_CHLDRN ADD COLUMN CHLDRN_GENDER VARCHAR(1) NOT NULL;</v>
      </c>
      <c r="AF34" s="50" t="str">
        <f t="shared" si="6"/>
        <v>ALTER TABLE TB_USER_CHLDRN DROP COLUMN CHLDRN_GENDER;</v>
      </c>
      <c r="AG34" s="50" t="str">
        <f t="shared" si="7"/>
        <v/>
      </c>
      <c r="AH34" s="50" t="str">
        <f t="shared" si="8"/>
        <v>COMMENT ON COLUMN TB_USER_CHLDRN.CHLDRN_GENDER IS '자녀 성별' ;</v>
      </c>
    </row>
    <row r="35" spans="1:34" s="41" customFormat="1" ht="20" customHeight="1">
      <c r="A35" s="55">
        <v>31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6</v>
      </c>
      <c r="G35" s="104" t="s">
        <v>128</v>
      </c>
      <c r="H35" s="104" t="s">
        <v>124</v>
      </c>
      <c r="I35" s="76"/>
      <c r="J35" s="76"/>
      <c r="K35" s="76"/>
      <c r="L35" s="76"/>
      <c r="M35" s="76"/>
      <c r="N35" s="76"/>
      <c r="O35" s="76"/>
      <c r="P35" s="51" t="s">
        <v>106</v>
      </c>
      <c r="Q35" s="126" t="s">
        <v>545</v>
      </c>
      <c r="R35" s="76"/>
      <c r="S35" s="113" t="s">
        <v>140</v>
      </c>
      <c r="T35" s="115"/>
      <c r="U35" s="115"/>
      <c r="V35" s="123" t="s">
        <v>738</v>
      </c>
      <c r="W35" s="48"/>
      <c r="X35" s="49"/>
      <c r="Y35" s="129" t="str">
        <f t="shared" si="0"/>
        <v>TB_USER_CHLDRN</v>
      </c>
      <c r="Z35" s="50" t="str">
        <f t="shared" si="9"/>
        <v>CHLDRN_BRDT_DATE VARCHAR(10),</v>
      </c>
      <c r="AA35" s="50" t="str">
        <f t="shared" si="1"/>
        <v/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CHLDRN_BRDT_DATE TYPE VARCHAR(10);</v>
      </c>
      <c r="AE35" s="50" t="str">
        <f t="shared" si="5"/>
        <v>ALTER TABLE TB_USER_CHLDRN ADD COLUMN CHLDRN_BRDT_DATE VARCHAR(10);</v>
      </c>
      <c r="AF35" s="50" t="str">
        <f t="shared" si="6"/>
        <v>ALTER TABLE TB_USER_CHLDRN DROP COLUMN CHLDRN_BRDT_DATE;</v>
      </c>
      <c r="AG35" s="50" t="str">
        <f t="shared" si="7"/>
        <v/>
      </c>
      <c r="AH35" s="50" t="str">
        <f t="shared" si="8"/>
        <v>COMMENT ON COLUMN TB_USER_CHLDRN.CHLDRN_BRDT_DATE IS '자녀 생년월일' ;</v>
      </c>
    </row>
    <row r="36" spans="1:34" s="41" customFormat="1" ht="20" customHeight="1">
      <c r="A36" s="55">
        <v>32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7</v>
      </c>
      <c r="G36" s="104" t="s">
        <v>608</v>
      </c>
      <c r="H36" s="104" t="s">
        <v>607</v>
      </c>
      <c r="I36" s="75"/>
      <c r="J36" s="76"/>
      <c r="K36" s="76"/>
      <c r="L36" s="76"/>
      <c r="M36" s="76"/>
      <c r="N36" s="76"/>
      <c r="O36" s="76"/>
      <c r="P36" s="105" t="s">
        <v>543</v>
      </c>
      <c r="Q36" s="126" t="s">
        <v>551</v>
      </c>
      <c r="R36" s="76"/>
      <c r="S36" s="113" t="s">
        <v>609</v>
      </c>
      <c r="T36" s="115"/>
      <c r="U36" s="115"/>
      <c r="V36" s="123"/>
      <c r="W36" s="48"/>
      <c r="X36" s="49"/>
      <c r="Y36" s="129" t="str">
        <f t="shared" si="0"/>
        <v>TB_USER_CHLDRN</v>
      </c>
      <c r="Z36" s="50" t="str">
        <f t="shared" si="9"/>
        <v>CHLDRN_EMAIL VARCHAR(500),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CHLDRN_EMAIL TYPE VARCHAR(500);</v>
      </c>
      <c r="AE36" s="50" t="str">
        <f t="shared" si="5"/>
        <v>ALTER TABLE TB_USER_CHLDRN ADD COLUMN CHLDRN_EMAIL VARCHAR(500);</v>
      </c>
      <c r="AF36" s="50" t="str">
        <f t="shared" si="6"/>
        <v>ALTER TABLE TB_USER_CHLDRN DROP COLUMN CHLDRN_EMAIL;</v>
      </c>
      <c r="AG36" s="50" t="str">
        <f t="shared" si="7"/>
        <v/>
      </c>
      <c r="AH36" s="50" t="str">
        <f t="shared" si="8"/>
        <v>COMMENT ON COLUMN TB_USER_CHLDRN.CHLDRN_EMAIL IS '자녀 이메일' ;</v>
      </c>
    </row>
    <row r="37" spans="1:34" s="41" customFormat="1" ht="20" customHeight="1">
      <c r="A37" s="55">
        <v>33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8</v>
      </c>
      <c r="G37" s="105" t="s">
        <v>129</v>
      </c>
      <c r="H37" s="104" t="s">
        <v>125</v>
      </c>
      <c r="I37" s="75"/>
      <c r="J37" s="75"/>
      <c r="K37" s="75"/>
      <c r="L37" s="75"/>
      <c r="M37" s="75"/>
      <c r="N37" s="75"/>
      <c r="O37" s="75"/>
      <c r="P37" s="56" t="s">
        <v>106</v>
      </c>
      <c r="Q37" s="126" t="s">
        <v>546</v>
      </c>
      <c r="R37" s="75"/>
      <c r="S37" s="114" t="s">
        <v>141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9"/>
        <v>CHLDRN_TEL_NO VARCHAR(11),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CHLDRN_TEL_NO TYPE VARCHAR(11);</v>
      </c>
      <c r="AE37" s="50" t="str">
        <f t="shared" si="5"/>
        <v>ALTER TABLE TB_USER_CHLDRN ADD COLUMN CHLDRN_TEL_NO VARCHAR(11);</v>
      </c>
      <c r="AF37" s="50" t="str">
        <f t="shared" si="6"/>
        <v>ALTER TABLE TB_USER_CHLDRN DROP COLUMN CHLDRN_TEL_NO;</v>
      </c>
      <c r="AG37" s="50" t="str">
        <f t="shared" si="7"/>
        <v/>
      </c>
      <c r="AH37" s="50" t="str">
        <f t="shared" si="8"/>
        <v>COMMENT ON COLUMN TB_USER_CHLDRN.CHLDRN_TEL_NO IS '자녀 연락처' ;</v>
      </c>
    </row>
    <row r="38" spans="1:34" s="41" customFormat="1" ht="20" customHeight="1">
      <c r="A38" s="55">
        <v>34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9</v>
      </c>
      <c r="G38" s="105" t="s">
        <v>372</v>
      </c>
      <c r="H38" s="105" t="s">
        <v>374</v>
      </c>
      <c r="I38" s="75"/>
      <c r="J38" s="75"/>
      <c r="K38" s="75">
        <v>2</v>
      </c>
      <c r="L38" s="10" t="s">
        <v>371</v>
      </c>
      <c r="M38" s="101" t="s">
        <v>372</v>
      </c>
      <c r="N38" s="101" t="s">
        <v>562</v>
      </c>
      <c r="O38" s="101" t="s">
        <v>563</v>
      </c>
      <c r="P38" s="51" t="s">
        <v>229</v>
      </c>
      <c r="Q38" s="124"/>
      <c r="R38" s="84"/>
      <c r="S38" s="101" t="s">
        <v>376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9"/>
        <v>ATCH_FILE_SN INTEGER,</v>
      </c>
      <c r="AA38" s="50" t="str">
        <f t="shared" si="1"/>
        <v>ALTER TABLE TB_USER_CHLDRN ADD CONSTRAINT TB_USER_CHLDRN_FKEY2 FOREIGN KEY(ATCH_FILE_SN) REFERENCES TB_ATCH_FILE(ATCH_FILE_SN) ON UPDATE CASCADE ON DELETE SET NULL;</v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ATCH_FILE_SN TYPE INTEGER;</v>
      </c>
      <c r="AE38" s="50" t="str">
        <f t="shared" si="5"/>
        <v>ALTER TABLE TB_USER_CHLDRN ADD COLUMN ATCH_FILE_SN INTEGER;</v>
      </c>
      <c r="AF38" s="50" t="str">
        <f t="shared" si="6"/>
        <v>ALTER TABLE TB_USER_CHLDRN DROP COLUMN ATCH_FILE_SN;</v>
      </c>
      <c r="AG38" s="50" t="str">
        <f t="shared" si="7"/>
        <v/>
      </c>
      <c r="AH38" s="50" t="str">
        <f t="shared" si="8"/>
        <v>COMMENT ON COLUMN TB_USER_CHLDRN.ATCH_FILE_SN IS '첨부 파일 일련번호' ;</v>
      </c>
    </row>
    <row r="39" spans="1:34" s="41" customFormat="1" ht="20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10</v>
      </c>
      <c r="G39" s="102" t="s">
        <v>107</v>
      </c>
      <c r="H39" s="51" t="s">
        <v>76</v>
      </c>
      <c r="I39" s="75" t="s">
        <v>72</v>
      </c>
      <c r="J39" s="67"/>
      <c r="K39" s="67"/>
      <c r="L39" s="82"/>
      <c r="M39" s="82"/>
      <c r="N39" s="82"/>
      <c r="O39" s="82"/>
      <c r="P39" s="105" t="s">
        <v>543</v>
      </c>
      <c r="Q39" s="126" t="s">
        <v>548</v>
      </c>
      <c r="R39" s="85"/>
      <c r="S39" s="112" t="s">
        <v>219</v>
      </c>
      <c r="T39" s="115"/>
      <c r="U39" s="115"/>
      <c r="V39" s="123" t="s">
        <v>518</v>
      </c>
      <c r="W39" s="48"/>
      <c r="X39" s="49"/>
      <c r="Y39" s="129" t="str">
        <f t="shared" si="0"/>
        <v>TB_USER_CHLDRN</v>
      </c>
      <c r="Z39" s="50" t="str">
        <f t="shared" si="9"/>
        <v>REGISTER_ID VARCHAR(50) NOT NULL,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REGISTER_ID TYPE VARCHAR(50);</v>
      </c>
      <c r="AE39" s="50" t="str">
        <f t="shared" si="5"/>
        <v>ALTER TABLE TB_USER_CHLDRN ADD COLUMN REGISTER_ID VARCHAR(50) NOT NULL;</v>
      </c>
      <c r="AF39" s="50" t="str">
        <f t="shared" si="6"/>
        <v>ALTER TABLE TB_USER_CHLDRN DROP COLUMN REGISTER_ID;</v>
      </c>
      <c r="AG39" s="50" t="str">
        <f t="shared" si="7"/>
        <v/>
      </c>
      <c r="AH39" s="50" t="str">
        <f t="shared" si="8"/>
        <v>COMMENT ON COLUMN TB_USER_CHLDRN.REGISTER_ID IS '등록자 ID' ;</v>
      </c>
    </row>
    <row r="40" spans="1:34" s="41" customFormat="1" ht="20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11</v>
      </c>
      <c r="G40" s="102" t="s">
        <v>91</v>
      </c>
      <c r="H40" s="51" t="s">
        <v>77</v>
      </c>
      <c r="I40" s="75" t="s">
        <v>72</v>
      </c>
      <c r="J40" s="52"/>
      <c r="K40" s="52"/>
      <c r="L40" s="52"/>
      <c r="M40" s="52"/>
      <c r="N40" s="52"/>
      <c r="O40" s="52"/>
      <c r="P40" s="56" t="s">
        <v>106</v>
      </c>
      <c r="Q40" s="126" t="s">
        <v>549</v>
      </c>
      <c r="R40" s="85"/>
      <c r="S40" s="112" t="s">
        <v>218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9"/>
        <v>REGISTER_IP VARCHAR(100) NOT NULL,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REGISTER_IP TYPE VARCHAR(100);</v>
      </c>
      <c r="AE40" s="50" t="str">
        <f t="shared" si="5"/>
        <v>ALTER TABLE TB_USER_CHLDRN ADD COLUMN REGISTER_IP VARCHAR(100) NOT NULL;</v>
      </c>
      <c r="AF40" s="50" t="str">
        <f t="shared" si="6"/>
        <v>ALTER TABLE TB_USER_CHLDRN DROP COLUMN REGISTER_IP;</v>
      </c>
      <c r="AG40" s="50" t="str">
        <f t="shared" si="7"/>
        <v/>
      </c>
      <c r="AH40" s="50" t="str">
        <f t="shared" si="8"/>
        <v>COMMENT ON COLUMN TB_USER_CHLDRN.REGISTER_IP IS '등록자 IP' ;</v>
      </c>
    </row>
    <row r="41" spans="1:34" s="41" customFormat="1" ht="20" customHeight="1">
      <c r="A41" s="5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12</v>
      </c>
      <c r="G41" s="102" t="s">
        <v>92</v>
      </c>
      <c r="H41" s="101" t="s">
        <v>78</v>
      </c>
      <c r="I41" s="75" t="s">
        <v>72</v>
      </c>
      <c r="J41" s="52"/>
      <c r="K41" s="52"/>
      <c r="L41" s="52"/>
      <c r="M41" s="52"/>
      <c r="N41" s="52"/>
      <c r="O41" s="52"/>
      <c r="P41" s="51" t="s">
        <v>732</v>
      </c>
      <c r="Q41" s="126"/>
      <c r="R41" s="85"/>
      <c r="S41" s="112" t="s">
        <v>217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9"/>
        <v>REG_DT TIMESTAMP NOT NULL,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REG_DT TYPE TIMESTAMP;</v>
      </c>
      <c r="AE41" s="50" t="str">
        <f t="shared" si="5"/>
        <v>ALTER TABLE TB_USER_CHLDRN ADD COLUMN REG_DT TIMESTAMP NOT NULL;</v>
      </c>
      <c r="AF41" s="50" t="str">
        <f t="shared" si="6"/>
        <v>ALTER TABLE TB_USER_CHLDRN DROP COLUMN REG_DT;</v>
      </c>
      <c r="AG41" s="50" t="str">
        <f t="shared" si="7"/>
        <v/>
      </c>
      <c r="AH41" s="50" t="str">
        <f t="shared" si="8"/>
        <v>COMMENT ON COLUMN TB_USER_CHLDRN.REG_DT IS '등록 일시' ;</v>
      </c>
    </row>
    <row r="42" spans="1:34" s="41" customFormat="1" ht="20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13</v>
      </c>
      <c r="G42" s="102" t="s">
        <v>93</v>
      </c>
      <c r="H42" s="101" t="s">
        <v>80</v>
      </c>
      <c r="I42" s="52"/>
      <c r="J42" s="52"/>
      <c r="K42" s="52"/>
      <c r="L42" s="84"/>
      <c r="M42" s="84"/>
      <c r="N42" s="84"/>
      <c r="O42" s="84"/>
      <c r="P42" s="105" t="s">
        <v>543</v>
      </c>
      <c r="Q42" s="126" t="s">
        <v>548</v>
      </c>
      <c r="R42" s="85"/>
      <c r="S42" s="112" t="s">
        <v>216</v>
      </c>
      <c r="T42" s="115"/>
      <c r="U42" s="115"/>
      <c r="V42" s="123" t="s">
        <v>518</v>
      </c>
      <c r="W42" s="48"/>
      <c r="X42" s="49"/>
      <c r="Y42" s="129" t="str">
        <f t="shared" si="0"/>
        <v>TB_USER_CHLDRN</v>
      </c>
      <c r="Z42" s="50" t="str">
        <f t="shared" si="9"/>
        <v>UPDUSR_ID VARCHAR(50),</v>
      </c>
      <c r="AA42" s="50" t="str">
        <f t="shared" si="1"/>
        <v/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UPDUSR_ID TYPE VARCHAR(50);</v>
      </c>
      <c r="AE42" s="50" t="str">
        <f t="shared" si="5"/>
        <v>ALTER TABLE TB_USER_CHLDRN ADD COLUMN UPDUSR_ID VARCHAR(50);</v>
      </c>
      <c r="AF42" s="50" t="str">
        <f t="shared" si="6"/>
        <v>ALTER TABLE TB_USER_CHLDRN DROP COLUMN UPDUSR_ID;</v>
      </c>
      <c r="AG42" s="50" t="str">
        <f t="shared" si="7"/>
        <v/>
      </c>
      <c r="AH42" s="50" t="str">
        <f t="shared" si="8"/>
        <v>COMMENT ON COLUMN TB_USER_CHLDRN.UPDUSR_ID IS '수정자 ID' ;</v>
      </c>
    </row>
    <row r="43" spans="1:34" ht="20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14</v>
      </c>
      <c r="G43" s="102" t="s">
        <v>94</v>
      </c>
      <c r="H43" s="101" t="s">
        <v>79</v>
      </c>
      <c r="I43" s="52"/>
      <c r="J43" s="52"/>
      <c r="K43" s="52"/>
      <c r="L43" s="52"/>
      <c r="M43" s="52"/>
      <c r="N43" s="52"/>
      <c r="O43" s="52"/>
      <c r="P43" s="56" t="s">
        <v>106</v>
      </c>
      <c r="Q43" s="126" t="s">
        <v>549</v>
      </c>
      <c r="R43" s="85"/>
      <c r="S43" s="112" t="s">
        <v>215</v>
      </c>
      <c r="T43" s="130"/>
      <c r="U43" s="130"/>
      <c r="V43" s="109"/>
      <c r="W43" s="90"/>
      <c r="X43" s="130"/>
      <c r="Y43" s="129" t="str">
        <f t="shared" si="0"/>
        <v>TB_USER_CHLDRN</v>
      </c>
      <c r="Z43" s="50" t="str">
        <f t="shared" si="9"/>
        <v>UPDUSR_IP VARCHAR(100),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UPDUSR_IP TYPE VARCHAR(100);</v>
      </c>
      <c r="AE43" s="50" t="str">
        <f t="shared" si="5"/>
        <v>ALTER TABLE TB_USER_CHLDRN ADD COLUMN UPDUSR_IP VARCHAR(100);</v>
      </c>
      <c r="AF43" s="50" t="str">
        <f t="shared" si="6"/>
        <v>ALTER TABLE TB_USER_CHLDRN DROP COLUMN UPDUSR_IP;</v>
      </c>
      <c r="AG43" s="50" t="str">
        <f t="shared" si="7"/>
        <v/>
      </c>
      <c r="AH43" s="50" t="str">
        <f t="shared" si="8"/>
        <v>COMMENT ON COLUMN TB_USER_CHLDRN.UPDUSR_IP IS '수정자 IP' ;</v>
      </c>
    </row>
    <row r="44" spans="1:34" ht="20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15</v>
      </c>
      <c r="G44" s="103" t="s">
        <v>95</v>
      </c>
      <c r="H44" s="102" t="s">
        <v>81</v>
      </c>
      <c r="I44" s="61"/>
      <c r="J44" s="61"/>
      <c r="K44" s="61"/>
      <c r="L44" s="61"/>
      <c r="M44" s="61"/>
      <c r="N44" s="61"/>
      <c r="O44" s="61"/>
      <c r="P44" s="51" t="s">
        <v>732</v>
      </c>
      <c r="Q44" s="126"/>
      <c r="R44" s="82"/>
      <c r="S44" s="112" t="s">
        <v>214</v>
      </c>
      <c r="T44" s="130"/>
      <c r="U44" s="130"/>
      <c r="V44" s="109"/>
      <c r="W44" s="90"/>
      <c r="X44" s="130"/>
      <c r="Y44" s="129" t="str">
        <f t="shared" si="0"/>
        <v>TB_USER_CHLDRN</v>
      </c>
      <c r="Z44" s="50" t="str">
        <f t="shared" si="9"/>
        <v>UPDT_DT TIMESTAMP,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UPDT_DT TYPE TIMESTAMP;</v>
      </c>
      <c r="AE44" s="50" t="str">
        <f t="shared" si="5"/>
        <v>ALTER TABLE TB_USER_CHLDRN ADD COLUMN UPDT_DT TIMESTAMP;</v>
      </c>
      <c r="AF44" s="50" t="str">
        <f t="shared" si="6"/>
        <v>ALTER TABLE TB_USER_CHLDRN DROP COLUMN UPDT_DT;</v>
      </c>
      <c r="AG44" s="50" t="str">
        <f t="shared" si="7"/>
        <v/>
      </c>
      <c r="AH44" s="50" t="str">
        <f t="shared" si="8"/>
        <v>COMMENT ON COLUMN TB_USER_CHLDRN.UPDT_DT IS '수정 일시' ;</v>
      </c>
    </row>
    <row r="45" spans="1:34" ht="20" customHeight="1">
      <c r="A45" s="5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16</v>
      </c>
      <c r="G45" s="102" t="s">
        <v>96</v>
      </c>
      <c r="H45" s="102" t="s">
        <v>82</v>
      </c>
      <c r="I45" s="75" t="s">
        <v>72</v>
      </c>
      <c r="J45" s="61"/>
      <c r="K45" s="61"/>
      <c r="L45" s="61"/>
      <c r="M45" s="61"/>
      <c r="N45" s="61"/>
      <c r="O45" s="61"/>
      <c r="P45" s="51" t="s">
        <v>106</v>
      </c>
      <c r="Q45" s="126" t="s">
        <v>544</v>
      </c>
      <c r="R45" s="87" t="s">
        <v>592</v>
      </c>
      <c r="S45" s="112" t="s">
        <v>213</v>
      </c>
      <c r="T45" s="130"/>
      <c r="U45" s="130"/>
      <c r="V45" s="109"/>
      <c r="W45" s="90"/>
      <c r="X45" s="130"/>
      <c r="Y45" s="129" t="str">
        <f t="shared" si="0"/>
        <v>TB_USER_CHLDRN</v>
      </c>
      <c r="Z45" s="50" t="str">
        <f t="shared" si="9"/>
        <v>DEL_YN VARCHAR(1)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DEL_YN TYPE VARCHAR(1);</v>
      </c>
      <c r="AE45" s="50" t="str">
        <f t="shared" si="5"/>
        <v>ALTER TABLE TB_USER_CHLDRN ADD COLUMN DEL_YN VARCHAR(1) NOT NULL DEFAULT ''N'';</v>
      </c>
      <c r="AF45" s="50" t="str">
        <f t="shared" si="6"/>
        <v>ALTER TABLE TB_USER_CHLDRN DROP COLUMN DEL_YN;</v>
      </c>
      <c r="AG45" s="50" t="str">
        <f t="shared" si="7"/>
        <v>ALTER TABLE TB_USER_CHLDRN ALTER COLUMN DEL_YN SET DEFAULT 'N';</v>
      </c>
      <c r="AH45" s="50" t="str">
        <f t="shared" si="8"/>
        <v>COMMENT ON COLUMN TB_USER_CHLDRN.DEL_YN IS '삭제 여부' ;</v>
      </c>
    </row>
    <row r="46" spans="1:34" ht="20" customHeight="1">
      <c r="A46" s="55">
        <v>42</v>
      </c>
      <c r="B46" s="55" t="s">
        <v>7</v>
      </c>
      <c r="C46" s="45" t="s">
        <v>8</v>
      </c>
      <c r="D46" s="10" t="s">
        <v>116</v>
      </c>
      <c r="E46" s="10" t="s">
        <v>132</v>
      </c>
      <c r="F46" s="97">
        <v>1</v>
      </c>
      <c r="G46" s="106" t="s">
        <v>136</v>
      </c>
      <c r="H46" s="106" t="s">
        <v>135</v>
      </c>
      <c r="I46" s="75" t="s">
        <v>72</v>
      </c>
      <c r="J46" s="45">
        <v>1</v>
      </c>
      <c r="K46" s="45"/>
      <c r="L46" s="45"/>
      <c r="M46" s="45"/>
      <c r="N46" s="45"/>
      <c r="O46" s="45"/>
      <c r="P46" s="106" t="s">
        <v>172</v>
      </c>
      <c r="Q46" s="97"/>
      <c r="R46" s="45"/>
      <c r="S46" s="106" t="s">
        <v>137</v>
      </c>
      <c r="T46" s="132" t="str">
        <f>"SEQ_"&amp;D46&amp;"_SN"</f>
        <v>SEQ_TB_ROLE_SN</v>
      </c>
      <c r="U46" s="132"/>
      <c r="V46" s="109"/>
      <c r="W46" s="90"/>
      <c r="X46" s="130"/>
      <c r="Y46" s="129" t="str">
        <f t="shared" si="0"/>
        <v>TB_ROLE</v>
      </c>
      <c r="Z46" s="50" t="str">
        <f t="shared" si="9"/>
        <v>ROLE_SN INTEGER PRIMARY KEY,</v>
      </c>
      <c r="AA46" s="50" t="str">
        <f t="shared" si="1"/>
        <v/>
      </c>
      <c r="AB46" s="50" t="str">
        <f t="shared" si="2"/>
        <v>CREATE SEQUENCE SEQ_TB_ROLE_SN START 100000;</v>
      </c>
      <c r="AC46" s="50" t="str">
        <f t="shared" si="3"/>
        <v>ALTER TABLE TB_ROLE ALTER COLUMN ROLE_SN SET DEFAULT NEXTVAL('SEQ_TB_ROLE_SN');</v>
      </c>
      <c r="AD46" s="50" t="str">
        <f t="shared" si="4"/>
        <v>ALTER TABLE TB_ROLE ALTER COLUMN ROLE_SN TYPE INTEGER;</v>
      </c>
      <c r="AE46" s="50" t="str">
        <f t="shared" si="5"/>
        <v>ALTER TABLE TB_ROLE ADD COLUMN ROLE_SN INTEGER NOT NULL;</v>
      </c>
      <c r="AF46" s="50" t="str">
        <f t="shared" si="6"/>
        <v>ALTER TABLE TB_ROLE DROP COLUMN ROLE_SN;</v>
      </c>
      <c r="AG46" s="50" t="str">
        <f t="shared" si="7"/>
        <v/>
      </c>
      <c r="AH46" s="50" t="str">
        <f t="shared" si="8"/>
        <v>COMMENT ON COLUMN TB_ROLE.ROLE_SN IS '권한 일련번호' ;</v>
      </c>
    </row>
    <row r="47" spans="1:34" ht="20" customHeight="1">
      <c r="A47" s="55">
        <v>43</v>
      </c>
      <c r="B47" s="55" t="s">
        <v>7</v>
      </c>
      <c r="C47" s="45" t="s">
        <v>8</v>
      </c>
      <c r="D47" s="10" t="s">
        <v>116</v>
      </c>
      <c r="E47" s="10" t="s">
        <v>132</v>
      </c>
      <c r="F47" s="97">
        <v>2</v>
      </c>
      <c r="G47" s="106" t="s">
        <v>224</v>
      </c>
      <c r="H47" s="106" t="s">
        <v>142</v>
      </c>
      <c r="I47" s="75" t="s">
        <v>72</v>
      </c>
      <c r="J47" s="45"/>
      <c r="K47" s="45"/>
      <c r="L47" s="45"/>
      <c r="M47" s="45"/>
      <c r="N47" s="45"/>
      <c r="O47" s="45"/>
      <c r="P47" s="106" t="s">
        <v>106</v>
      </c>
      <c r="Q47" s="126" t="s">
        <v>548</v>
      </c>
      <c r="R47" s="45"/>
      <c r="S47" s="106" t="s">
        <v>145</v>
      </c>
      <c r="T47" s="130"/>
      <c r="U47" s="130"/>
      <c r="V47" s="109"/>
      <c r="W47" s="90"/>
      <c r="X47" s="130"/>
      <c r="Y47" s="129" t="str">
        <f t="shared" si="0"/>
        <v>TB_ROLE</v>
      </c>
      <c r="Z47" s="50" t="str">
        <f t="shared" si="9"/>
        <v>ROLE_NM VARCHAR(50) NOT NULL,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TB_ROLE ALTER COLUMN ROLE_NM TYPE VARCHAR(50);</v>
      </c>
      <c r="AE47" s="50" t="str">
        <f t="shared" si="5"/>
        <v>ALTER TABLE TB_ROLE ADD COLUMN ROLE_NM VARCHAR(50) NOT NULL;</v>
      </c>
      <c r="AF47" s="50" t="str">
        <f t="shared" si="6"/>
        <v>ALTER TABLE TB_ROLE DROP COLUMN ROLE_NM;</v>
      </c>
      <c r="AG47" s="50" t="str">
        <f t="shared" si="7"/>
        <v/>
      </c>
      <c r="AH47" s="50" t="str">
        <f t="shared" si="8"/>
        <v>COMMENT ON COLUMN TB_ROLE.ROLE_NM IS '권한 이름' ;</v>
      </c>
    </row>
    <row r="48" spans="1:34" ht="20" customHeight="1">
      <c r="A48" s="55">
        <v>44</v>
      </c>
      <c r="B48" s="55" t="s">
        <v>7</v>
      </c>
      <c r="C48" s="45" t="s">
        <v>8</v>
      </c>
      <c r="D48" s="10" t="s">
        <v>116</v>
      </c>
      <c r="E48" s="10" t="s">
        <v>132</v>
      </c>
      <c r="F48" s="97">
        <v>3</v>
      </c>
      <c r="G48" s="106" t="s">
        <v>144</v>
      </c>
      <c r="H48" s="106" t="s">
        <v>143</v>
      </c>
      <c r="I48" s="45"/>
      <c r="J48" s="45"/>
      <c r="K48" s="45"/>
      <c r="L48" s="45"/>
      <c r="M48" s="45"/>
      <c r="N48" s="45"/>
      <c r="O48" s="45"/>
      <c r="P48" s="106" t="s">
        <v>106</v>
      </c>
      <c r="Q48" s="126" t="s">
        <v>551</v>
      </c>
      <c r="R48" s="45"/>
      <c r="S48" s="106" t="s">
        <v>146</v>
      </c>
      <c r="T48" s="130"/>
      <c r="U48" s="130"/>
      <c r="V48" s="109"/>
      <c r="W48" s="90"/>
      <c r="X48" s="130"/>
      <c r="Y48" s="129" t="str">
        <f t="shared" si="0"/>
        <v>TB_ROLE</v>
      </c>
      <c r="Z48" s="50" t="str">
        <f t="shared" si="9"/>
        <v>ROLE_DC VARCHAR(500),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TB_ROLE ALTER COLUMN ROLE_DC TYPE VARCHAR(500);</v>
      </c>
      <c r="AE48" s="50" t="str">
        <f t="shared" si="5"/>
        <v>ALTER TABLE TB_ROLE ADD COLUMN ROLE_DC VARCHAR(500);</v>
      </c>
      <c r="AF48" s="50" t="str">
        <f t="shared" si="6"/>
        <v>ALTER TABLE TB_ROLE DROP COLUMN ROLE_DC;</v>
      </c>
      <c r="AG48" s="50" t="str">
        <f t="shared" si="7"/>
        <v/>
      </c>
      <c r="AH48" s="50" t="str">
        <f t="shared" si="8"/>
        <v>COMMENT ON COLUMN TB_ROLE.ROLE_DC IS '권한 설명' ;</v>
      </c>
    </row>
    <row r="49" spans="1:34" ht="20" customHeight="1">
      <c r="A49" s="55">
        <v>45</v>
      </c>
      <c r="B49" s="55" t="s">
        <v>7</v>
      </c>
      <c r="C49" s="45" t="s">
        <v>8</v>
      </c>
      <c r="D49" s="10" t="s">
        <v>116</v>
      </c>
      <c r="E49" s="10" t="s">
        <v>132</v>
      </c>
      <c r="F49" s="97">
        <v>4</v>
      </c>
      <c r="G49" s="102" t="s">
        <v>107</v>
      </c>
      <c r="H49" s="51" t="s">
        <v>76</v>
      </c>
      <c r="I49" s="75" t="s">
        <v>72</v>
      </c>
      <c r="J49" s="67"/>
      <c r="K49" s="67"/>
      <c r="L49" s="82"/>
      <c r="M49" s="82"/>
      <c r="N49" s="82"/>
      <c r="O49" s="82"/>
      <c r="P49" s="105" t="s">
        <v>543</v>
      </c>
      <c r="Q49" s="126" t="s">
        <v>548</v>
      </c>
      <c r="R49" s="85"/>
      <c r="S49" s="112" t="s">
        <v>219</v>
      </c>
      <c r="T49" s="130"/>
      <c r="U49" s="130"/>
      <c r="V49" s="123" t="s">
        <v>518</v>
      </c>
      <c r="W49" s="90"/>
      <c r="X49" s="130"/>
      <c r="Y49" s="129" t="str">
        <f t="shared" si="0"/>
        <v>TB_ROLE</v>
      </c>
      <c r="Z49" s="50" t="str">
        <f t="shared" si="9"/>
        <v>REGISTER_ID VARCHAR(50)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TB_ROLE ALTER COLUMN REGISTER_ID TYPE VARCHAR(50);</v>
      </c>
      <c r="AE49" s="50" t="str">
        <f t="shared" si="5"/>
        <v>ALTER TABLE TB_ROLE ADD COLUMN REGISTER_ID VARCHAR(50) NOT NULL;</v>
      </c>
      <c r="AF49" s="50" t="str">
        <f t="shared" si="6"/>
        <v>ALTER TABLE TB_ROLE DROP COLUMN REGISTER_ID;</v>
      </c>
      <c r="AG49" s="50" t="str">
        <f t="shared" si="7"/>
        <v/>
      </c>
      <c r="AH49" s="50" t="str">
        <f t="shared" si="8"/>
        <v>COMMENT ON COLUMN TB_ROLE.REGISTER_ID IS '등록자 ID' ;</v>
      </c>
    </row>
    <row r="50" spans="1:34" ht="20" customHeight="1">
      <c r="A50" s="55">
        <v>46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5</v>
      </c>
      <c r="G50" s="102" t="s">
        <v>91</v>
      </c>
      <c r="H50" s="51" t="s">
        <v>77</v>
      </c>
      <c r="I50" s="75" t="s">
        <v>72</v>
      </c>
      <c r="J50" s="52"/>
      <c r="K50" s="52"/>
      <c r="L50" s="52"/>
      <c r="M50" s="52"/>
      <c r="N50" s="52"/>
      <c r="O50" s="52"/>
      <c r="P50" s="56" t="s">
        <v>106</v>
      </c>
      <c r="Q50" s="126" t="s">
        <v>549</v>
      </c>
      <c r="R50" s="85"/>
      <c r="S50" s="112" t="s">
        <v>218</v>
      </c>
      <c r="T50" s="130"/>
      <c r="U50" s="130"/>
      <c r="V50" s="109"/>
      <c r="W50" s="90"/>
      <c r="X50" s="130"/>
      <c r="Y50" s="129" t="str">
        <f t="shared" si="0"/>
        <v>TB_ROLE</v>
      </c>
      <c r="Z50" s="50" t="str">
        <f t="shared" si="9"/>
        <v>REGISTER_IP VARCHAR(100) NOT NULL,</v>
      </c>
      <c r="AA50" s="50" t="str">
        <f t="shared" si="1"/>
        <v/>
      </c>
      <c r="AB50" s="50" t="str">
        <f t="shared" si="2"/>
        <v/>
      </c>
      <c r="AC50" s="50" t="str">
        <f t="shared" si="3"/>
        <v/>
      </c>
      <c r="AD50" s="50" t="str">
        <f t="shared" si="4"/>
        <v>ALTER TABLE TB_ROLE ALTER COLUMN REGISTER_IP TYPE VARCHAR(100);</v>
      </c>
      <c r="AE50" s="50" t="str">
        <f t="shared" si="5"/>
        <v>ALTER TABLE TB_ROLE ADD COLUMN REGISTER_IP VARCHAR(100) NOT NULL;</v>
      </c>
      <c r="AF50" s="50" t="str">
        <f t="shared" si="6"/>
        <v>ALTER TABLE TB_ROLE DROP COLUMN REGISTER_IP;</v>
      </c>
      <c r="AG50" s="50" t="str">
        <f t="shared" si="7"/>
        <v/>
      </c>
      <c r="AH50" s="50" t="str">
        <f t="shared" si="8"/>
        <v>COMMENT ON COLUMN TB_ROLE.REGISTER_IP IS '등록자 IP' ;</v>
      </c>
    </row>
    <row r="51" spans="1:34" ht="20" customHeight="1">
      <c r="A51" s="55">
        <v>47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6</v>
      </c>
      <c r="G51" s="102" t="s">
        <v>92</v>
      </c>
      <c r="H51" s="101" t="s">
        <v>78</v>
      </c>
      <c r="I51" s="75" t="s">
        <v>72</v>
      </c>
      <c r="J51" s="52"/>
      <c r="K51" s="52"/>
      <c r="L51" s="52"/>
      <c r="M51" s="52"/>
      <c r="N51" s="52"/>
      <c r="O51" s="52"/>
      <c r="P51" s="51" t="s">
        <v>732</v>
      </c>
      <c r="Q51" s="126"/>
      <c r="R51" s="85"/>
      <c r="S51" s="112" t="s">
        <v>217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9"/>
        <v>REG_DT TIMESTAMP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REG_DT TYPE TIMESTAMP;</v>
      </c>
      <c r="AE51" s="50" t="str">
        <f t="shared" si="5"/>
        <v>ALTER TABLE TB_ROLE ADD COLUMN REG_DT TIMESTAMP NOT NULL;</v>
      </c>
      <c r="AF51" s="50" t="str">
        <f t="shared" si="6"/>
        <v>ALTER TABLE TB_ROLE DROP COLUMN REG_DT;</v>
      </c>
      <c r="AG51" s="50" t="str">
        <f t="shared" si="7"/>
        <v/>
      </c>
      <c r="AH51" s="50" t="str">
        <f t="shared" si="8"/>
        <v>COMMENT ON COLUMN TB_ROLE.REG_DT IS '등록 일시' ;</v>
      </c>
    </row>
    <row r="52" spans="1:34" ht="20" customHeight="1">
      <c r="A52" s="55">
        <v>48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7</v>
      </c>
      <c r="G52" s="102" t="s">
        <v>93</v>
      </c>
      <c r="H52" s="101" t="s">
        <v>80</v>
      </c>
      <c r="I52" s="52"/>
      <c r="J52" s="52"/>
      <c r="K52" s="52"/>
      <c r="L52" s="84"/>
      <c r="M52" s="84"/>
      <c r="N52" s="84"/>
      <c r="O52" s="84"/>
      <c r="P52" s="105" t="s">
        <v>543</v>
      </c>
      <c r="Q52" s="126" t="s">
        <v>548</v>
      </c>
      <c r="R52" s="85"/>
      <c r="S52" s="112" t="s">
        <v>216</v>
      </c>
      <c r="T52" s="130"/>
      <c r="U52" s="130"/>
      <c r="V52" s="123" t="s">
        <v>518</v>
      </c>
      <c r="W52" s="90"/>
      <c r="X52" s="130"/>
      <c r="Y52" s="129" t="str">
        <f t="shared" si="0"/>
        <v>TB_ROLE</v>
      </c>
      <c r="Z52" s="50" t="str">
        <f t="shared" si="9"/>
        <v>UPDUSR_ID VARCHAR(50),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UPDUSR_ID TYPE VARCHAR(50);</v>
      </c>
      <c r="AE52" s="50" t="str">
        <f t="shared" si="5"/>
        <v>ALTER TABLE TB_ROLE ADD COLUMN UPDUSR_ID VARCHAR(50);</v>
      </c>
      <c r="AF52" s="50" t="str">
        <f t="shared" si="6"/>
        <v>ALTER TABLE TB_ROLE DROP COLUMN UPDUSR_ID;</v>
      </c>
      <c r="AG52" s="50" t="str">
        <f t="shared" si="7"/>
        <v/>
      </c>
      <c r="AH52" s="50" t="str">
        <f t="shared" si="8"/>
        <v>COMMENT ON COLUMN TB_ROLE.UPDUSR_ID IS '수정자 ID' ;</v>
      </c>
    </row>
    <row r="53" spans="1:34" ht="20" customHeight="1">
      <c r="A53" s="55">
        <v>49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8</v>
      </c>
      <c r="G53" s="102" t="s">
        <v>94</v>
      </c>
      <c r="H53" s="101" t="s">
        <v>79</v>
      </c>
      <c r="I53" s="52"/>
      <c r="J53" s="52"/>
      <c r="K53" s="52"/>
      <c r="L53" s="52"/>
      <c r="M53" s="52"/>
      <c r="N53" s="52"/>
      <c r="O53" s="52"/>
      <c r="P53" s="56" t="s">
        <v>106</v>
      </c>
      <c r="Q53" s="126" t="s">
        <v>549</v>
      </c>
      <c r="R53" s="85"/>
      <c r="S53" s="112" t="s">
        <v>215</v>
      </c>
      <c r="T53" s="130"/>
      <c r="U53" s="130"/>
      <c r="V53" s="109"/>
      <c r="W53" s="90"/>
      <c r="X53" s="130"/>
      <c r="Y53" s="129" t="str">
        <f t="shared" si="0"/>
        <v>TB_ROLE</v>
      </c>
      <c r="Z53" s="50" t="str">
        <f t="shared" si="9"/>
        <v>UPDUSR_IP VARCHAR(100),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UPDUSR_IP TYPE VARCHAR(100);</v>
      </c>
      <c r="AE53" s="50" t="str">
        <f t="shared" si="5"/>
        <v>ALTER TABLE TB_ROLE ADD COLUMN UPDUSR_IP VARCHAR(100);</v>
      </c>
      <c r="AF53" s="50" t="str">
        <f t="shared" si="6"/>
        <v>ALTER TABLE TB_ROLE DROP COLUMN UPDUSR_IP;</v>
      </c>
      <c r="AG53" s="50" t="str">
        <f t="shared" si="7"/>
        <v/>
      </c>
      <c r="AH53" s="50" t="str">
        <f t="shared" si="8"/>
        <v>COMMENT ON COLUMN TB_ROLE.UPDUSR_IP IS '수정자 IP' ;</v>
      </c>
    </row>
    <row r="54" spans="1:34" ht="20" customHeight="1">
      <c r="A54" s="55">
        <v>50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9</v>
      </c>
      <c r="G54" s="103" t="s">
        <v>95</v>
      </c>
      <c r="H54" s="102" t="s">
        <v>81</v>
      </c>
      <c r="I54" s="61"/>
      <c r="J54" s="61"/>
      <c r="K54" s="61"/>
      <c r="L54" s="61"/>
      <c r="M54" s="61"/>
      <c r="N54" s="61"/>
      <c r="O54" s="61"/>
      <c r="P54" s="51" t="s">
        <v>732</v>
      </c>
      <c r="Q54" s="126"/>
      <c r="R54" s="82"/>
      <c r="S54" s="112" t="s">
        <v>214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9"/>
        <v>UPDT_DT TIMESTAMP,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UPDT_DT TYPE TIMESTAMP;</v>
      </c>
      <c r="AE54" s="50" t="str">
        <f t="shared" si="5"/>
        <v>ALTER TABLE TB_ROLE ADD COLUMN UPDT_DT TIMESTAMP;</v>
      </c>
      <c r="AF54" s="50" t="str">
        <f t="shared" si="6"/>
        <v>ALTER TABLE TB_ROLE DROP COLUMN UPDT_DT;</v>
      </c>
      <c r="AG54" s="50" t="str">
        <f t="shared" si="7"/>
        <v/>
      </c>
      <c r="AH54" s="50" t="str">
        <f t="shared" si="8"/>
        <v>COMMENT ON COLUMN TB_ROLE.UPDT_DT IS '수정 일시' ;</v>
      </c>
    </row>
    <row r="55" spans="1:34" ht="20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10</v>
      </c>
      <c r="G55" s="102" t="s">
        <v>96</v>
      </c>
      <c r="H55" s="102" t="s">
        <v>82</v>
      </c>
      <c r="I55" s="75" t="s">
        <v>72</v>
      </c>
      <c r="J55" s="61"/>
      <c r="K55" s="61"/>
      <c r="L55" s="61"/>
      <c r="M55" s="61"/>
      <c r="N55" s="61"/>
      <c r="O55" s="61"/>
      <c r="P55" s="51" t="s">
        <v>106</v>
      </c>
      <c r="Q55" s="126" t="s">
        <v>544</v>
      </c>
      <c r="R55" s="87" t="s">
        <v>592</v>
      </c>
      <c r="S55" s="112" t="s">
        <v>213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9"/>
        <v>DEL_YN VARCHAR(1)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DEL_YN TYPE VARCHAR(1);</v>
      </c>
      <c r="AE55" s="50" t="str">
        <f t="shared" si="5"/>
        <v>ALTER TABLE TB_ROLE ADD COLUMN DEL_YN VARCHAR(1) NOT NULL DEFAULT ''N'';</v>
      </c>
      <c r="AF55" s="50" t="str">
        <f t="shared" si="6"/>
        <v>ALTER TABLE TB_ROLE DROP COLUMN DEL_YN;</v>
      </c>
      <c r="AG55" s="50" t="str">
        <f t="shared" si="7"/>
        <v>ALTER TABLE TB_ROLE ALTER COLUMN DEL_YN SET DEFAULT 'N';</v>
      </c>
      <c r="AH55" s="50" t="str">
        <f t="shared" si="8"/>
        <v>COMMENT ON COLUMN TB_ROLE.DEL_YN IS '삭제 여부' ;</v>
      </c>
    </row>
    <row r="56" spans="1:34" ht="20" customHeight="1">
      <c r="A56" s="55">
        <v>52</v>
      </c>
      <c r="B56" s="55" t="s">
        <v>7</v>
      </c>
      <c r="C56" s="45" t="s">
        <v>8</v>
      </c>
      <c r="D56" s="13" t="s">
        <v>117</v>
      </c>
      <c r="E56" s="13" t="s">
        <v>133</v>
      </c>
      <c r="F56" s="97">
        <v>1</v>
      </c>
      <c r="G56" s="106" t="s">
        <v>147</v>
      </c>
      <c r="H56" s="106" t="s">
        <v>148</v>
      </c>
      <c r="I56" s="75" t="s">
        <v>72</v>
      </c>
      <c r="J56" s="45">
        <v>1</v>
      </c>
      <c r="K56" s="45"/>
      <c r="L56" s="45"/>
      <c r="M56" s="45"/>
      <c r="N56" s="45"/>
      <c r="O56" s="45"/>
      <c r="P56" s="106" t="s">
        <v>172</v>
      </c>
      <c r="Q56" s="97"/>
      <c r="R56" s="45"/>
      <c r="S56" s="106" t="s">
        <v>150</v>
      </c>
      <c r="T56" s="132" t="str">
        <f>"SEQ_"&amp;D56&amp;"_SN"</f>
        <v>SEQ_TB_USER_ROLE_SN</v>
      </c>
      <c r="U56" s="132"/>
      <c r="V56" s="109"/>
      <c r="W56" s="90"/>
      <c r="X56" s="130"/>
      <c r="Y56" s="129" t="str">
        <f t="shared" si="0"/>
        <v>TB_USER_ROLE</v>
      </c>
      <c r="Z56" s="50" t="str">
        <f t="shared" si="9"/>
        <v>USER_ROLE_SN INTEGER PRIMARY KEY,</v>
      </c>
      <c r="AA56" s="50" t="str">
        <f t="shared" si="1"/>
        <v/>
      </c>
      <c r="AB56" s="50" t="str">
        <f t="shared" si="2"/>
        <v>CREATE SEQUENCE SEQ_TB_USER_ROLE_SN START 100000;</v>
      </c>
      <c r="AC56" s="50" t="str">
        <f t="shared" si="3"/>
        <v>ALTER TABLE TB_USER_ROLE ALTER COLUMN USER_ROLE_SN SET DEFAULT NEXTVAL('SEQ_TB_USER_ROLE_SN');</v>
      </c>
      <c r="AD56" s="50" t="str">
        <f t="shared" si="4"/>
        <v>ALTER TABLE TB_USER_ROLE ALTER COLUMN USER_ROLE_SN TYPE INTEGER;</v>
      </c>
      <c r="AE56" s="50" t="str">
        <f t="shared" si="5"/>
        <v>ALTER TABLE TB_USER_ROLE ADD COLUMN USER_ROLE_SN INTEGER NOT NULL;</v>
      </c>
      <c r="AF56" s="50" t="str">
        <f t="shared" si="6"/>
        <v>ALTER TABLE TB_USER_ROLE DROP COLUMN USER_ROLE_SN;</v>
      </c>
      <c r="AG56" s="50" t="str">
        <f t="shared" si="7"/>
        <v/>
      </c>
      <c r="AH56" s="50" t="str">
        <f t="shared" si="8"/>
        <v>COMMENT ON COLUMN TB_USER_ROLE.USER_ROLE_SN IS '사용자 권한 일련번호' ;</v>
      </c>
    </row>
    <row r="57" spans="1:34" ht="20" customHeight="1">
      <c r="A57" s="55">
        <v>53</v>
      </c>
      <c r="B57" s="55" t="s">
        <v>7</v>
      </c>
      <c r="C57" s="45" t="s">
        <v>8</v>
      </c>
      <c r="D57" s="13" t="s">
        <v>117</v>
      </c>
      <c r="E57" s="13" t="s">
        <v>133</v>
      </c>
      <c r="F57" s="97">
        <v>2</v>
      </c>
      <c r="G57" s="100" t="s">
        <v>744</v>
      </c>
      <c r="H57" s="100" t="s">
        <v>745</v>
      </c>
      <c r="I57" s="75" t="s">
        <v>72</v>
      </c>
      <c r="J57" s="45"/>
      <c r="K57" s="45">
        <v>1</v>
      </c>
      <c r="L57" s="83" t="s">
        <v>9</v>
      </c>
      <c r="M57" s="100" t="s">
        <v>744</v>
      </c>
      <c r="N57" s="100" t="s">
        <v>562</v>
      </c>
      <c r="O57" s="100" t="s">
        <v>564</v>
      </c>
      <c r="P57" s="105" t="s">
        <v>172</v>
      </c>
      <c r="Q57" s="126"/>
      <c r="R57" s="86"/>
      <c r="S57" s="112" t="s">
        <v>109</v>
      </c>
      <c r="T57" s="130"/>
      <c r="U57" s="130"/>
      <c r="V57" s="123"/>
      <c r="W57" s="90"/>
      <c r="X57" s="130"/>
      <c r="Y57" s="129" t="str">
        <f t="shared" si="0"/>
        <v>TB_USER_ROLE</v>
      </c>
      <c r="Z57" s="50" t="str">
        <f t="shared" si="9"/>
        <v>USER_SN INTEGER NOT NULL,</v>
      </c>
      <c r="AA57" s="50" t="str">
        <f t="shared" si="1"/>
        <v>ALTER TABLE TB_USER_ROLE ADD CONSTRAINT TB_USER_ROLE_FKEY1 FOREIGN KEY(USER_SN) REFERENCES TB_USER(USER_SN) ON UPDATE CASCADE ON DELETE CASCADE;</v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TB_USER_ROLE ALTER COLUMN USER_SN TYPE INTEGER;</v>
      </c>
      <c r="AE57" s="50" t="str">
        <f t="shared" si="5"/>
        <v>ALTER TABLE TB_USER_ROLE ADD COLUMN USER_SN INTEGER NOT NULL;</v>
      </c>
      <c r="AF57" s="50" t="str">
        <f t="shared" si="6"/>
        <v>ALTER TABLE TB_USER_ROLE DROP COLUMN USER_SN;</v>
      </c>
      <c r="AG57" s="50" t="str">
        <f t="shared" si="7"/>
        <v/>
      </c>
      <c r="AH57" s="50" t="str">
        <f t="shared" si="8"/>
        <v>COMMENT ON COLUMN TB_USER_ROLE.USER_SN IS '사용자 일련번호' ;</v>
      </c>
    </row>
    <row r="58" spans="1:34" ht="20" customHeight="1">
      <c r="A58" s="55">
        <v>54</v>
      </c>
      <c r="B58" s="55" t="s">
        <v>7</v>
      </c>
      <c r="C58" s="45" t="s">
        <v>8</v>
      </c>
      <c r="D58" s="13" t="s">
        <v>117</v>
      </c>
      <c r="E58" s="13" t="s">
        <v>133</v>
      </c>
      <c r="F58" s="97">
        <v>3</v>
      </c>
      <c r="G58" s="106" t="s">
        <v>136</v>
      </c>
      <c r="H58" s="106" t="s">
        <v>149</v>
      </c>
      <c r="I58" s="75" t="s">
        <v>72</v>
      </c>
      <c r="J58" s="45"/>
      <c r="K58" s="45">
        <v>2</v>
      </c>
      <c r="L58" s="10" t="s">
        <v>116</v>
      </c>
      <c r="M58" s="106" t="s">
        <v>136</v>
      </c>
      <c r="N58" s="100" t="s">
        <v>562</v>
      </c>
      <c r="O58" s="100" t="s">
        <v>564</v>
      </c>
      <c r="P58" s="106" t="s">
        <v>172</v>
      </c>
      <c r="Q58" s="97"/>
      <c r="R58" s="45"/>
      <c r="S58" s="106" t="s">
        <v>137</v>
      </c>
      <c r="T58" s="130"/>
      <c r="U58" s="130"/>
      <c r="V58" s="109"/>
      <c r="W58" s="90"/>
      <c r="X58" s="130"/>
      <c r="Y58" s="129" t="str">
        <f t="shared" si="0"/>
        <v>TB_USER_ROLE</v>
      </c>
      <c r="Z58" s="50" t="str">
        <f t="shared" si="9"/>
        <v>ROLE_SN INTEGER NOT NULL,</v>
      </c>
      <c r="AA58" s="50" t="str">
        <f t="shared" si="1"/>
        <v>ALTER TABLE TB_USER_ROLE ADD CONSTRAINT TB_USER_ROLE_FKEY2 FOREIGN KEY(ROLE_SN) REFERENCES TB_ROLE(ROLE_SN) ON UPDATE CASCADE ON DELETE CASCADE;</v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TB_USER_ROLE ALTER COLUMN ROLE_SN TYPE INTEGER;</v>
      </c>
      <c r="AE58" s="50" t="str">
        <f t="shared" si="5"/>
        <v>ALTER TABLE TB_USER_ROLE ADD COLUMN ROLE_SN INTEGER NOT NULL;</v>
      </c>
      <c r="AF58" s="50" t="str">
        <f t="shared" si="6"/>
        <v>ALTER TABLE TB_USER_ROLE DROP COLUMN ROLE_SN;</v>
      </c>
      <c r="AG58" s="50" t="str">
        <f t="shared" si="7"/>
        <v/>
      </c>
      <c r="AH58" s="50" t="str">
        <f t="shared" si="8"/>
        <v>COMMENT ON COLUMN TB_USER_ROLE.ROLE_SN IS '권한 일련번호' ;</v>
      </c>
    </row>
    <row r="59" spans="1:34" ht="20" customHeight="1">
      <c r="A59" s="55">
        <v>55</v>
      </c>
      <c r="B59" s="55" t="s">
        <v>7</v>
      </c>
      <c r="C59" s="45" t="s">
        <v>8</v>
      </c>
      <c r="D59" s="13" t="s">
        <v>117</v>
      </c>
      <c r="E59" s="13" t="s">
        <v>133</v>
      </c>
      <c r="F59" s="97">
        <v>4</v>
      </c>
      <c r="G59" s="102" t="s">
        <v>107</v>
      </c>
      <c r="H59" s="51" t="s">
        <v>76</v>
      </c>
      <c r="I59" s="75" t="s">
        <v>72</v>
      </c>
      <c r="J59" s="67"/>
      <c r="K59" s="67"/>
      <c r="L59" s="82"/>
      <c r="M59" s="82"/>
      <c r="N59" s="82"/>
      <c r="O59" s="82"/>
      <c r="P59" s="105" t="s">
        <v>543</v>
      </c>
      <c r="Q59" s="126" t="s">
        <v>548</v>
      </c>
      <c r="R59" s="85"/>
      <c r="S59" s="112" t="s">
        <v>219</v>
      </c>
      <c r="T59" s="130"/>
      <c r="U59" s="130"/>
      <c r="V59" s="123" t="s">
        <v>518</v>
      </c>
      <c r="W59" s="90"/>
      <c r="X59" s="130"/>
      <c r="Y59" s="129" t="str">
        <f t="shared" si="0"/>
        <v>TB_USER_ROLE</v>
      </c>
      <c r="Z59" s="50" t="str">
        <f t="shared" si="9"/>
        <v>REGISTER_ID VARCHAR(50)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TB_USER_ROLE ALTER COLUMN REGISTER_ID TYPE VARCHAR(50);</v>
      </c>
      <c r="AE59" s="50" t="str">
        <f t="shared" si="5"/>
        <v>ALTER TABLE TB_USER_ROLE ADD COLUMN REGISTER_ID VARCHAR(50) NOT NULL;</v>
      </c>
      <c r="AF59" s="50" t="str">
        <f t="shared" si="6"/>
        <v>ALTER TABLE TB_USER_ROLE DROP COLUMN REGISTER_ID;</v>
      </c>
      <c r="AG59" s="50" t="str">
        <f t="shared" si="7"/>
        <v/>
      </c>
      <c r="AH59" s="50" t="str">
        <f t="shared" si="8"/>
        <v>COMMENT ON COLUMN TB_USER_ROLE.REGISTER_ID IS '등록자 ID' ;</v>
      </c>
    </row>
    <row r="60" spans="1:34" ht="20" customHeight="1">
      <c r="A60" s="55">
        <v>56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5</v>
      </c>
      <c r="G60" s="102" t="s">
        <v>91</v>
      </c>
      <c r="H60" s="51" t="s">
        <v>77</v>
      </c>
      <c r="I60" s="75" t="s">
        <v>72</v>
      </c>
      <c r="J60" s="52"/>
      <c r="K60" s="52"/>
      <c r="L60" s="52"/>
      <c r="M60" s="52"/>
      <c r="N60" s="52"/>
      <c r="O60" s="52"/>
      <c r="P60" s="56" t="s">
        <v>106</v>
      </c>
      <c r="Q60" s="126" t="s">
        <v>549</v>
      </c>
      <c r="R60" s="85"/>
      <c r="S60" s="112" t="s">
        <v>218</v>
      </c>
      <c r="T60" s="130"/>
      <c r="U60" s="130"/>
      <c r="V60" s="109"/>
      <c r="W60" s="90"/>
      <c r="X60" s="130"/>
      <c r="Y60" s="129" t="str">
        <f t="shared" si="0"/>
        <v>TB_USER_ROLE</v>
      </c>
      <c r="Z60" s="50" t="str">
        <f t="shared" si="9"/>
        <v>REGISTER_IP VARCHAR(100) NOT NULL,</v>
      </c>
      <c r="AA60" s="50" t="str">
        <f t="shared" si="1"/>
        <v/>
      </c>
      <c r="AB60" s="50" t="str">
        <f t="shared" si="2"/>
        <v/>
      </c>
      <c r="AC60" s="50" t="str">
        <f t="shared" si="3"/>
        <v/>
      </c>
      <c r="AD60" s="50" t="str">
        <f t="shared" si="4"/>
        <v>ALTER TABLE TB_USER_ROLE ALTER COLUMN REGISTER_IP TYPE VARCHAR(100);</v>
      </c>
      <c r="AE60" s="50" t="str">
        <f t="shared" si="5"/>
        <v>ALTER TABLE TB_USER_ROLE ADD COLUMN REGISTER_IP VARCHAR(100) NOT NULL;</v>
      </c>
      <c r="AF60" s="50" t="str">
        <f t="shared" si="6"/>
        <v>ALTER TABLE TB_USER_ROLE DROP COLUMN REGISTER_IP;</v>
      </c>
      <c r="AG60" s="50" t="str">
        <f t="shared" si="7"/>
        <v/>
      </c>
      <c r="AH60" s="50" t="str">
        <f t="shared" si="8"/>
        <v>COMMENT ON COLUMN TB_USER_ROLE.REGISTER_IP IS '등록자 IP' ;</v>
      </c>
    </row>
    <row r="61" spans="1:34" ht="20" customHeight="1">
      <c r="A61" s="55">
        <v>57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6</v>
      </c>
      <c r="G61" s="102" t="s">
        <v>92</v>
      </c>
      <c r="H61" s="101" t="s">
        <v>78</v>
      </c>
      <c r="I61" s="75" t="s">
        <v>72</v>
      </c>
      <c r="J61" s="52"/>
      <c r="K61" s="52"/>
      <c r="L61" s="52"/>
      <c r="M61" s="52"/>
      <c r="N61" s="52"/>
      <c r="O61" s="52"/>
      <c r="P61" s="51" t="s">
        <v>732</v>
      </c>
      <c r="Q61" s="126"/>
      <c r="R61" s="85"/>
      <c r="S61" s="112" t="s">
        <v>217</v>
      </c>
      <c r="T61" s="130"/>
      <c r="U61" s="130"/>
      <c r="V61" s="109"/>
      <c r="W61" s="90"/>
      <c r="X61" s="130"/>
      <c r="Y61" s="129" t="str">
        <f t="shared" si="0"/>
        <v>TB_USER_ROLE</v>
      </c>
      <c r="Z61" s="50" t="str">
        <f t="shared" si="9"/>
        <v>REG_DT TIMESTAMP NOT NULL,</v>
      </c>
      <c r="AA61" s="50" t="str">
        <f t="shared" si="1"/>
        <v/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REG_DT TYPE TIMESTAMP;</v>
      </c>
      <c r="AE61" s="50" t="str">
        <f t="shared" si="5"/>
        <v>ALTER TABLE TB_USER_ROLE ADD COLUMN REG_DT TIMESTAMP NOT NULL;</v>
      </c>
      <c r="AF61" s="50" t="str">
        <f t="shared" si="6"/>
        <v>ALTER TABLE TB_USER_ROLE DROP COLUMN REG_DT;</v>
      </c>
      <c r="AG61" s="50" t="str">
        <f t="shared" si="7"/>
        <v/>
      </c>
      <c r="AH61" s="50" t="str">
        <f t="shared" si="8"/>
        <v>COMMENT ON COLUMN TB_USER_ROLE.REG_DT IS '등록 일시' ;</v>
      </c>
    </row>
    <row r="62" spans="1:34" ht="20" customHeight="1">
      <c r="A62" s="55">
        <v>58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7</v>
      </c>
      <c r="G62" s="102" t="s">
        <v>93</v>
      </c>
      <c r="H62" s="101" t="s">
        <v>80</v>
      </c>
      <c r="I62" s="52"/>
      <c r="J62" s="52"/>
      <c r="K62" s="52"/>
      <c r="L62" s="84"/>
      <c r="M62" s="84"/>
      <c r="N62" s="84"/>
      <c r="O62" s="84"/>
      <c r="P62" s="105" t="s">
        <v>543</v>
      </c>
      <c r="Q62" s="126" t="s">
        <v>548</v>
      </c>
      <c r="R62" s="85"/>
      <c r="S62" s="112" t="s">
        <v>216</v>
      </c>
      <c r="T62" s="130"/>
      <c r="U62" s="130"/>
      <c r="V62" s="123" t="s">
        <v>518</v>
      </c>
      <c r="W62" s="90"/>
      <c r="X62" s="130"/>
      <c r="Y62" s="129" t="str">
        <f t="shared" si="0"/>
        <v>TB_USER_ROLE</v>
      </c>
      <c r="Z62" s="50" t="str">
        <f t="shared" si="9"/>
        <v>UPDUSR_ID VARCHAR(50),</v>
      </c>
      <c r="AA62" s="50" t="str">
        <f t="shared" si="1"/>
        <v/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UPDUSR_ID TYPE VARCHAR(50);</v>
      </c>
      <c r="AE62" s="50" t="str">
        <f t="shared" si="5"/>
        <v>ALTER TABLE TB_USER_ROLE ADD COLUMN UPDUSR_ID VARCHAR(50);</v>
      </c>
      <c r="AF62" s="50" t="str">
        <f t="shared" si="6"/>
        <v>ALTER TABLE TB_USER_ROLE DROP COLUMN UPDUSR_ID;</v>
      </c>
      <c r="AG62" s="50" t="str">
        <f t="shared" si="7"/>
        <v/>
      </c>
      <c r="AH62" s="50" t="str">
        <f t="shared" si="8"/>
        <v>COMMENT ON COLUMN TB_USER_ROLE.UPDUSR_ID IS '수정자 ID' ;</v>
      </c>
    </row>
    <row r="63" spans="1:34" ht="20" customHeight="1">
      <c r="A63" s="55">
        <v>59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8</v>
      </c>
      <c r="G63" s="102" t="s">
        <v>94</v>
      </c>
      <c r="H63" s="101" t="s">
        <v>79</v>
      </c>
      <c r="I63" s="52"/>
      <c r="J63" s="52"/>
      <c r="K63" s="52"/>
      <c r="L63" s="52"/>
      <c r="M63" s="52"/>
      <c r="N63" s="52"/>
      <c r="O63" s="52"/>
      <c r="P63" s="56" t="s">
        <v>106</v>
      </c>
      <c r="Q63" s="126" t="s">
        <v>549</v>
      </c>
      <c r="R63" s="85"/>
      <c r="S63" s="112" t="s">
        <v>215</v>
      </c>
      <c r="T63" s="130"/>
      <c r="U63" s="130"/>
      <c r="V63" s="109"/>
      <c r="W63" s="90"/>
      <c r="X63" s="130"/>
      <c r="Y63" s="129" t="str">
        <f t="shared" si="0"/>
        <v>TB_USER_ROLE</v>
      </c>
      <c r="Z63" s="50" t="str">
        <f t="shared" si="9"/>
        <v>UPDUSR_IP VARCHAR(100),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UPDUSR_IP TYPE VARCHAR(100);</v>
      </c>
      <c r="AE63" s="50" t="str">
        <f t="shared" si="5"/>
        <v>ALTER TABLE TB_USER_ROLE ADD COLUMN UPDUSR_IP VARCHAR(100);</v>
      </c>
      <c r="AF63" s="50" t="str">
        <f t="shared" si="6"/>
        <v>ALTER TABLE TB_USER_ROLE DROP COLUMN UPDUSR_IP;</v>
      </c>
      <c r="AG63" s="50" t="str">
        <f t="shared" si="7"/>
        <v/>
      </c>
      <c r="AH63" s="50" t="str">
        <f t="shared" si="8"/>
        <v>COMMENT ON COLUMN TB_USER_ROLE.UPDUSR_IP IS '수정자 IP' ;</v>
      </c>
    </row>
    <row r="64" spans="1:34" ht="20" customHeight="1">
      <c r="A64" s="55">
        <v>60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9</v>
      </c>
      <c r="G64" s="103" t="s">
        <v>95</v>
      </c>
      <c r="H64" s="102" t="s">
        <v>81</v>
      </c>
      <c r="I64" s="61"/>
      <c r="J64" s="61"/>
      <c r="K64" s="61"/>
      <c r="L64" s="61"/>
      <c r="M64" s="61"/>
      <c r="N64" s="61"/>
      <c r="O64" s="61"/>
      <c r="P64" s="51" t="s">
        <v>732</v>
      </c>
      <c r="Q64" s="126"/>
      <c r="R64" s="82"/>
      <c r="S64" s="112" t="s">
        <v>214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9"/>
        <v>UPDT_DT TIMESTAMP,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UPDT_DT TYPE TIMESTAMP;</v>
      </c>
      <c r="AE64" s="50" t="str">
        <f t="shared" si="5"/>
        <v>ALTER TABLE TB_USER_ROLE ADD COLUMN UPDT_DT TIMESTAMP;</v>
      </c>
      <c r="AF64" s="50" t="str">
        <f t="shared" si="6"/>
        <v>ALTER TABLE TB_USER_ROLE DROP COLUMN UPDT_DT;</v>
      </c>
      <c r="AG64" s="50" t="str">
        <f t="shared" si="7"/>
        <v/>
      </c>
      <c r="AH64" s="50" t="str">
        <f t="shared" si="8"/>
        <v>COMMENT ON COLUMN TB_USER_ROLE.UPDT_DT IS '수정 일시' ;</v>
      </c>
    </row>
    <row r="65" spans="1:34" ht="20" customHeight="1">
      <c r="A65" s="5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10</v>
      </c>
      <c r="G65" s="102" t="s">
        <v>96</v>
      </c>
      <c r="H65" s="102" t="s">
        <v>82</v>
      </c>
      <c r="I65" s="75" t="s">
        <v>72</v>
      </c>
      <c r="J65" s="61"/>
      <c r="K65" s="61"/>
      <c r="L65" s="61"/>
      <c r="M65" s="61"/>
      <c r="N65" s="61"/>
      <c r="O65" s="61"/>
      <c r="P65" s="51" t="s">
        <v>106</v>
      </c>
      <c r="Q65" s="126" t="s">
        <v>544</v>
      </c>
      <c r="R65" s="87" t="s">
        <v>592</v>
      </c>
      <c r="S65" s="112" t="s">
        <v>213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9"/>
        <v>DEL_YN VARCHAR(1)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DEL_YN TYPE VARCHAR(1);</v>
      </c>
      <c r="AE65" s="50" t="str">
        <f t="shared" si="5"/>
        <v>ALTER TABLE TB_USER_ROLE ADD COLUMN DEL_YN VARCHAR(1) NOT NULL DEFAULT ''N'';</v>
      </c>
      <c r="AF65" s="50" t="str">
        <f t="shared" si="6"/>
        <v>ALTER TABLE TB_USER_ROLE DROP COLUMN DEL_YN;</v>
      </c>
      <c r="AG65" s="50" t="str">
        <f t="shared" si="7"/>
        <v>ALTER TABLE TB_USER_ROLE ALTER COLUMN DEL_YN SET DEFAULT 'N';</v>
      </c>
      <c r="AH65" s="50" t="str">
        <f t="shared" si="8"/>
        <v>COMMENT ON COLUMN TB_USER_ROLE.DEL_YN IS '삭제 여부' ;</v>
      </c>
    </row>
    <row r="66" spans="1:34" ht="20" customHeight="1">
      <c r="A66" s="55">
        <v>62</v>
      </c>
      <c r="B66" s="26" t="s">
        <v>7</v>
      </c>
      <c r="C66" s="25" t="s">
        <v>11</v>
      </c>
      <c r="D66" s="13" t="s">
        <v>22</v>
      </c>
      <c r="E66" s="13" t="s">
        <v>11</v>
      </c>
      <c r="F66" s="97">
        <v>1</v>
      </c>
      <c r="G66" s="106" t="s">
        <v>162</v>
      </c>
      <c r="H66" s="106" t="s">
        <v>180</v>
      </c>
      <c r="I66" s="75" t="s">
        <v>72</v>
      </c>
      <c r="J66" s="45">
        <v>1</v>
      </c>
      <c r="K66" s="61"/>
      <c r="L66" s="69"/>
      <c r="M66" s="69"/>
      <c r="N66" s="69"/>
      <c r="O66" s="69"/>
      <c r="P66" s="106" t="s">
        <v>172</v>
      </c>
      <c r="Q66" s="97"/>
      <c r="R66" s="45"/>
      <c r="S66" s="106" t="s">
        <v>175</v>
      </c>
      <c r="T66" s="132" t="str">
        <f>"SEQ_"&amp;D66&amp;"_SN"</f>
        <v>SEQ_TB_CLASS_SN</v>
      </c>
      <c r="U66" s="132"/>
      <c r="V66" s="109"/>
      <c r="W66" s="90"/>
      <c r="X66" s="130"/>
      <c r="Y66" s="129" t="str">
        <f t="shared" si="0"/>
        <v>TB_CLASS</v>
      </c>
      <c r="Z66" s="50" t="str">
        <f t="shared" si="9"/>
        <v>CLASS_SN INTEGER PRIMARY KEY,</v>
      </c>
      <c r="AA66" s="50" t="str">
        <f t="shared" si="1"/>
        <v/>
      </c>
      <c r="AB66" s="50" t="str">
        <f t="shared" si="2"/>
        <v>CREATE SEQUENCE SEQ_TB_CLASS_SN START 100000;</v>
      </c>
      <c r="AC66" s="50" t="str">
        <f t="shared" si="3"/>
        <v>ALTER TABLE TB_CLASS ALTER COLUMN CLASS_SN SET DEFAULT NEXTVAL('SEQ_TB_CLASS_SN');</v>
      </c>
      <c r="AD66" s="50" t="str">
        <f t="shared" si="4"/>
        <v>ALTER TABLE TB_CLASS ALTER COLUMN CLASS_SN TYPE INTEGER;</v>
      </c>
      <c r="AE66" s="50" t="str">
        <f t="shared" si="5"/>
        <v>ALTER TABLE TB_CLASS ADD COLUMN CLASS_SN INTEGER NOT NULL;</v>
      </c>
      <c r="AF66" s="50" t="str">
        <f t="shared" si="6"/>
        <v>ALTER TABLE TB_CLASS DROP COLUMN CLASS_SN;</v>
      </c>
      <c r="AG66" s="50" t="str">
        <f t="shared" si="7"/>
        <v/>
      </c>
      <c r="AH66" s="50" t="str">
        <f t="shared" si="8"/>
        <v>COMMENT ON COLUMN TB_CLASS.CLASS_SN IS '클래스 일련번호' ;</v>
      </c>
    </row>
    <row r="67" spans="1:34" ht="20" customHeight="1">
      <c r="A67" s="55">
        <v>63</v>
      </c>
      <c r="B67" s="26" t="s">
        <v>7</v>
      </c>
      <c r="C67" s="25" t="s">
        <v>11</v>
      </c>
      <c r="D67" s="13" t="s">
        <v>22</v>
      </c>
      <c r="E67" s="13" t="s">
        <v>11</v>
      </c>
      <c r="F67" s="97">
        <v>2</v>
      </c>
      <c r="G67" s="106" t="s">
        <v>785</v>
      </c>
      <c r="H67" s="106" t="s">
        <v>787</v>
      </c>
      <c r="I67" s="61"/>
      <c r="J67" s="61"/>
      <c r="K67" s="61"/>
      <c r="L67" s="69"/>
      <c r="M67" s="69"/>
      <c r="N67" s="69"/>
      <c r="O67" s="69"/>
      <c r="P67" s="106" t="s">
        <v>172</v>
      </c>
      <c r="Q67" s="126"/>
      <c r="R67" s="45"/>
      <c r="S67" s="106" t="s">
        <v>789</v>
      </c>
      <c r="T67" s="130"/>
      <c r="U67" s="130"/>
      <c r="V67" s="109" t="s">
        <v>791</v>
      </c>
      <c r="W67" s="90"/>
      <c r="X67" s="130"/>
      <c r="Y67" s="129" t="str">
        <f t="shared" ref="Y67:Y152" si="15">D67</f>
        <v>TB_CLASS</v>
      </c>
      <c r="Z67" s="50" t="str">
        <f t="shared" si="9"/>
        <v>CTGRY_SN INTEGER,</v>
      </c>
      <c r="AA67" s="50" t="str">
        <f t="shared" ref="AA67:AA152" si="16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0" t="str">
        <f t="shared" ref="AB67:AB152" si="17">IF(ISBLANK(T67),"","CREATE SEQUENCE "&amp;T67&amp;" START 100000;")</f>
        <v/>
      </c>
      <c r="AC67" s="50" t="str">
        <f t="shared" si="3"/>
        <v/>
      </c>
      <c r="AD67" s="50" t="str">
        <f t="shared" si="4"/>
        <v>ALTER TABLE TB_CLASS ALTER COLUMN CTGRY_SN TYPE INTEGER;</v>
      </c>
      <c r="AE67" s="50" t="str">
        <f t="shared" si="5"/>
        <v>ALTER TABLE TB_CLASS ADD COLUMN CTGRY_SN INTEGER;</v>
      </c>
      <c r="AF67" s="50" t="str">
        <f t="shared" si="6"/>
        <v>ALTER TABLE TB_CLASS DROP COLUMN CTGRY_SN;</v>
      </c>
      <c r="AG67" s="50" t="str">
        <f t="shared" si="7"/>
        <v/>
      </c>
      <c r="AH67" s="50" t="str">
        <f t="shared" ref="AH67:AH152" si="18">"COMMENT ON COLUMN "&amp;D67&amp;"."&amp;G67&amp;" IS '"&amp;S67&amp;"' ;"</f>
        <v>COMMENT ON COLUMN TB_CLASS.CTGRY_SN IS '카테고리 일련번호' ;</v>
      </c>
    </row>
    <row r="68" spans="1:34" ht="20" customHeight="1">
      <c r="A68" s="55">
        <v>64</v>
      </c>
      <c r="B68" s="26" t="s">
        <v>7</v>
      </c>
      <c r="C68" s="25" t="s">
        <v>11</v>
      </c>
      <c r="D68" s="13" t="s">
        <v>22</v>
      </c>
      <c r="E68" s="13" t="s">
        <v>11</v>
      </c>
      <c r="F68" s="97">
        <v>3</v>
      </c>
      <c r="G68" s="106" t="s">
        <v>786</v>
      </c>
      <c r="H68" s="106" t="s">
        <v>788</v>
      </c>
      <c r="I68" s="61"/>
      <c r="J68" s="61"/>
      <c r="K68" s="61"/>
      <c r="L68" s="69"/>
      <c r="M68" s="69"/>
      <c r="N68" s="69"/>
      <c r="O68" s="69"/>
      <c r="P68" s="106" t="s">
        <v>172</v>
      </c>
      <c r="Q68" s="126"/>
      <c r="R68" s="45"/>
      <c r="S68" s="106" t="s">
        <v>790</v>
      </c>
      <c r="T68" s="130"/>
      <c r="U68" s="130"/>
      <c r="V68" s="109" t="s">
        <v>792</v>
      </c>
      <c r="W68" s="90"/>
      <c r="X68" s="130"/>
      <c r="Y68" s="129" t="str">
        <f t="shared" si="15"/>
        <v>TB_CLASS</v>
      </c>
      <c r="Z68" s="50" t="str">
        <f t="shared" ref="Z68:Z153" si="19">G68&amp;" "&amp;P68&amp;Q68&amp;IF(ISBLANK(J68),""," PRIMARY KEY")&amp;IF(AND(ISBLANK(J68),I68="Y")," NOT NULL","")&amp;","</f>
        <v>CRSE_SN INTEGER,</v>
      </c>
      <c r="AA68" s="50" t="str">
        <f t="shared" si="16"/>
        <v/>
      </c>
      <c r="AB68" s="50" t="str">
        <f t="shared" si="17"/>
        <v/>
      </c>
      <c r="AC68" s="50" t="str">
        <f t="shared" si="3"/>
        <v/>
      </c>
      <c r="AD68" s="50" t="str">
        <f t="shared" si="4"/>
        <v>ALTER TABLE TB_CLASS ALTER COLUMN CRSE_SN TYPE INTEGER;</v>
      </c>
      <c r="AE68" s="50" t="str">
        <f t="shared" si="5"/>
        <v>ALTER TABLE TB_CLASS ADD COLUMN CRSE_SN INTEGER;</v>
      </c>
      <c r="AF68" s="50" t="str">
        <f t="shared" si="6"/>
        <v>ALTER TABLE TB_CLASS DROP COLUMN CRSE_SN;</v>
      </c>
      <c r="AG68" s="50" t="str">
        <f t="shared" si="7"/>
        <v/>
      </c>
      <c r="AH68" s="50" t="str">
        <f t="shared" si="18"/>
        <v>COMMENT ON COLUMN TB_CLASS.CRSE_SN IS '커리큘럼 일련번호' ;</v>
      </c>
    </row>
    <row r="69" spans="1:34" ht="20" customHeight="1">
      <c r="A69" s="55">
        <v>65</v>
      </c>
      <c r="B69" s="26" t="s">
        <v>7</v>
      </c>
      <c r="C69" s="25" t="s">
        <v>11</v>
      </c>
      <c r="D69" s="13" t="s">
        <v>22</v>
      </c>
      <c r="E69" s="13" t="s">
        <v>11</v>
      </c>
      <c r="F69" s="97">
        <v>4</v>
      </c>
      <c r="G69" s="106" t="s">
        <v>633</v>
      </c>
      <c r="H69" s="106" t="s">
        <v>634</v>
      </c>
      <c r="I69" s="75" t="s">
        <v>72</v>
      </c>
      <c r="J69" s="61"/>
      <c r="K69" s="61"/>
      <c r="L69" s="69"/>
      <c r="M69" s="69"/>
      <c r="N69" s="69"/>
      <c r="O69" s="69"/>
      <c r="P69" s="106" t="s">
        <v>170</v>
      </c>
      <c r="Q69" s="126" t="s">
        <v>550</v>
      </c>
      <c r="R69" s="45"/>
      <c r="S69" s="106" t="s">
        <v>635</v>
      </c>
      <c r="T69" s="130"/>
      <c r="U69" s="130"/>
      <c r="V69" s="131"/>
      <c r="W69" s="90"/>
      <c r="X69" s="130"/>
      <c r="Y69" s="129" t="str">
        <f t="shared" si="15"/>
        <v>TB_CLASS</v>
      </c>
      <c r="Z69" s="50" t="str">
        <f t="shared" si="19"/>
        <v>CLASS_SJ VARCHAR(255) NOT NULL,</v>
      </c>
      <c r="AA69" s="50" t="str">
        <f t="shared" si="16"/>
        <v/>
      </c>
      <c r="AB69" s="50" t="str">
        <f t="shared" si="17"/>
        <v/>
      </c>
      <c r="AC69" s="50" t="str">
        <f t="shared" si="3"/>
        <v/>
      </c>
      <c r="AD69" s="50" t="str">
        <f t="shared" si="4"/>
        <v>ALTER TABLE TB_CLASS ALTER COLUMN CLASS_SJ TYPE VARCHAR(255);</v>
      </c>
      <c r="AE69" s="50" t="str">
        <f t="shared" si="5"/>
        <v>ALTER TABLE TB_CLASS ADD COLUMN CLASS_SJ VARCHAR(255) NOT NULL;</v>
      </c>
      <c r="AF69" s="50" t="str">
        <f t="shared" si="6"/>
        <v>ALTER TABLE TB_CLASS DROP COLUMN CLASS_SJ;</v>
      </c>
      <c r="AG69" s="50" t="str">
        <f t="shared" si="7"/>
        <v/>
      </c>
      <c r="AH69" s="50" t="str">
        <f t="shared" si="18"/>
        <v>COMMENT ON COLUMN TB_CLASS.CLASS_SJ IS '클래스 제목' ;</v>
      </c>
    </row>
    <row r="70" spans="1:34" ht="20" customHeight="1">
      <c r="A70" s="55">
        <v>66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5</v>
      </c>
      <c r="G70" s="106" t="s">
        <v>630</v>
      </c>
      <c r="H70" s="106" t="s">
        <v>631</v>
      </c>
      <c r="I70" s="75"/>
      <c r="J70" s="61"/>
      <c r="K70" s="61"/>
      <c r="L70" s="69"/>
      <c r="M70" s="69"/>
      <c r="N70" s="69"/>
      <c r="O70" s="69"/>
      <c r="P70" s="106" t="s">
        <v>171</v>
      </c>
      <c r="Q70" s="106"/>
      <c r="R70" s="45"/>
      <c r="S70" s="106" t="s">
        <v>632</v>
      </c>
      <c r="T70" s="130"/>
      <c r="U70" s="130"/>
      <c r="V70" s="109" t="s">
        <v>625</v>
      </c>
      <c r="W70" s="90"/>
      <c r="X70" s="130"/>
      <c r="Y70" s="129" t="str">
        <f t="shared" ref="Y70" si="20">D70</f>
        <v>TB_CLASS</v>
      </c>
      <c r="Z70" s="50" t="str">
        <f t="shared" ref="Z70" si="21">G70&amp;" "&amp;P70&amp;Q70&amp;IF(ISBLANK(J70),""," PRIMARY KEY")&amp;IF(AND(ISBLANK(J70),I70="Y")," NOT NULL","")&amp;","</f>
        <v>CLASS_SUMRY TEXT,</v>
      </c>
      <c r="AA70" s="50" t="str">
        <f t="shared" ref="AA70" si="22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0" t="str">
        <f t="shared" ref="AB70" si="23">IF(ISBLANK(T70),"","CREATE SEQUENCE "&amp;T70&amp;" START 100000;")</f>
        <v/>
      </c>
      <c r="AC70" s="50" t="str">
        <f t="shared" ref="AC70:AC154" si="24">IF(ISBLANK(T70),"","ALTER TABLE "&amp;D70&amp;" ALTER COLUMN "&amp;G70&amp;" SET DEFAULT NEXTVAL('"&amp;T70&amp;"');")</f>
        <v/>
      </c>
      <c r="AD70" s="50" t="str">
        <f t="shared" ref="AD70:AD154" si="25">"ALTER TABLE "&amp;$D70&amp;" ALTER COLUMN "&amp;$G70&amp;" TYPE "&amp;$P70&amp;IF(ISBLANK(Q70),"",Q70)&amp;";"</f>
        <v>ALTER TABLE TB_CLASS ALTER COLUMN CLASS_SUMRY TYPE TEXT;</v>
      </c>
      <c r="AE70" s="50" t="str">
        <f t="shared" ref="AE70:AE154" si="26">"ALTER TABLE "&amp;$D70&amp;" ADD COLUMN "&amp;$G70&amp;" "&amp;$P70&amp;IF(ISBLANK(Q70),"",$Q70)&amp;IF(ISBLANK($I70),""," NOT NULL")&amp;IF(ISBLANK($R70),""," DEFAULT '" &amp; $R70 &amp; "'") &amp; ";"</f>
        <v>ALTER TABLE TB_CLASS ADD COLUMN CLASS_SUMRY TEXT;</v>
      </c>
      <c r="AF70" s="50" t="str">
        <f t="shared" ref="AF70:AF154" si="27">"ALTER TABLE "&amp;$D70&amp;" DROP COLUMN "&amp;$G70&amp;";"</f>
        <v>ALTER TABLE TB_CLASS DROP COLUMN CLASS_SUMRY;</v>
      </c>
      <c r="AG70" s="50" t="str">
        <f t="shared" ref="AG70:AG154" si="28">IF(ISBLANK($R70),"","ALTER TABLE " &amp; $D70 &amp; " ALTER COLUMN " &amp; G70 &amp; " SET DEFAULT " &amp; $R70 &amp; ";")</f>
        <v/>
      </c>
      <c r="AH70" s="50" t="str">
        <f t="shared" ref="AH70" si="29">"COMMENT ON COLUMN "&amp;D70&amp;"."&amp;G70&amp;" IS '"&amp;S70&amp;"' ;"</f>
        <v>COMMENT ON COLUMN TB_CLASS.CLASS_SUMRY IS '클래스 요약' ;</v>
      </c>
    </row>
    <row r="71" spans="1:34" ht="20" customHeight="1">
      <c r="A71" s="55">
        <v>67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6</v>
      </c>
      <c r="G71" s="106" t="s">
        <v>163</v>
      </c>
      <c r="H71" s="106" t="s">
        <v>151</v>
      </c>
      <c r="I71" s="61"/>
      <c r="J71" s="61"/>
      <c r="K71" s="61"/>
      <c r="L71" s="69"/>
      <c r="M71" s="69"/>
      <c r="N71" s="69"/>
      <c r="O71" s="69"/>
      <c r="P71" s="106" t="s">
        <v>171</v>
      </c>
      <c r="Q71" s="97"/>
      <c r="R71" s="45"/>
      <c r="S71" s="106" t="s">
        <v>176</v>
      </c>
      <c r="T71" s="130"/>
      <c r="U71" s="130"/>
      <c r="V71" s="109" t="s">
        <v>625</v>
      </c>
      <c r="W71" s="90"/>
      <c r="X71" s="130"/>
      <c r="Y71" s="129" t="str">
        <f t="shared" si="15"/>
        <v>TB_CLASS</v>
      </c>
      <c r="Z71" s="50" t="str">
        <f t="shared" si="19"/>
        <v>CLASS_DC TEXT,</v>
      </c>
      <c r="AA71" s="50" t="str">
        <f t="shared" si="16"/>
        <v/>
      </c>
      <c r="AB71" s="50" t="str">
        <f t="shared" si="17"/>
        <v/>
      </c>
      <c r="AC71" s="50" t="str">
        <f t="shared" si="24"/>
        <v/>
      </c>
      <c r="AD71" s="50" t="str">
        <f t="shared" si="25"/>
        <v>ALTER TABLE TB_CLASS ALTER COLUMN CLASS_DC TYPE TEXT;</v>
      </c>
      <c r="AE71" s="50" t="str">
        <f t="shared" si="26"/>
        <v>ALTER TABLE TB_CLASS ADD COLUMN CLASS_DC TEXT;</v>
      </c>
      <c r="AF71" s="50" t="str">
        <f t="shared" si="27"/>
        <v>ALTER TABLE TB_CLASS DROP COLUMN CLASS_DC;</v>
      </c>
      <c r="AG71" s="50" t="str">
        <f t="shared" si="28"/>
        <v/>
      </c>
      <c r="AH71" s="50" t="str">
        <f t="shared" si="18"/>
        <v>COMMENT ON COLUMN TB_CLASS.CLASS_DC IS '클래스 설명' ;</v>
      </c>
    </row>
    <row r="72" spans="1:34" ht="20" customHeight="1">
      <c r="A72" s="55">
        <v>68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7</v>
      </c>
      <c r="G72" s="106" t="s">
        <v>164</v>
      </c>
      <c r="H72" s="106" t="s">
        <v>156</v>
      </c>
      <c r="I72" s="61"/>
      <c r="J72" s="61"/>
      <c r="K72" s="61"/>
      <c r="L72" s="69"/>
      <c r="M72" s="69"/>
      <c r="N72" s="69"/>
      <c r="O72" s="69"/>
      <c r="P72" s="106" t="s">
        <v>173</v>
      </c>
      <c r="Q72" s="97" t="s">
        <v>174</v>
      </c>
      <c r="R72" s="45"/>
      <c r="S72" s="106" t="s">
        <v>177</v>
      </c>
      <c r="T72" s="130"/>
      <c r="U72" s="130"/>
      <c r="V72" s="109"/>
      <c r="W72" s="90"/>
      <c r="X72" s="130"/>
      <c r="Y72" s="129" t="str">
        <f t="shared" si="15"/>
        <v>TB_CLASS</v>
      </c>
      <c r="Z72" s="50" t="str">
        <f t="shared" si="19"/>
        <v>CLASS_AMT NUMERIC(21,3),</v>
      </c>
      <c r="AA72" s="50" t="str">
        <f t="shared" si="16"/>
        <v/>
      </c>
      <c r="AB72" s="50" t="str">
        <f t="shared" si="17"/>
        <v/>
      </c>
      <c r="AC72" s="50" t="str">
        <f t="shared" si="24"/>
        <v/>
      </c>
      <c r="AD72" s="50" t="str">
        <f t="shared" si="25"/>
        <v>ALTER TABLE TB_CLASS ALTER COLUMN CLASS_AMT TYPE NUMERIC(21,3);</v>
      </c>
      <c r="AE72" s="50" t="str">
        <f t="shared" si="26"/>
        <v>ALTER TABLE TB_CLASS ADD COLUMN CLASS_AMT NUMERIC(21,3);</v>
      </c>
      <c r="AF72" s="50" t="str">
        <f t="shared" si="27"/>
        <v>ALTER TABLE TB_CLASS DROP COLUMN CLASS_AMT;</v>
      </c>
      <c r="AG72" s="50" t="str">
        <f t="shared" si="28"/>
        <v/>
      </c>
      <c r="AH72" s="50" t="str">
        <f t="shared" si="18"/>
        <v>COMMENT ON COLUMN TB_CLASS.CLASS_AMT IS '클래스 금액' ;</v>
      </c>
    </row>
    <row r="73" spans="1:34" ht="20" customHeight="1">
      <c r="A73" s="55">
        <v>69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8</v>
      </c>
      <c r="G73" s="106" t="s">
        <v>629</v>
      </c>
      <c r="H73" s="106" t="s">
        <v>628</v>
      </c>
      <c r="I73" s="61"/>
      <c r="J73" s="61"/>
      <c r="K73" s="61"/>
      <c r="L73" s="69"/>
      <c r="M73" s="69"/>
      <c r="N73" s="69"/>
      <c r="O73" s="69"/>
      <c r="P73" s="106" t="s">
        <v>173</v>
      </c>
      <c r="Q73" s="97" t="s">
        <v>174</v>
      </c>
      <c r="R73" s="45"/>
      <c r="S73" s="106" t="s">
        <v>627</v>
      </c>
      <c r="T73" s="130"/>
      <c r="U73" s="130"/>
      <c r="V73" s="109" t="s">
        <v>626</v>
      </c>
      <c r="W73" s="90"/>
      <c r="X73" s="130"/>
      <c r="Y73" s="129" t="str">
        <f t="shared" si="15"/>
        <v>TB_CLASS</v>
      </c>
      <c r="Z73" s="50" t="str">
        <f t="shared" si="19"/>
        <v>CLASS_DSCNT_BFE_AMT NUMERIC(21,3),</v>
      </c>
      <c r="AA73" s="50" t="str">
        <f t="shared" si="16"/>
        <v/>
      </c>
      <c r="AB73" s="50" t="str">
        <f t="shared" si="17"/>
        <v/>
      </c>
      <c r="AC73" s="50" t="str">
        <f t="shared" si="24"/>
        <v/>
      </c>
      <c r="AD73" s="50" t="str">
        <f t="shared" si="25"/>
        <v>ALTER TABLE TB_CLASS ALTER COLUMN CLASS_DSCNT_BFE_AMT TYPE NUMERIC(21,3);</v>
      </c>
      <c r="AE73" s="50" t="str">
        <f t="shared" si="26"/>
        <v>ALTER TABLE TB_CLASS ADD COLUMN CLASS_DSCNT_BFE_AMT NUMERIC(21,3);</v>
      </c>
      <c r="AF73" s="50" t="str">
        <f t="shared" si="27"/>
        <v>ALTER TABLE TB_CLASS DROP COLUMN CLASS_DSCNT_BFE_AMT;</v>
      </c>
      <c r="AG73" s="50" t="str">
        <f t="shared" si="28"/>
        <v/>
      </c>
      <c r="AH73" s="50" t="str">
        <f t="shared" si="18"/>
        <v>COMMENT ON COLUMN TB_CLASS.CLASS_DSCNT_BFE_AMT IS '클래스 할인 전 금액' ;</v>
      </c>
    </row>
    <row r="74" spans="1:34" ht="20" customHeight="1">
      <c r="A74" s="55">
        <v>70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9</v>
      </c>
      <c r="G74" s="106" t="s">
        <v>167</v>
      </c>
      <c r="H74" s="106" t="s">
        <v>166</v>
      </c>
      <c r="I74" s="75" t="s">
        <v>72</v>
      </c>
      <c r="J74" s="61"/>
      <c r="K74" s="61"/>
      <c r="L74" s="69"/>
      <c r="M74" s="69"/>
      <c r="N74" s="69"/>
      <c r="O74" s="69"/>
      <c r="P74" s="51" t="s">
        <v>106</v>
      </c>
      <c r="Q74" s="126" t="s">
        <v>544</v>
      </c>
      <c r="R74" s="45"/>
      <c r="S74" s="106" t="s">
        <v>181</v>
      </c>
      <c r="T74" s="130"/>
      <c r="U74" s="130"/>
      <c r="V74" s="109"/>
      <c r="W74" s="90"/>
      <c r="X74" s="130"/>
      <c r="Y74" s="129" t="str">
        <f t="shared" si="15"/>
        <v>TB_CLASS</v>
      </c>
      <c r="Z74" s="50" t="str">
        <f t="shared" si="19"/>
        <v>CLASS_PD_SET_YN VARCHAR(1) NOT NULL,</v>
      </c>
      <c r="AA74" s="50" t="str">
        <f t="shared" si="16"/>
        <v/>
      </c>
      <c r="AB74" s="50" t="str">
        <f t="shared" si="17"/>
        <v/>
      </c>
      <c r="AC74" s="50" t="str">
        <f t="shared" si="24"/>
        <v/>
      </c>
      <c r="AD74" s="50" t="str">
        <f t="shared" si="25"/>
        <v>ALTER TABLE TB_CLASS ALTER COLUMN CLASS_PD_SET_YN TYPE VARCHAR(1);</v>
      </c>
      <c r="AE74" s="50" t="str">
        <f t="shared" si="26"/>
        <v>ALTER TABLE TB_CLASS ADD COLUMN CLASS_PD_SET_YN VARCHAR(1) NOT NULL;</v>
      </c>
      <c r="AF74" s="50" t="str">
        <f t="shared" si="27"/>
        <v>ALTER TABLE TB_CLASS DROP COLUMN CLASS_PD_SET_YN;</v>
      </c>
      <c r="AG74" s="50" t="str">
        <f t="shared" si="28"/>
        <v/>
      </c>
      <c r="AH74" s="50" t="str">
        <f t="shared" si="18"/>
        <v>COMMENT ON COLUMN TB_CLASS.CLASS_PD_SET_YN IS '클래스 운영기간 설정할지 여부' ;</v>
      </c>
    </row>
    <row r="75" spans="1:34" ht="20" customHeight="1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10</v>
      </c>
      <c r="G75" s="107" t="s">
        <v>168</v>
      </c>
      <c r="H75" s="106" t="s">
        <v>178</v>
      </c>
      <c r="I75" s="61"/>
      <c r="J75" s="61"/>
      <c r="K75" s="61"/>
      <c r="L75" s="61"/>
      <c r="M75" s="61"/>
      <c r="N75" s="61"/>
      <c r="O75" s="61"/>
      <c r="P75" s="51" t="s">
        <v>106</v>
      </c>
      <c r="Q75" s="127" t="s">
        <v>780</v>
      </c>
      <c r="R75" s="45"/>
      <c r="S75" s="106" t="s">
        <v>182</v>
      </c>
      <c r="T75" s="130"/>
      <c r="U75" s="130"/>
      <c r="V75" s="109"/>
      <c r="W75" s="90"/>
      <c r="X75" s="130"/>
      <c r="Y75" s="129" t="str">
        <f t="shared" si="15"/>
        <v>TB_CLASS</v>
      </c>
      <c r="Z75" s="50" t="str">
        <f t="shared" si="19"/>
        <v>CLASS_BEGIN_DT VARCHAR(16),</v>
      </c>
      <c r="AA75" s="50" t="str">
        <f t="shared" si="16"/>
        <v/>
      </c>
      <c r="AB75" s="50" t="str">
        <f t="shared" si="17"/>
        <v/>
      </c>
      <c r="AC75" s="50" t="str">
        <f t="shared" si="24"/>
        <v/>
      </c>
      <c r="AD75" s="50" t="str">
        <f t="shared" si="25"/>
        <v>ALTER TABLE TB_CLASS ALTER COLUMN CLASS_BEGIN_DT TYPE VARCHAR(16);</v>
      </c>
      <c r="AE75" s="50" t="str">
        <f t="shared" si="26"/>
        <v>ALTER TABLE TB_CLASS ADD COLUMN CLASS_BEGIN_DT VARCHAR(16);</v>
      </c>
      <c r="AF75" s="50" t="str">
        <f t="shared" si="27"/>
        <v>ALTER TABLE TB_CLASS DROP COLUMN CLASS_BEGIN_DT;</v>
      </c>
      <c r="AG75" s="50" t="str">
        <f t="shared" si="28"/>
        <v/>
      </c>
      <c r="AH75" s="50" t="str">
        <f t="shared" si="18"/>
        <v>COMMENT ON COLUMN TB_CLASS.CLASS_BEGIN_DT IS '클래스 운영 시작 일시' ;</v>
      </c>
    </row>
    <row r="76" spans="1:34" ht="20" customHeight="1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11</v>
      </c>
      <c r="G76" s="106" t="s">
        <v>169</v>
      </c>
      <c r="H76" s="106" t="s">
        <v>179</v>
      </c>
      <c r="I76" s="61"/>
      <c r="J76" s="61"/>
      <c r="K76" s="61"/>
      <c r="L76" s="61"/>
      <c r="M76" s="61"/>
      <c r="N76" s="61"/>
      <c r="O76" s="61"/>
      <c r="P76" s="51" t="s">
        <v>106</v>
      </c>
      <c r="Q76" s="127" t="s">
        <v>780</v>
      </c>
      <c r="R76" s="45"/>
      <c r="S76" s="106" t="s">
        <v>183</v>
      </c>
      <c r="T76" s="130"/>
      <c r="U76" s="130"/>
      <c r="V76" s="109"/>
      <c r="W76" s="90"/>
      <c r="X76" s="130"/>
      <c r="Y76" s="129" t="str">
        <f t="shared" si="15"/>
        <v>TB_CLASS</v>
      </c>
      <c r="Z76" s="50" t="str">
        <f t="shared" si="19"/>
        <v>CLASS_END_DT VARCHAR(16),</v>
      </c>
      <c r="AA76" s="50" t="str">
        <f t="shared" si="16"/>
        <v/>
      </c>
      <c r="AB76" s="50" t="str">
        <f t="shared" si="17"/>
        <v/>
      </c>
      <c r="AC76" s="50" t="str">
        <f t="shared" si="24"/>
        <v/>
      </c>
      <c r="AD76" s="50" t="str">
        <f t="shared" si="25"/>
        <v>ALTER TABLE TB_CLASS ALTER COLUMN CLASS_END_DT TYPE VARCHAR(16);</v>
      </c>
      <c r="AE76" s="50" t="str">
        <f t="shared" si="26"/>
        <v>ALTER TABLE TB_CLASS ADD COLUMN CLASS_END_DT VARCHAR(16);</v>
      </c>
      <c r="AF76" s="50" t="str">
        <f t="shared" si="27"/>
        <v>ALTER TABLE TB_CLASS DROP COLUMN CLASS_END_DT;</v>
      </c>
      <c r="AG76" s="50" t="str">
        <f t="shared" si="28"/>
        <v/>
      </c>
      <c r="AH76" s="50" t="str">
        <f t="shared" si="18"/>
        <v>COMMENT ON COLUMN TB_CLASS.CLASS_END_DT IS '클래스 운영 종료 일시' ;</v>
      </c>
    </row>
    <row r="77" spans="1:34" ht="20" customHeight="1">
      <c r="A77" s="5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12</v>
      </c>
      <c r="G77" s="106" t="s">
        <v>373</v>
      </c>
      <c r="H77" s="106" t="s">
        <v>375</v>
      </c>
      <c r="I77" s="69"/>
      <c r="J77" s="61"/>
      <c r="K77" s="61">
        <v>1</v>
      </c>
      <c r="L77" s="10" t="s">
        <v>371</v>
      </c>
      <c r="M77" s="101" t="s">
        <v>372</v>
      </c>
      <c r="N77" s="101" t="s">
        <v>562</v>
      </c>
      <c r="O77" s="101" t="s">
        <v>563</v>
      </c>
      <c r="P77" s="51" t="s">
        <v>229</v>
      </c>
      <c r="Q77" s="124"/>
      <c r="R77" s="45"/>
      <c r="S77" s="106" t="s">
        <v>377</v>
      </c>
      <c r="T77" s="132"/>
      <c r="U77" s="130"/>
      <c r="V77" s="109"/>
      <c r="W77" s="90"/>
      <c r="X77" s="130"/>
      <c r="Y77" s="129" t="str">
        <f t="shared" si="15"/>
        <v>TB_CLASS</v>
      </c>
      <c r="Z77" s="50" t="str">
        <f t="shared" si="19"/>
        <v>THUMB_ATCH_FILE_SN INTEGER,</v>
      </c>
      <c r="AA77" s="50" t="str">
        <f t="shared" si="16"/>
        <v>ALTER TABLE TB_CLASS ADD CONSTRAINT TB_CLASS_FKEY1 FOREIGN KEY(THUMB_ATCH_FILE_SN) REFERENCES TB_ATCH_FILE(ATCH_FILE_SN) ON UPDATE CASCADE ON DELETE SET NULL;</v>
      </c>
      <c r="AB77" s="50" t="str">
        <f t="shared" si="17"/>
        <v/>
      </c>
      <c r="AC77" s="50" t="str">
        <f t="shared" si="24"/>
        <v/>
      </c>
      <c r="AD77" s="50" t="str">
        <f t="shared" si="25"/>
        <v>ALTER TABLE TB_CLASS ALTER COLUMN THUMB_ATCH_FILE_SN TYPE INTEGER;</v>
      </c>
      <c r="AE77" s="50" t="str">
        <f t="shared" si="26"/>
        <v>ALTER TABLE TB_CLASS ADD COLUMN THUMB_ATCH_FILE_SN INTEGER;</v>
      </c>
      <c r="AF77" s="50" t="str">
        <f t="shared" si="27"/>
        <v>ALTER TABLE TB_CLASS DROP COLUMN THUMB_ATCH_FILE_SN;</v>
      </c>
      <c r="AG77" s="50" t="str">
        <f t="shared" si="28"/>
        <v/>
      </c>
      <c r="AH77" s="50" t="str">
        <f t="shared" si="18"/>
        <v>COMMENT ON COLUMN TB_CLASS.THUMB_ATCH_FILE_SN IS '썸네일 첨부 파일 일련번호' ;</v>
      </c>
    </row>
    <row r="78" spans="1:34" ht="20" customHeight="1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13</v>
      </c>
      <c r="G78" s="101" t="s">
        <v>372</v>
      </c>
      <c r="H78" s="101" t="s">
        <v>374</v>
      </c>
      <c r="I78" s="75"/>
      <c r="J78" s="61"/>
      <c r="K78" s="61">
        <v>2</v>
      </c>
      <c r="L78" s="10" t="s">
        <v>371</v>
      </c>
      <c r="M78" s="101" t="s">
        <v>372</v>
      </c>
      <c r="N78" s="101" t="s">
        <v>562</v>
      </c>
      <c r="O78" s="101" t="s">
        <v>563</v>
      </c>
      <c r="P78" s="51" t="s">
        <v>229</v>
      </c>
      <c r="Q78" s="124"/>
      <c r="R78" s="84"/>
      <c r="S78" s="101" t="s">
        <v>376</v>
      </c>
      <c r="T78" s="130"/>
      <c r="U78" s="130"/>
      <c r="V78" s="109"/>
      <c r="W78" s="90"/>
      <c r="X78" s="130"/>
      <c r="Y78" s="129" t="str">
        <f t="shared" si="15"/>
        <v>TB_CLASS</v>
      </c>
      <c r="Z78" s="50" t="str">
        <f t="shared" si="19"/>
        <v>ATCH_FILE_SN INTEGER,</v>
      </c>
      <c r="AA78" s="50" t="str">
        <f t="shared" si="16"/>
        <v>ALTER TABLE TB_CLASS ADD CONSTRAINT TB_CLASS_FKEY2 FOREIGN KEY(ATCH_FILE_SN) REFERENCES TB_ATCH_FILE(ATCH_FILE_SN) ON UPDATE CASCADE ON DELETE SET NULL;</v>
      </c>
      <c r="AB78" s="50" t="str">
        <f t="shared" si="17"/>
        <v/>
      </c>
      <c r="AC78" s="50" t="str">
        <f t="shared" si="24"/>
        <v/>
      </c>
      <c r="AD78" s="50" t="str">
        <f t="shared" si="25"/>
        <v>ALTER TABLE TB_CLASS ALTER COLUMN ATCH_FILE_SN TYPE INTEGER;</v>
      </c>
      <c r="AE78" s="50" t="str">
        <f t="shared" si="26"/>
        <v>ALTER TABLE TB_CLASS ADD COLUMN ATCH_FILE_SN INTEGER;</v>
      </c>
      <c r="AF78" s="50" t="str">
        <f t="shared" si="27"/>
        <v>ALTER TABLE TB_CLASS DROP COLUMN ATCH_FILE_SN;</v>
      </c>
      <c r="AG78" s="50" t="str">
        <f t="shared" si="28"/>
        <v/>
      </c>
      <c r="AH78" s="50" t="str">
        <f t="shared" si="18"/>
        <v>COMMENT ON COLUMN TB_CLASS.ATCH_FILE_SN IS '첨부 파일 일련번호' ;</v>
      </c>
    </row>
    <row r="79" spans="1:34" ht="20" customHeight="1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14</v>
      </c>
      <c r="G79" s="106" t="s">
        <v>165</v>
      </c>
      <c r="H79" s="106" t="s">
        <v>157</v>
      </c>
      <c r="I79" s="75" t="s">
        <v>72</v>
      </c>
      <c r="J79" s="61"/>
      <c r="K79" s="61"/>
      <c r="L79" s="69"/>
      <c r="M79" s="69"/>
      <c r="N79" s="69"/>
      <c r="O79" s="69"/>
      <c r="P79" s="51" t="s">
        <v>106</v>
      </c>
      <c r="Q79" s="126" t="s">
        <v>544</v>
      </c>
      <c r="R79" s="87" t="s">
        <v>592</v>
      </c>
      <c r="S79" s="106" t="s">
        <v>184</v>
      </c>
      <c r="T79" s="130"/>
      <c r="U79" s="130"/>
      <c r="V79" s="109"/>
      <c r="W79" s="90"/>
      <c r="X79" s="130"/>
      <c r="Y79" s="129" t="str">
        <f t="shared" si="15"/>
        <v>TB_CLASS</v>
      </c>
      <c r="Z79" s="50" t="str">
        <f t="shared" si="19"/>
        <v>CLASS_EXPSR_YN VARCHAR(1) NOT NULL,</v>
      </c>
      <c r="AA79" s="50" t="str">
        <f t="shared" si="16"/>
        <v/>
      </c>
      <c r="AB79" s="50" t="str">
        <f t="shared" si="17"/>
        <v/>
      </c>
      <c r="AC79" s="50" t="str">
        <f t="shared" si="24"/>
        <v/>
      </c>
      <c r="AD79" s="50" t="str">
        <f t="shared" si="25"/>
        <v>ALTER TABLE TB_CLASS ALTER COLUMN CLASS_EXPSR_YN TYPE VARCHAR(1);</v>
      </c>
      <c r="AE79" s="50" t="str">
        <f t="shared" si="26"/>
        <v>ALTER TABLE TB_CLASS ADD COLUMN CLASS_EXPSR_YN VARCHAR(1) NOT NULL DEFAULT ''N'';</v>
      </c>
      <c r="AF79" s="50" t="str">
        <f t="shared" si="27"/>
        <v>ALTER TABLE TB_CLASS DROP COLUMN CLASS_EXPSR_YN;</v>
      </c>
      <c r="AG79" s="50" t="str">
        <f t="shared" si="28"/>
        <v>ALTER TABLE TB_CLASS ALTER COLUMN CLASS_EXPSR_YN SET DEFAULT 'N';</v>
      </c>
      <c r="AH79" s="50" t="str">
        <f t="shared" si="18"/>
        <v>COMMENT ON COLUMN TB_CLASS.CLASS_EXPSR_YN IS '클래스 화면 표시 여부' ;</v>
      </c>
    </row>
    <row r="80" spans="1:34" ht="20" customHeight="1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15</v>
      </c>
      <c r="G80" s="102" t="s">
        <v>107</v>
      </c>
      <c r="H80" s="51" t="s">
        <v>76</v>
      </c>
      <c r="I80" s="75" t="s">
        <v>72</v>
      </c>
      <c r="J80" s="67"/>
      <c r="K80" s="67"/>
      <c r="L80" s="82"/>
      <c r="M80" s="82"/>
      <c r="N80" s="82"/>
      <c r="O80" s="82"/>
      <c r="P80" s="105" t="s">
        <v>543</v>
      </c>
      <c r="Q80" s="126" t="s">
        <v>548</v>
      </c>
      <c r="R80" s="85"/>
      <c r="S80" s="112" t="s">
        <v>219</v>
      </c>
      <c r="T80" s="130"/>
      <c r="U80" s="130"/>
      <c r="V80" s="123" t="s">
        <v>518</v>
      </c>
      <c r="W80" s="90"/>
      <c r="X80" s="130"/>
      <c r="Y80" s="129" t="str">
        <f t="shared" si="15"/>
        <v>TB_CLASS</v>
      </c>
      <c r="Z80" s="50" t="str">
        <f t="shared" si="19"/>
        <v>REGISTER_ID VARCHAR(50) NOT NULL,</v>
      </c>
      <c r="AA80" s="50" t="str">
        <f t="shared" si="16"/>
        <v/>
      </c>
      <c r="AB80" s="50" t="str">
        <f t="shared" si="17"/>
        <v/>
      </c>
      <c r="AC80" s="50" t="str">
        <f t="shared" si="24"/>
        <v/>
      </c>
      <c r="AD80" s="50" t="str">
        <f t="shared" si="25"/>
        <v>ALTER TABLE TB_CLASS ALTER COLUMN REGISTER_ID TYPE VARCHAR(50);</v>
      </c>
      <c r="AE80" s="50" t="str">
        <f t="shared" si="26"/>
        <v>ALTER TABLE TB_CLASS ADD COLUMN REGISTER_ID VARCHAR(50) NOT NULL;</v>
      </c>
      <c r="AF80" s="50" t="str">
        <f t="shared" si="27"/>
        <v>ALTER TABLE TB_CLASS DROP COLUMN REGISTER_ID;</v>
      </c>
      <c r="AG80" s="50" t="str">
        <f t="shared" si="28"/>
        <v/>
      </c>
      <c r="AH80" s="50" t="str">
        <f t="shared" si="18"/>
        <v>COMMENT ON COLUMN TB_CLASS.REGISTER_ID IS '등록자 ID' ;</v>
      </c>
    </row>
    <row r="81" spans="1:34" ht="20" customHeight="1">
      <c r="A81" s="5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16</v>
      </c>
      <c r="G81" s="102" t="s">
        <v>91</v>
      </c>
      <c r="H81" s="51" t="s">
        <v>77</v>
      </c>
      <c r="I81" s="75" t="s">
        <v>72</v>
      </c>
      <c r="J81" s="52"/>
      <c r="K81" s="52"/>
      <c r="L81" s="52"/>
      <c r="M81" s="52"/>
      <c r="N81" s="52"/>
      <c r="O81" s="52"/>
      <c r="P81" s="56" t="s">
        <v>106</v>
      </c>
      <c r="Q81" s="126" t="s">
        <v>549</v>
      </c>
      <c r="R81" s="85"/>
      <c r="S81" s="112" t="s">
        <v>218</v>
      </c>
      <c r="T81" s="130"/>
      <c r="U81" s="130"/>
      <c r="V81" s="109"/>
      <c r="W81" s="90"/>
      <c r="X81" s="130"/>
      <c r="Y81" s="129" t="str">
        <f t="shared" si="15"/>
        <v>TB_CLASS</v>
      </c>
      <c r="Z81" s="50" t="str">
        <f t="shared" si="19"/>
        <v>REGISTER_IP VARCHAR(100) NOT NULL,</v>
      </c>
      <c r="AA81" s="50" t="str">
        <f t="shared" si="16"/>
        <v/>
      </c>
      <c r="AB81" s="50" t="str">
        <f t="shared" si="17"/>
        <v/>
      </c>
      <c r="AC81" s="50" t="str">
        <f t="shared" si="24"/>
        <v/>
      </c>
      <c r="AD81" s="50" t="str">
        <f t="shared" si="25"/>
        <v>ALTER TABLE TB_CLASS ALTER COLUMN REGISTER_IP TYPE VARCHAR(100);</v>
      </c>
      <c r="AE81" s="50" t="str">
        <f t="shared" si="26"/>
        <v>ALTER TABLE TB_CLASS ADD COLUMN REGISTER_IP VARCHAR(100) NOT NULL;</v>
      </c>
      <c r="AF81" s="50" t="str">
        <f t="shared" si="27"/>
        <v>ALTER TABLE TB_CLASS DROP COLUMN REGISTER_IP;</v>
      </c>
      <c r="AG81" s="50" t="str">
        <f t="shared" si="28"/>
        <v/>
      </c>
      <c r="AH81" s="50" t="str">
        <f t="shared" si="18"/>
        <v>COMMENT ON COLUMN TB_CLASS.REGISTER_IP IS '등록자 IP' ;</v>
      </c>
    </row>
    <row r="82" spans="1:34" ht="20" customHeight="1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17</v>
      </c>
      <c r="G82" s="102" t="s">
        <v>92</v>
      </c>
      <c r="H82" s="101" t="s">
        <v>78</v>
      </c>
      <c r="I82" s="75" t="s">
        <v>72</v>
      </c>
      <c r="J82" s="52"/>
      <c r="K82" s="52"/>
      <c r="L82" s="52"/>
      <c r="M82" s="52"/>
      <c r="N82" s="52"/>
      <c r="O82" s="52"/>
      <c r="P82" s="51" t="s">
        <v>732</v>
      </c>
      <c r="Q82" s="126"/>
      <c r="R82" s="85"/>
      <c r="S82" s="112" t="s">
        <v>217</v>
      </c>
      <c r="T82" s="130"/>
      <c r="U82" s="130"/>
      <c r="V82" s="109"/>
      <c r="W82" s="90"/>
      <c r="X82" s="130"/>
      <c r="Y82" s="129" t="str">
        <f t="shared" si="15"/>
        <v>TB_CLASS</v>
      </c>
      <c r="Z82" s="50" t="str">
        <f t="shared" si="19"/>
        <v>REG_DT TIMESTAMP NOT NULL,</v>
      </c>
      <c r="AA82" s="50" t="str">
        <f t="shared" si="16"/>
        <v/>
      </c>
      <c r="AB82" s="50" t="str">
        <f t="shared" si="17"/>
        <v/>
      </c>
      <c r="AC82" s="50" t="str">
        <f t="shared" si="24"/>
        <v/>
      </c>
      <c r="AD82" s="50" t="str">
        <f t="shared" si="25"/>
        <v>ALTER TABLE TB_CLASS ALTER COLUMN REG_DT TYPE TIMESTAMP;</v>
      </c>
      <c r="AE82" s="50" t="str">
        <f t="shared" si="26"/>
        <v>ALTER TABLE TB_CLASS ADD COLUMN REG_DT TIMESTAMP NOT NULL;</v>
      </c>
      <c r="AF82" s="50" t="str">
        <f t="shared" si="27"/>
        <v>ALTER TABLE TB_CLASS DROP COLUMN REG_DT;</v>
      </c>
      <c r="AG82" s="50" t="str">
        <f t="shared" si="28"/>
        <v/>
      </c>
      <c r="AH82" s="50" t="str">
        <f t="shared" si="18"/>
        <v>COMMENT ON COLUMN TB_CLASS.REG_DT IS '등록 일시' ;</v>
      </c>
    </row>
    <row r="83" spans="1:34" ht="20" customHeight="1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18</v>
      </c>
      <c r="G83" s="102" t="s">
        <v>93</v>
      </c>
      <c r="H83" s="101" t="s">
        <v>80</v>
      </c>
      <c r="I83" s="52"/>
      <c r="J83" s="52"/>
      <c r="K83" s="52"/>
      <c r="L83" s="84"/>
      <c r="M83" s="84"/>
      <c r="N83" s="84"/>
      <c r="O83" s="84"/>
      <c r="P83" s="105" t="s">
        <v>543</v>
      </c>
      <c r="Q83" s="126" t="s">
        <v>548</v>
      </c>
      <c r="R83" s="85"/>
      <c r="S83" s="112" t="s">
        <v>216</v>
      </c>
      <c r="T83" s="130"/>
      <c r="U83" s="130"/>
      <c r="V83" s="123" t="s">
        <v>518</v>
      </c>
      <c r="W83" s="90"/>
      <c r="X83" s="130"/>
      <c r="Y83" s="129" t="str">
        <f t="shared" si="15"/>
        <v>TB_CLASS</v>
      </c>
      <c r="Z83" s="50" t="str">
        <f t="shared" si="19"/>
        <v>UPDUSR_ID VARCHAR(50),</v>
      </c>
      <c r="AA83" s="50" t="str">
        <f t="shared" si="16"/>
        <v/>
      </c>
      <c r="AB83" s="50" t="str">
        <f t="shared" si="17"/>
        <v/>
      </c>
      <c r="AC83" s="50" t="str">
        <f t="shared" si="24"/>
        <v/>
      </c>
      <c r="AD83" s="50" t="str">
        <f t="shared" si="25"/>
        <v>ALTER TABLE TB_CLASS ALTER COLUMN UPDUSR_ID TYPE VARCHAR(50);</v>
      </c>
      <c r="AE83" s="50" t="str">
        <f t="shared" si="26"/>
        <v>ALTER TABLE TB_CLASS ADD COLUMN UPDUSR_ID VARCHAR(50);</v>
      </c>
      <c r="AF83" s="50" t="str">
        <f t="shared" si="27"/>
        <v>ALTER TABLE TB_CLASS DROP COLUMN UPDUSR_ID;</v>
      </c>
      <c r="AG83" s="50" t="str">
        <f t="shared" si="28"/>
        <v/>
      </c>
      <c r="AH83" s="50" t="str">
        <f t="shared" si="18"/>
        <v>COMMENT ON COLUMN TB_CLASS.UPDUSR_ID IS '수정자 ID' ;</v>
      </c>
    </row>
    <row r="84" spans="1:34" ht="20" customHeight="1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19</v>
      </c>
      <c r="G84" s="102" t="s">
        <v>94</v>
      </c>
      <c r="H84" s="101" t="s">
        <v>79</v>
      </c>
      <c r="I84" s="52"/>
      <c r="J84" s="52"/>
      <c r="K84" s="52"/>
      <c r="L84" s="52"/>
      <c r="M84" s="52"/>
      <c r="N84" s="52"/>
      <c r="O84" s="52"/>
      <c r="P84" s="56" t="s">
        <v>106</v>
      </c>
      <c r="Q84" s="126" t="s">
        <v>549</v>
      </c>
      <c r="R84" s="85"/>
      <c r="S84" s="112" t="s">
        <v>215</v>
      </c>
      <c r="T84" s="130"/>
      <c r="U84" s="130"/>
      <c r="V84" s="109"/>
      <c r="W84" s="90"/>
      <c r="X84" s="130"/>
      <c r="Y84" s="129" t="str">
        <f t="shared" si="15"/>
        <v>TB_CLASS</v>
      </c>
      <c r="Z84" s="50" t="str">
        <f t="shared" si="19"/>
        <v>UPDUSR_IP VARCHAR(100),</v>
      </c>
      <c r="AA84" s="50" t="str">
        <f t="shared" si="16"/>
        <v/>
      </c>
      <c r="AB84" s="50" t="str">
        <f t="shared" si="17"/>
        <v/>
      </c>
      <c r="AC84" s="50" t="str">
        <f t="shared" si="24"/>
        <v/>
      </c>
      <c r="AD84" s="50" t="str">
        <f t="shared" si="25"/>
        <v>ALTER TABLE TB_CLASS ALTER COLUMN UPDUSR_IP TYPE VARCHAR(100);</v>
      </c>
      <c r="AE84" s="50" t="str">
        <f t="shared" si="26"/>
        <v>ALTER TABLE TB_CLASS ADD COLUMN UPDUSR_IP VARCHAR(100);</v>
      </c>
      <c r="AF84" s="50" t="str">
        <f t="shared" si="27"/>
        <v>ALTER TABLE TB_CLASS DROP COLUMN UPDUSR_IP;</v>
      </c>
      <c r="AG84" s="50" t="str">
        <f t="shared" si="28"/>
        <v/>
      </c>
      <c r="AH84" s="50" t="str">
        <f t="shared" si="18"/>
        <v>COMMENT ON COLUMN TB_CLASS.UPDUSR_IP IS '수정자 IP' ;</v>
      </c>
    </row>
    <row r="85" spans="1:34" ht="20" customHeight="1">
      <c r="A85" s="5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20</v>
      </c>
      <c r="G85" s="103" t="s">
        <v>95</v>
      </c>
      <c r="H85" s="102" t="s">
        <v>81</v>
      </c>
      <c r="I85" s="61"/>
      <c r="J85" s="61"/>
      <c r="K85" s="61"/>
      <c r="L85" s="61"/>
      <c r="M85" s="61"/>
      <c r="N85" s="61"/>
      <c r="O85" s="61"/>
      <c r="P85" s="51" t="s">
        <v>732</v>
      </c>
      <c r="Q85" s="126"/>
      <c r="R85" s="82"/>
      <c r="S85" s="112" t="s">
        <v>214</v>
      </c>
      <c r="T85" s="130"/>
      <c r="U85" s="130"/>
      <c r="V85" s="109"/>
      <c r="W85" s="90"/>
      <c r="X85" s="130"/>
      <c r="Y85" s="129" t="str">
        <f t="shared" si="15"/>
        <v>TB_CLASS</v>
      </c>
      <c r="Z85" s="50" t="str">
        <f t="shared" si="19"/>
        <v>UPDT_DT TIMESTAMP,</v>
      </c>
      <c r="AA85" s="50" t="str">
        <f t="shared" si="16"/>
        <v/>
      </c>
      <c r="AB85" s="50" t="str">
        <f t="shared" si="17"/>
        <v/>
      </c>
      <c r="AC85" s="50" t="str">
        <f t="shared" si="24"/>
        <v/>
      </c>
      <c r="AD85" s="50" t="str">
        <f t="shared" si="25"/>
        <v>ALTER TABLE TB_CLASS ALTER COLUMN UPDT_DT TYPE TIMESTAMP;</v>
      </c>
      <c r="AE85" s="50" t="str">
        <f t="shared" si="26"/>
        <v>ALTER TABLE TB_CLASS ADD COLUMN UPDT_DT TIMESTAMP;</v>
      </c>
      <c r="AF85" s="50" t="str">
        <f t="shared" si="27"/>
        <v>ALTER TABLE TB_CLASS DROP COLUMN UPDT_DT;</v>
      </c>
      <c r="AG85" s="50" t="str">
        <f t="shared" si="28"/>
        <v/>
      </c>
      <c r="AH85" s="50" t="str">
        <f t="shared" si="18"/>
        <v>COMMENT ON COLUMN TB_CLASS.UPDT_DT IS '수정 일시' ;</v>
      </c>
    </row>
    <row r="86" spans="1:34" ht="20" customHeight="1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21</v>
      </c>
      <c r="G86" s="102" t="s">
        <v>96</v>
      </c>
      <c r="H86" s="102" t="s">
        <v>82</v>
      </c>
      <c r="I86" s="75" t="s">
        <v>72</v>
      </c>
      <c r="J86" s="61"/>
      <c r="K86" s="61"/>
      <c r="L86" s="61"/>
      <c r="M86" s="61"/>
      <c r="N86" s="61"/>
      <c r="O86" s="61"/>
      <c r="P86" s="51" t="s">
        <v>106</v>
      </c>
      <c r="Q86" s="126" t="s">
        <v>544</v>
      </c>
      <c r="R86" s="87" t="s">
        <v>592</v>
      </c>
      <c r="S86" s="112" t="s">
        <v>213</v>
      </c>
      <c r="T86" s="130"/>
      <c r="U86" s="130"/>
      <c r="V86" s="109"/>
      <c r="W86" s="90"/>
      <c r="X86" s="130"/>
      <c r="Y86" s="129" t="str">
        <f t="shared" si="15"/>
        <v>TB_CLASS</v>
      </c>
      <c r="Z86" s="50" t="str">
        <f t="shared" si="19"/>
        <v>DEL_YN VARCHAR(1) NOT NULL,</v>
      </c>
      <c r="AA86" s="50" t="str">
        <f t="shared" si="16"/>
        <v/>
      </c>
      <c r="AB86" s="50" t="str">
        <f t="shared" si="17"/>
        <v/>
      </c>
      <c r="AC86" s="50" t="str">
        <f t="shared" si="24"/>
        <v/>
      </c>
      <c r="AD86" s="50" t="str">
        <f t="shared" si="25"/>
        <v>ALTER TABLE TB_CLASS ALTER COLUMN DEL_YN TYPE VARCHAR(1);</v>
      </c>
      <c r="AE86" s="50" t="str">
        <f t="shared" si="26"/>
        <v>ALTER TABLE TB_CLASS ADD COLUMN DEL_YN VARCHAR(1) NOT NULL DEFAULT ''N'';</v>
      </c>
      <c r="AF86" s="50" t="str">
        <f t="shared" si="27"/>
        <v>ALTER TABLE TB_CLASS DROP COLUMN DEL_YN;</v>
      </c>
      <c r="AG86" s="50" t="str">
        <f t="shared" si="28"/>
        <v>ALTER TABLE TB_CLASS ALTER COLUMN DEL_YN SET DEFAULT 'N';</v>
      </c>
      <c r="AH86" s="50" t="str">
        <f t="shared" si="18"/>
        <v>COMMENT ON COLUMN TB_CLASS.DEL_YN IS '삭제 여부' ;</v>
      </c>
    </row>
    <row r="87" spans="1:34" ht="20" customHeight="1">
      <c r="A87" s="55">
        <v>83</v>
      </c>
      <c r="B87" s="26" t="s">
        <v>7</v>
      </c>
      <c r="C87" s="25" t="s">
        <v>11</v>
      </c>
      <c r="D87" s="13" t="s">
        <v>760</v>
      </c>
      <c r="E87" s="13" t="s">
        <v>761</v>
      </c>
      <c r="F87" s="97">
        <v>1</v>
      </c>
      <c r="G87" s="106" t="s">
        <v>776</v>
      </c>
      <c r="H87" s="106" t="s">
        <v>762</v>
      </c>
      <c r="I87" s="45" t="s">
        <v>131</v>
      </c>
      <c r="J87" s="45">
        <v>1</v>
      </c>
      <c r="K87" s="45"/>
      <c r="L87" s="45"/>
      <c r="M87" s="45"/>
      <c r="N87" s="45"/>
      <c r="O87" s="45"/>
      <c r="P87" s="106" t="s">
        <v>172</v>
      </c>
      <c r="Q87" s="126"/>
      <c r="R87" s="45"/>
      <c r="S87" s="106" t="s">
        <v>764</v>
      </c>
      <c r="T87" s="132" t="str">
        <f>"SEQ_"&amp;D87&amp;"_SN"</f>
        <v>SEQ_TB_CLASS_CATEGORY_CL01_SN</v>
      </c>
      <c r="U87" s="83"/>
      <c r="V87" s="106"/>
      <c r="W87" s="45"/>
      <c r="X87" s="83"/>
      <c r="Y87" s="129" t="str">
        <f t="shared" si="15"/>
        <v>TB_CLASS_CATEGORY_CL01</v>
      </c>
      <c r="Z87" s="50" t="str">
        <f t="shared" si="19"/>
        <v>CL_SN INTEGER PRIMARY KEY,</v>
      </c>
      <c r="AA87" s="50" t="str">
        <f t="shared" si="16"/>
        <v/>
      </c>
      <c r="AB87" s="50" t="str">
        <f t="shared" si="17"/>
        <v>CREATE SEQUENCE SEQ_TB_CLASS_CATEGORY_CL01_SN START 100000;</v>
      </c>
      <c r="AC87" s="50" t="str">
        <f t="shared" si="24"/>
        <v>ALTER TABLE TB_CLASS_CATEGORY_CL01 ALTER COLUMN CL_SN SET DEFAULT NEXTVAL('SEQ_TB_CLASS_CATEGORY_CL01_SN');</v>
      </c>
      <c r="AD87" s="50" t="str">
        <f t="shared" si="25"/>
        <v>ALTER TABLE TB_CLASS_CATEGORY_CL01 ALTER COLUMN CL_SN TYPE INTEGER;</v>
      </c>
      <c r="AE87" s="50" t="str">
        <f t="shared" si="26"/>
        <v>ALTER TABLE TB_CLASS_CATEGORY_CL01 ADD COLUMN CL_SN INTEGER NOT NULL;</v>
      </c>
      <c r="AF87" s="50" t="str">
        <f t="shared" si="27"/>
        <v>ALTER TABLE TB_CLASS_CATEGORY_CL01 DROP COLUMN CL_SN;</v>
      </c>
      <c r="AG87" s="50" t="str">
        <f t="shared" si="28"/>
        <v/>
      </c>
      <c r="AH87" s="50" t="str">
        <f t="shared" si="18"/>
        <v>COMMENT ON COLUMN TB_CLASS_CATEGORY_CL01.CL_SN IS '분류1 일련번호' ;</v>
      </c>
    </row>
    <row r="88" spans="1:34" ht="20" customHeight="1">
      <c r="A88" s="55">
        <v>84</v>
      </c>
      <c r="B88" s="26" t="s">
        <v>7</v>
      </c>
      <c r="C88" s="25" t="s">
        <v>11</v>
      </c>
      <c r="D88" s="13" t="s">
        <v>760</v>
      </c>
      <c r="E88" s="13" t="s">
        <v>761</v>
      </c>
      <c r="F88" s="97">
        <v>2</v>
      </c>
      <c r="G88" s="106" t="s">
        <v>777</v>
      </c>
      <c r="H88" s="106" t="s">
        <v>763</v>
      </c>
      <c r="I88" s="45" t="s">
        <v>131</v>
      </c>
      <c r="J88" s="45"/>
      <c r="K88" s="45"/>
      <c r="L88" s="45"/>
      <c r="M88" s="45"/>
      <c r="N88" s="45"/>
      <c r="O88" s="45"/>
      <c r="P88" s="51" t="s">
        <v>106</v>
      </c>
      <c r="Q88" s="126" t="s">
        <v>549</v>
      </c>
      <c r="R88" s="86"/>
      <c r="S88" s="112" t="s">
        <v>765</v>
      </c>
      <c r="T88" s="130"/>
      <c r="U88" s="130"/>
      <c r="V88" s="106"/>
      <c r="W88" s="45"/>
      <c r="X88" s="83"/>
      <c r="Y88" s="129" t="str">
        <f t="shared" si="15"/>
        <v>TB_CLASS_CATEGORY_CL01</v>
      </c>
      <c r="Z88" s="50" t="str">
        <f t="shared" si="19"/>
        <v>CL_NM VARCHAR(100) NOT NULL,</v>
      </c>
      <c r="AA88" s="50" t="str">
        <f t="shared" si="16"/>
        <v/>
      </c>
      <c r="AB88" s="50" t="str">
        <f t="shared" si="17"/>
        <v/>
      </c>
      <c r="AC88" s="50" t="str">
        <f t="shared" si="24"/>
        <v/>
      </c>
      <c r="AD88" s="50" t="str">
        <f t="shared" si="25"/>
        <v>ALTER TABLE TB_CLASS_CATEGORY_CL01 ALTER COLUMN CL_NM TYPE VARCHAR(100);</v>
      </c>
      <c r="AE88" s="50" t="str">
        <f t="shared" si="26"/>
        <v>ALTER TABLE TB_CLASS_CATEGORY_CL01 ADD COLUMN CL_NM VARCHAR(100) NOT NULL;</v>
      </c>
      <c r="AF88" s="50" t="str">
        <f t="shared" si="27"/>
        <v>ALTER TABLE TB_CLASS_CATEGORY_CL01 DROP COLUMN CL_NM;</v>
      </c>
      <c r="AG88" s="50" t="str">
        <f t="shared" si="28"/>
        <v/>
      </c>
      <c r="AH88" s="50" t="str">
        <f t="shared" si="18"/>
        <v>COMMENT ON COLUMN TB_CLASS_CATEGORY_CL01.CL_NM IS '분류1 이름' ;</v>
      </c>
    </row>
    <row r="89" spans="1:34" ht="20" customHeight="1">
      <c r="A89" s="55">
        <v>85</v>
      </c>
      <c r="B89" s="26" t="s">
        <v>7</v>
      </c>
      <c r="C89" s="25" t="s">
        <v>11</v>
      </c>
      <c r="D89" s="13" t="s">
        <v>760</v>
      </c>
      <c r="E89" s="13" t="s">
        <v>761</v>
      </c>
      <c r="F89" s="97">
        <v>3</v>
      </c>
      <c r="G89" s="106" t="s">
        <v>778</v>
      </c>
      <c r="H89" s="106" t="s">
        <v>771</v>
      </c>
      <c r="I89" s="45" t="s">
        <v>131</v>
      </c>
      <c r="J89" s="45"/>
      <c r="K89" s="45"/>
      <c r="L89" s="45"/>
      <c r="M89" s="45"/>
      <c r="N89" s="45"/>
      <c r="O89" s="45"/>
      <c r="P89" s="109" t="s">
        <v>229</v>
      </c>
      <c r="Q89" s="126"/>
      <c r="R89" s="86"/>
      <c r="S89" s="112" t="s">
        <v>772</v>
      </c>
      <c r="T89" s="130"/>
      <c r="U89" s="130"/>
      <c r="V89" s="106"/>
      <c r="W89" s="45"/>
      <c r="X89" s="83"/>
      <c r="Y89" s="129" t="str">
        <f t="shared" ref="Y89" si="30">D89</f>
        <v>TB_CLASS_CATEGORY_CL01</v>
      </c>
      <c r="Z89" s="50" t="str">
        <f t="shared" ref="Z89" si="31">G89&amp;" "&amp;P89&amp;Q89&amp;IF(ISBLANK(J89),""," PRIMARY KEY")&amp;IF(AND(ISBLANK(J89),I89="Y")," NOT NULL","")&amp;","</f>
        <v>CL_SEQ INTEGER NOT NULL,</v>
      </c>
      <c r="AA89" s="50" t="str">
        <f t="shared" ref="AA89" si="32">IF(ISBLANK(K89),"","ALTER TABLE " &amp; D89 &amp; " ADD CONSTRAINT " &amp; D89 &amp; "_FKEY" &amp; K89 &amp;  " FOREIGN KEY(" &amp;G89 &amp; ") REFERENCES " &amp; L89 &amp; "(" &amp; M89 &amp; ") "&amp;N89&amp;" "&amp;O89&amp;";")</f>
        <v/>
      </c>
      <c r="AB89" s="50" t="str">
        <f t="shared" ref="AB89" si="33">IF(ISBLANK(T89),"","CREATE SEQUENCE "&amp;T89&amp;" START 100000;")</f>
        <v/>
      </c>
      <c r="AC89" s="50" t="str">
        <f t="shared" ref="AC89" si="34">IF(ISBLANK(T89),"","ALTER TABLE "&amp;D89&amp;" ALTER COLUMN "&amp;G89&amp;" SET DEFAULT NEXTVAL('"&amp;T89&amp;"');")</f>
        <v/>
      </c>
      <c r="AD89" s="50" t="str">
        <f t="shared" ref="AD89" si="35">"ALTER TABLE "&amp;$D89&amp;" ALTER COLUMN "&amp;$G89&amp;" TYPE "&amp;$P89&amp;IF(ISBLANK(Q89),"",Q89)&amp;";"</f>
        <v>ALTER TABLE TB_CLASS_CATEGORY_CL01 ALTER COLUMN CL_SEQ TYPE INTEGER;</v>
      </c>
      <c r="AE89" s="50" t="str">
        <f t="shared" ref="AE89" si="36">"ALTER TABLE "&amp;$D89&amp;" ADD COLUMN "&amp;$G89&amp;" "&amp;$P89&amp;IF(ISBLANK(Q89),"",$Q89)&amp;IF(ISBLANK($I89),""," NOT NULL")&amp;IF(ISBLANK($R89),""," DEFAULT '" &amp; $R89 &amp; "'") &amp; ";"</f>
        <v>ALTER TABLE TB_CLASS_CATEGORY_CL01 ADD COLUMN CL_SEQ INTEGER NOT NULL;</v>
      </c>
      <c r="AF89" s="50" t="str">
        <f t="shared" si="27"/>
        <v>ALTER TABLE TB_CLASS_CATEGORY_CL01 DROP COLUMN CL_SEQ;</v>
      </c>
      <c r="AG89" s="50" t="str">
        <f t="shared" ref="AG89" si="37">IF(ISBLANK($R89),"","ALTER TABLE " &amp; $D89 &amp; " ALTER COLUMN " &amp; G89 &amp; " SET DEFAULT " &amp; $R89 &amp; ";")</f>
        <v/>
      </c>
      <c r="AH89" s="50" t="str">
        <f t="shared" ref="AH89" si="38">"COMMENT ON COLUMN "&amp;D89&amp;"."&amp;G89&amp;" IS '"&amp;S89&amp;"' ;"</f>
        <v>COMMENT ON COLUMN TB_CLASS_CATEGORY_CL01.CL_SEQ IS '분류1 순번' ;</v>
      </c>
    </row>
    <row r="90" spans="1:34" ht="20" customHeight="1">
      <c r="A90" s="55">
        <v>86</v>
      </c>
      <c r="B90" s="26" t="s">
        <v>7</v>
      </c>
      <c r="C90" s="25" t="s">
        <v>11</v>
      </c>
      <c r="D90" s="13" t="s">
        <v>760</v>
      </c>
      <c r="E90" s="13" t="s">
        <v>761</v>
      </c>
      <c r="F90" s="97">
        <v>4</v>
      </c>
      <c r="G90" s="102" t="s">
        <v>107</v>
      </c>
      <c r="H90" s="51" t="s">
        <v>76</v>
      </c>
      <c r="I90" s="75" t="s">
        <v>72</v>
      </c>
      <c r="J90" s="67"/>
      <c r="K90" s="67"/>
      <c r="L90" s="82"/>
      <c r="M90" s="82"/>
      <c r="N90" s="82"/>
      <c r="O90" s="82"/>
      <c r="P90" s="105" t="s">
        <v>543</v>
      </c>
      <c r="Q90" s="126" t="s">
        <v>548</v>
      </c>
      <c r="R90" s="85"/>
      <c r="S90" s="112" t="s">
        <v>219</v>
      </c>
      <c r="T90" s="83"/>
      <c r="U90" s="83"/>
      <c r="V90" s="123" t="s">
        <v>518</v>
      </c>
      <c r="W90" s="45"/>
      <c r="X90" s="83"/>
      <c r="Y90" s="129" t="str">
        <f t="shared" si="15"/>
        <v>TB_CLASS_CATEGORY_CL01</v>
      </c>
      <c r="Z90" s="50" t="str">
        <f t="shared" si="19"/>
        <v>REGISTER_ID VARCHAR(50) NOT NULL,</v>
      </c>
      <c r="AA90" s="50" t="str">
        <f t="shared" si="16"/>
        <v/>
      </c>
      <c r="AB90" s="50" t="str">
        <f t="shared" si="17"/>
        <v/>
      </c>
      <c r="AC90" s="50" t="str">
        <f t="shared" si="24"/>
        <v/>
      </c>
      <c r="AD90" s="50" t="str">
        <f t="shared" si="25"/>
        <v>ALTER TABLE TB_CLASS_CATEGORY_CL01 ALTER COLUMN REGISTER_ID TYPE VARCHAR(50);</v>
      </c>
      <c r="AE90" s="50" t="str">
        <f t="shared" si="26"/>
        <v>ALTER TABLE TB_CLASS_CATEGORY_CL01 ADD COLUMN REGISTER_ID VARCHAR(50) NOT NULL;</v>
      </c>
      <c r="AF90" s="50" t="str">
        <f t="shared" si="27"/>
        <v>ALTER TABLE TB_CLASS_CATEGORY_CL01 DROP COLUMN REGISTER_ID;</v>
      </c>
      <c r="AG90" s="50" t="str">
        <f t="shared" si="28"/>
        <v/>
      </c>
      <c r="AH90" s="50" t="str">
        <f t="shared" si="18"/>
        <v>COMMENT ON COLUMN TB_CLASS_CATEGORY_CL01.REGISTER_ID IS '등록자 ID' ;</v>
      </c>
    </row>
    <row r="91" spans="1:34" ht="20" customHeight="1">
      <c r="A91" s="55">
        <v>87</v>
      </c>
      <c r="B91" s="26" t="s">
        <v>7</v>
      </c>
      <c r="C91" s="25" t="s">
        <v>11</v>
      </c>
      <c r="D91" s="13" t="s">
        <v>760</v>
      </c>
      <c r="E91" s="13" t="s">
        <v>761</v>
      </c>
      <c r="F91" s="97">
        <v>5</v>
      </c>
      <c r="G91" s="102" t="s">
        <v>91</v>
      </c>
      <c r="H91" s="51" t="s">
        <v>77</v>
      </c>
      <c r="I91" s="75" t="s">
        <v>72</v>
      </c>
      <c r="J91" s="52"/>
      <c r="K91" s="52"/>
      <c r="L91" s="52"/>
      <c r="M91" s="52"/>
      <c r="N91" s="52"/>
      <c r="O91" s="52"/>
      <c r="P91" s="56" t="s">
        <v>106</v>
      </c>
      <c r="Q91" s="126" t="s">
        <v>549</v>
      </c>
      <c r="R91" s="85"/>
      <c r="S91" s="112" t="s">
        <v>218</v>
      </c>
      <c r="T91" s="83"/>
      <c r="U91" s="83"/>
      <c r="V91" s="106"/>
      <c r="W91" s="45"/>
      <c r="X91" s="83"/>
      <c r="Y91" s="129" t="str">
        <f t="shared" si="15"/>
        <v>TB_CLASS_CATEGORY_CL01</v>
      </c>
      <c r="Z91" s="50" t="str">
        <f t="shared" si="19"/>
        <v>REGISTER_IP VARCHAR(100) NOT NULL,</v>
      </c>
      <c r="AA91" s="50" t="str">
        <f t="shared" si="16"/>
        <v/>
      </c>
      <c r="AB91" s="50" t="str">
        <f t="shared" si="17"/>
        <v/>
      </c>
      <c r="AC91" s="50" t="str">
        <f t="shared" si="24"/>
        <v/>
      </c>
      <c r="AD91" s="50" t="str">
        <f t="shared" si="25"/>
        <v>ALTER TABLE TB_CLASS_CATEGORY_CL01 ALTER COLUMN REGISTER_IP TYPE VARCHAR(100);</v>
      </c>
      <c r="AE91" s="50" t="str">
        <f t="shared" si="26"/>
        <v>ALTER TABLE TB_CLASS_CATEGORY_CL01 ADD COLUMN REGISTER_IP VARCHAR(100) NOT NULL;</v>
      </c>
      <c r="AF91" s="50" t="str">
        <f t="shared" si="27"/>
        <v>ALTER TABLE TB_CLASS_CATEGORY_CL01 DROP COLUMN REGISTER_IP;</v>
      </c>
      <c r="AG91" s="50" t="str">
        <f t="shared" si="28"/>
        <v/>
      </c>
      <c r="AH91" s="50" t="str">
        <f t="shared" si="18"/>
        <v>COMMENT ON COLUMN TB_CLASS_CATEGORY_CL01.REGISTER_IP IS '등록자 IP' ;</v>
      </c>
    </row>
    <row r="92" spans="1:34" ht="20" customHeight="1">
      <c r="A92" s="55">
        <v>88</v>
      </c>
      <c r="B92" s="26" t="s">
        <v>7</v>
      </c>
      <c r="C92" s="25" t="s">
        <v>11</v>
      </c>
      <c r="D92" s="13" t="s">
        <v>760</v>
      </c>
      <c r="E92" s="13" t="s">
        <v>761</v>
      </c>
      <c r="F92" s="97">
        <v>6</v>
      </c>
      <c r="G92" s="102" t="s">
        <v>92</v>
      </c>
      <c r="H92" s="101" t="s">
        <v>78</v>
      </c>
      <c r="I92" s="75" t="s">
        <v>72</v>
      </c>
      <c r="J92" s="52"/>
      <c r="K92" s="52"/>
      <c r="L92" s="52"/>
      <c r="M92" s="52"/>
      <c r="N92" s="52"/>
      <c r="O92" s="52"/>
      <c r="P92" s="51" t="s">
        <v>732</v>
      </c>
      <c r="Q92" s="126"/>
      <c r="R92" s="85"/>
      <c r="S92" s="112" t="s">
        <v>217</v>
      </c>
      <c r="T92" s="83"/>
      <c r="U92" s="83"/>
      <c r="V92" s="106"/>
      <c r="W92" s="45"/>
      <c r="X92" s="83"/>
      <c r="Y92" s="129" t="str">
        <f t="shared" si="15"/>
        <v>TB_CLASS_CATEGORY_CL01</v>
      </c>
      <c r="Z92" s="50" t="str">
        <f t="shared" si="19"/>
        <v>REG_DT TIMESTAMP NOT NULL,</v>
      </c>
      <c r="AA92" s="50" t="str">
        <f t="shared" si="16"/>
        <v/>
      </c>
      <c r="AB92" s="50" t="str">
        <f t="shared" si="17"/>
        <v/>
      </c>
      <c r="AC92" s="50" t="str">
        <f t="shared" si="24"/>
        <v/>
      </c>
      <c r="AD92" s="50" t="str">
        <f t="shared" si="25"/>
        <v>ALTER TABLE TB_CLASS_CATEGORY_CL01 ALTER COLUMN REG_DT TYPE TIMESTAMP;</v>
      </c>
      <c r="AE92" s="50" t="str">
        <f t="shared" si="26"/>
        <v>ALTER TABLE TB_CLASS_CATEGORY_CL01 ADD COLUMN REG_DT TIMESTAMP NOT NULL;</v>
      </c>
      <c r="AF92" s="50" t="str">
        <f t="shared" si="27"/>
        <v>ALTER TABLE TB_CLASS_CATEGORY_CL01 DROP COLUMN REG_DT;</v>
      </c>
      <c r="AG92" s="50" t="str">
        <f t="shared" si="28"/>
        <v/>
      </c>
      <c r="AH92" s="50" t="str">
        <f t="shared" si="18"/>
        <v>COMMENT ON COLUMN TB_CLASS_CATEGORY_CL01.REG_DT IS '등록 일시' ;</v>
      </c>
    </row>
    <row r="93" spans="1:34" ht="20" customHeight="1">
      <c r="A93" s="55">
        <v>89</v>
      </c>
      <c r="B93" s="26" t="s">
        <v>7</v>
      </c>
      <c r="C93" s="25" t="s">
        <v>11</v>
      </c>
      <c r="D93" s="13" t="s">
        <v>760</v>
      </c>
      <c r="E93" s="13" t="s">
        <v>761</v>
      </c>
      <c r="F93" s="97">
        <v>7</v>
      </c>
      <c r="G93" s="102" t="s">
        <v>93</v>
      </c>
      <c r="H93" s="101" t="s">
        <v>80</v>
      </c>
      <c r="I93" s="52"/>
      <c r="J93" s="52"/>
      <c r="K93" s="52"/>
      <c r="L93" s="84"/>
      <c r="M93" s="84"/>
      <c r="N93" s="84"/>
      <c r="O93" s="84"/>
      <c r="P93" s="105" t="s">
        <v>543</v>
      </c>
      <c r="Q93" s="126" t="s">
        <v>548</v>
      </c>
      <c r="R93" s="85"/>
      <c r="S93" s="112" t="s">
        <v>216</v>
      </c>
      <c r="T93" s="83"/>
      <c r="U93" s="83"/>
      <c r="V93" s="123" t="s">
        <v>518</v>
      </c>
      <c r="W93" s="45"/>
      <c r="X93" s="83"/>
      <c r="Y93" s="129" t="str">
        <f t="shared" si="15"/>
        <v>TB_CLASS_CATEGORY_CL01</v>
      </c>
      <c r="Z93" s="50" t="str">
        <f t="shared" si="19"/>
        <v>UPDUSR_ID VARCHAR(50),</v>
      </c>
      <c r="AA93" s="50" t="str">
        <f t="shared" si="16"/>
        <v/>
      </c>
      <c r="AB93" s="50" t="str">
        <f t="shared" si="17"/>
        <v/>
      </c>
      <c r="AC93" s="50" t="str">
        <f t="shared" si="24"/>
        <v/>
      </c>
      <c r="AD93" s="50" t="str">
        <f t="shared" si="25"/>
        <v>ALTER TABLE TB_CLASS_CATEGORY_CL01 ALTER COLUMN UPDUSR_ID TYPE VARCHAR(50);</v>
      </c>
      <c r="AE93" s="50" t="str">
        <f t="shared" si="26"/>
        <v>ALTER TABLE TB_CLASS_CATEGORY_CL01 ADD COLUMN UPDUSR_ID VARCHAR(50);</v>
      </c>
      <c r="AF93" s="50" t="str">
        <f t="shared" si="27"/>
        <v>ALTER TABLE TB_CLASS_CATEGORY_CL01 DROP COLUMN UPDUSR_ID;</v>
      </c>
      <c r="AG93" s="50" t="str">
        <f t="shared" si="28"/>
        <v/>
      </c>
      <c r="AH93" s="50" t="str">
        <f t="shared" si="18"/>
        <v>COMMENT ON COLUMN TB_CLASS_CATEGORY_CL01.UPDUSR_ID IS '수정자 ID' ;</v>
      </c>
    </row>
    <row r="94" spans="1:34" ht="20" customHeight="1">
      <c r="A94" s="55">
        <v>90</v>
      </c>
      <c r="B94" s="26" t="s">
        <v>7</v>
      </c>
      <c r="C94" s="25" t="s">
        <v>11</v>
      </c>
      <c r="D94" s="13" t="s">
        <v>760</v>
      </c>
      <c r="E94" s="13" t="s">
        <v>761</v>
      </c>
      <c r="F94" s="97">
        <v>8</v>
      </c>
      <c r="G94" s="102" t="s">
        <v>94</v>
      </c>
      <c r="H94" s="101" t="s">
        <v>79</v>
      </c>
      <c r="I94" s="52"/>
      <c r="J94" s="52"/>
      <c r="K94" s="52"/>
      <c r="L94" s="52"/>
      <c r="M94" s="52"/>
      <c r="N94" s="52"/>
      <c r="O94" s="52"/>
      <c r="P94" s="56" t="s">
        <v>106</v>
      </c>
      <c r="Q94" s="126" t="s">
        <v>549</v>
      </c>
      <c r="R94" s="85"/>
      <c r="S94" s="112" t="s">
        <v>215</v>
      </c>
      <c r="T94" s="83"/>
      <c r="U94" s="83"/>
      <c r="V94" s="106"/>
      <c r="W94" s="45"/>
      <c r="X94" s="83"/>
      <c r="Y94" s="129" t="str">
        <f t="shared" si="15"/>
        <v>TB_CLASS_CATEGORY_CL01</v>
      </c>
      <c r="Z94" s="50" t="str">
        <f t="shared" si="19"/>
        <v>UPDUSR_IP VARCHAR(100),</v>
      </c>
      <c r="AA94" s="50" t="str">
        <f t="shared" si="16"/>
        <v/>
      </c>
      <c r="AB94" s="50" t="str">
        <f t="shared" si="17"/>
        <v/>
      </c>
      <c r="AC94" s="50" t="str">
        <f t="shared" si="24"/>
        <v/>
      </c>
      <c r="AD94" s="50" t="str">
        <f t="shared" si="25"/>
        <v>ALTER TABLE TB_CLASS_CATEGORY_CL01 ALTER COLUMN UPDUSR_IP TYPE VARCHAR(100);</v>
      </c>
      <c r="AE94" s="50" t="str">
        <f t="shared" si="26"/>
        <v>ALTER TABLE TB_CLASS_CATEGORY_CL01 ADD COLUMN UPDUSR_IP VARCHAR(100);</v>
      </c>
      <c r="AF94" s="50" t="str">
        <f t="shared" si="27"/>
        <v>ALTER TABLE TB_CLASS_CATEGORY_CL01 DROP COLUMN UPDUSR_IP;</v>
      </c>
      <c r="AG94" s="50" t="str">
        <f t="shared" si="28"/>
        <v/>
      </c>
      <c r="AH94" s="50" t="str">
        <f t="shared" si="18"/>
        <v>COMMENT ON COLUMN TB_CLASS_CATEGORY_CL01.UPDUSR_IP IS '수정자 IP' ;</v>
      </c>
    </row>
    <row r="95" spans="1:34" ht="20" customHeight="1">
      <c r="A95" s="55">
        <v>91</v>
      </c>
      <c r="B95" s="26" t="s">
        <v>7</v>
      </c>
      <c r="C95" s="25" t="s">
        <v>11</v>
      </c>
      <c r="D95" s="13" t="s">
        <v>760</v>
      </c>
      <c r="E95" s="13" t="s">
        <v>761</v>
      </c>
      <c r="F95" s="97">
        <v>9</v>
      </c>
      <c r="G95" s="103" t="s">
        <v>95</v>
      </c>
      <c r="H95" s="102" t="s">
        <v>81</v>
      </c>
      <c r="I95" s="61"/>
      <c r="J95" s="61"/>
      <c r="K95" s="61"/>
      <c r="L95" s="61"/>
      <c r="M95" s="61"/>
      <c r="N95" s="61"/>
      <c r="O95" s="61"/>
      <c r="P95" s="51" t="s">
        <v>732</v>
      </c>
      <c r="Q95" s="126"/>
      <c r="R95" s="82"/>
      <c r="S95" s="112" t="s">
        <v>214</v>
      </c>
      <c r="T95" s="83"/>
      <c r="U95" s="83"/>
      <c r="V95" s="106"/>
      <c r="W95" s="45"/>
      <c r="X95" s="83"/>
      <c r="Y95" s="129" t="str">
        <f t="shared" si="15"/>
        <v>TB_CLASS_CATEGORY_CL01</v>
      </c>
      <c r="Z95" s="50" t="str">
        <f t="shared" si="19"/>
        <v>UPDT_DT TIMESTAMP,</v>
      </c>
      <c r="AA95" s="50" t="str">
        <f t="shared" si="16"/>
        <v/>
      </c>
      <c r="AB95" s="50" t="str">
        <f t="shared" si="17"/>
        <v/>
      </c>
      <c r="AC95" s="50" t="str">
        <f t="shared" si="24"/>
        <v/>
      </c>
      <c r="AD95" s="50" t="str">
        <f t="shared" si="25"/>
        <v>ALTER TABLE TB_CLASS_CATEGORY_CL01 ALTER COLUMN UPDT_DT TYPE TIMESTAMP;</v>
      </c>
      <c r="AE95" s="50" t="str">
        <f t="shared" si="26"/>
        <v>ALTER TABLE TB_CLASS_CATEGORY_CL01 ADD COLUMN UPDT_DT TIMESTAMP;</v>
      </c>
      <c r="AF95" s="50" t="str">
        <f t="shared" si="27"/>
        <v>ALTER TABLE TB_CLASS_CATEGORY_CL01 DROP COLUMN UPDT_DT;</v>
      </c>
      <c r="AG95" s="50" t="str">
        <f t="shared" si="28"/>
        <v/>
      </c>
      <c r="AH95" s="50" t="str">
        <f t="shared" si="18"/>
        <v>COMMENT ON COLUMN TB_CLASS_CATEGORY_CL01.UPDT_DT IS '수정 일시' ;</v>
      </c>
    </row>
    <row r="96" spans="1:34" ht="20" customHeight="1">
      <c r="A96" s="55">
        <v>92</v>
      </c>
      <c r="B96" s="26" t="s">
        <v>7</v>
      </c>
      <c r="C96" s="25" t="s">
        <v>11</v>
      </c>
      <c r="D96" s="13" t="s">
        <v>760</v>
      </c>
      <c r="E96" s="13" t="s">
        <v>761</v>
      </c>
      <c r="F96" s="97">
        <v>10</v>
      </c>
      <c r="G96" s="102" t="s">
        <v>96</v>
      </c>
      <c r="H96" s="102" t="s">
        <v>82</v>
      </c>
      <c r="I96" s="75" t="s">
        <v>72</v>
      </c>
      <c r="J96" s="61"/>
      <c r="K96" s="61"/>
      <c r="L96" s="61"/>
      <c r="M96" s="61"/>
      <c r="N96" s="61"/>
      <c r="O96" s="61"/>
      <c r="P96" s="51" t="s">
        <v>106</v>
      </c>
      <c r="Q96" s="126" t="s">
        <v>544</v>
      </c>
      <c r="R96" s="87" t="s">
        <v>592</v>
      </c>
      <c r="S96" s="112" t="s">
        <v>213</v>
      </c>
      <c r="T96" s="83"/>
      <c r="U96" s="83"/>
      <c r="V96" s="106"/>
      <c r="W96" s="45"/>
      <c r="X96" s="83"/>
      <c r="Y96" s="129" t="str">
        <f t="shared" si="15"/>
        <v>TB_CLASS_CATEGORY_CL01</v>
      </c>
      <c r="Z96" s="50" t="str">
        <f t="shared" si="19"/>
        <v>DEL_YN VARCHAR(1) NOT NULL,</v>
      </c>
      <c r="AA96" s="50" t="str">
        <f t="shared" si="16"/>
        <v/>
      </c>
      <c r="AB96" s="50" t="str">
        <f t="shared" si="17"/>
        <v/>
      </c>
      <c r="AC96" s="50" t="str">
        <f t="shared" si="24"/>
        <v/>
      </c>
      <c r="AD96" s="50" t="str">
        <f t="shared" si="25"/>
        <v>ALTER TABLE TB_CLASS_CATEGORY_CL01 ALTER COLUMN DEL_YN TYPE VARCHAR(1);</v>
      </c>
      <c r="AE96" s="50" t="str">
        <f t="shared" si="26"/>
        <v>ALTER TABLE TB_CLASS_CATEGORY_CL01 ADD COLUMN DEL_YN VARCHAR(1) NOT NULL DEFAULT ''N'';</v>
      </c>
      <c r="AF96" s="50" t="str">
        <f t="shared" si="27"/>
        <v>ALTER TABLE TB_CLASS_CATEGORY_CL01 DROP COLUMN DEL_YN;</v>
      </c>
      <c r="AG96" s="50" t="str">
        <f t="shared" si="28"/>
        <v>ALTER TABLE TB_CLASS_CATEGORY_CL01 ALTER COLUMN DEL_YN SET DEFAULT 'N';</v>
      </c>
      <c r="AH96" s="50" t="str">
        <f t="shared" si="18"/>
        <v>COMMENT ON COLUMN TB_CLASS_CATEGORY_CL01.DEL_YN IS '삭제 여부' ;</v>
      </c>
    </row>
    <row r="97" spans="1:34" ht="20" customHeight="1">
      <c r="A97" s="55">
        <v>93</v>
      </c>
      <c r="B97" s="26" t="s">
        <v>7</v>
      </c>
      <c r="C97" s="25" t="s">
        <v>11</v>
      </c>
      <c r="D97" s="13" t="s">
        <v>766</v>
      </c>
      <c r="E97" s="13" t="s">
        <v>773</v>
      </c>
      <c r="F97" s="97">
        <v>1</v>
      </c>
      <c r="G97" s="106" t="s">
        <v>776</v>
      </c>
      <c r="H97" s="106" t="s">
        <v>768</v>
      </c>
      <c r="I97" s="45" t="s">
        <v>131</v>
      </c>
      <c r="J97" s="45">
        <v>1</v>
      </c>
      <c r="K97" s="45"/>
      <c r="L97" s="45"/>
      <c r="M97" s="45"/>
      <c r="N97" s="45"/>
      <c r="O97" s="45"/>
      <c r="P97" s="106" t="s">
        <v>172</v>
      </c>
      <c r="Q97" s="126"/>
      <c r="R97" s="45"/>
      <c r="S97" s="106" t="s">
        <v>769</v>
      </c>
      <c r="T97" s="132" t="str">
        <f>"SEQ_"&amp;D97&amp;"_SN"</f>
        <v>SEQ_TB_CLASS_CATEGORY_CL02_SN</v>
      </c>
      <c r="U97" s="83"/>
      <c r="V97" s="106"/>
      <c r="W97" s="45"/>
      <c r="X97" s="83"/>
      <c r="Y97" s="129" t="str">
        <f t="shared" si="15"/>
        <v>TB_CLASS_CATEGORY_CL02</v>
      </c>
      <c r="Z97" s="50" t="str">
        <f t="shared" si="19"/>
        <v>CL_SN INTEGER PRIMARY KEY,</v>
      </c>
      <c r="AA97" s="50" t="str">
        <f t="shared" si="16"/>
        <v/>
      </c>
      <c r="AB97" s="50" t="str">
        <f t="shared" si="17"/>
        <v>CREATE SEQUENCE SEQ_TB_CLASS_CATEGORY_CL02_SN START 100000;</v>
      </c>
      <c r="AC97" s="50" t="str">
        <f t="shared" si="24"/>
        <v>ALTER TABLE TB_CLASS_CATEGORY_CL02 ALTER COLUMN CL_SN SET DEFAULT NEXTVAL('SEQ_TB_CLASS_CATEGORY_CL02_SN');</v>
      </c>
      <c r="AD97" s="50" t="str">
        <f t="shared" si="25"/>
        <v>ALTER TABLE TB_CLASS_CATEGORY_CL02 ALTER COLUMN CL_SN TYPE INTEGER;</v>
      </c>
      <c r="AE97" s="50" t="str">
        <f t="shared" si="26"/>
        <v>ALTER TABLE TB_CLASS_CATEGORY_CL02 ADD COLUMN CL_SN INTEGER NOT NULL;</v>
      </c>
      <c r="AF97" s="50" t="str">
        <f t="shared" si="27"/>
        <v>ALTER TABLE TB_CLASS_CATEGORY_CL02 DROP COLUMN CL_SN;</v>
      </c>
      <c r="AG97" s="50" t="str">
        <f t="shared" si="28"/>
        <v/>
      </c>
      <c r="AH97" s="50" t="str">
        <f t="shared" si="18"/>
        <v>COMMENT ON COLUMN TB_CLASS_CATEGORY_CL02.CL_SN IS '분류2 일련번호' ;</v>
      </c>
    </row>
    <row r="98" spans="1:34" ht="20" customHeight="1">
      <c r="A98" s="55">
        <v>94</v>
      </c>
      <c r="B98" s="26" t="s">
        <v>7</v>
      </c>
      <c r="C98" s="25" t="s">
        <v>11</v>
      </c>
      <c r="D98" s="13" t="s">
        <v>766</v>
      </c>
      <c r="E98" s="13" t="s">
        <v>773</v>
      </c>
      <c r="F98" s="97">
        <v>2</v>
      </c>
      <c r="G98" s="135" t="s">
        <v>779</v>
      </c>
      <c r="H98" s="106" t="s">
        <v>762</v>
      </c>
      <c r="I98" s="45" t="s">
        <v>131</v>
      </c>
      <c r="J98" s="45">
        <v>1</v>
      </c>
      <c r="K98" s="45"/>
      <c r="L98" s="45"/>
      <c r="M98" s="45"/>
      <c r="N98" s="45"/>
      <c r="O98" s="45"/>
      <c r="P98" s="106" t="s">
        <v>172</v>
      </c>
      <c r="Q98" s="126"/>
      <c r="R98" s="45"/>
      <c r="S98" s="106" t="s">
        <v>764</v>
      </c>
      <c r="T98" s="132"/>
      <c r="U98" s="83"/>
      <c r="V98" s="106"/>
      <c r="W98" s="45"/>
      <c r="X98" s="83"/>
      <c r="Y98" s="129" t="str">
        <f t="shared" ref="Y98:Y107" si="39">D98</f>
        <v>TB_CLASS_CATEGORY_CL02</v>
      </c>
      <c r="Z98" s="50" t="str">
        <f t="shared" ref="Z98:Z107" si="40">G98&amp;" "&amp;P98&amp;Q98&amp;IF(ISBLANK(J98),""," PRIMARY KEY")&amp;IF(AND(ISBLANK(J98),I98="Y")," NOT NULL","")&amp;","</f>
        <v>PARNTS_CL_SN INTEGER PRIMARY KEY,</v>
      </c>
      <c r="AA98" s="50" t="str">
        <f t="shared" ref="AA98:AA107" si="41">IF(ISBLANK(K98),"","ALTER TABLE " &amp; D98 &amp; " ADD CONSTRAINT " &amp; D98 &amp; "_FKEY" &amp; K98 &amp;  " FOREIGN KEY(" &amp;G98 &amp; ") REFERENCES " &amp; L98 &amp; "(" &amp; M98 &amp; ") "&amp;N98&amp;" "&amp;O98&amp;";")</f>
        <v/>
      </c>
      <c r="AB98" s="50" t="str">
        <f t="shared" ref="AB98:AB107" si="42">IF(ISBLANK(T98),"","CREATE SEQUENCE "&amp;T98&amp;" START 100000;")</f>
        <v/>
      </c>
      <c r="AC98" s="50" t="str">
        <f t="shared" ref="AC98:AC107" si="43">IF(ISBLANK(T98),"","ALTER TABLE "&amp;D98&amp;" ALTER COLUMN "&amp;G98&amp;" SET DEFAULT NEXTVAL('"&amp;T98&amp;"');")</f>
        <v/>
      </c>
      <c r="AD98" s="50" t="str">
        <f t="shared" ref="AD98:AD107" si="44">"ALTER TABLE "&amp;$D98&amp;" ALTER COLUMN "&amp;$G98&amp;" TYPE "&amp;$P98&amp;IF(ISBLANK(Q98),"",Q98)&amp;";"</f>
        <v>ALTER TABLE TB_CLASS_CATEGORY_CL02 ALTER COLUMN PARNTS_CL_SN TYPE INTEGER;</v>
      </c>
      <c r="AE98" s="50" t="str">
        <f t="shared" ref="AE98:AE107" si="45">"ALTER TABLE "&amp;$D98&amp;" ADD COLUMN "&amp;$G98&amp;" "&amp;$P98&amp;IF(ISBLANK(Q98),"",$Q98)&amp;IF(ISBLANK($I98),""," NOT NULL")&amp;IF(ISBLANK($R98),""," DEFAULT '" &amp; $R98 &amp; "'") &amp; ";"</f>
        <v>ALTER TABLE TB_CLASS_CATEGORY_CL02 ADD COLUMN PARNTS_CL_SN INTEGER NOT NULL;</v>
      </c>
      <c r="AF98" s="50" t="str">
        <f t="shared" si="27"/>
        <v>ALTER TABLE TB_CLASS_CATEGORY_CL02 DROP COLUMN PARNTS_CL_SN;</v>
      </c>
      <c r="AG98" s="50" t="str">
        <f t="shared" ref="AG98:AG107" si="46">IF(ISBLANK($R98),"","ALTER TABLE " &amp; $D98 &amp; " ALTER COLUMN " &amp; G98 &amp; " SET DEFAULT " &amp; $R98 &amp; ";")</f>
        <v/>
      </c>
      <c r="AH98" s="50" t="str">
        <f t="shared" ref="AH98:AH107" si="47">"COMMENT ON COLUMN "&amp;D98&amp;"."&amp;G98&amp;" IS '"&amp;S98&amp;"' ;"</f>
        <v>COMMENT ON COLUMN TB_CLASS_CATEGORY_CL02.PARNTS_CL_SN IS '분류1 일련번호' ;</v>
      </c>
    </row>
    <row r="99" spans="1:34" ht="20" customHeight="1">
      <c r="A99" s="55">
        <v>95</v>
      </c>
      <c r="B99" s="26" t="s">
        <v>7</v>
      </c>
      <c r="C99" s="25" t="s">
        <v>11</v>
      </c>
      <c r="D99" s="13" t="s">
        <v>766</v>
      </c>
      <c r="E99" s="13" t="s">
        <v>773</v>
      </c>
      <c r="F99" s="97">
        <v>3</v>
      </c>
      <c r="G99" s="106" t="s">
        <v>777</v>
      </c>
      <c r="H99" s="106" t="s">
        <v>767</v>
      </c>
      <c r="I99" s="45" t="s">
        <v>131</v>
      </c>
      <c r="J99" s="45"/>
      <c r="K99" s="45"/>
      <c r="L99" s="45"/>
      <c r="M99" s="45"/>
      <c r="N99" s="45"/>
      <c r="O99" s="45"/>
      <c r="P99" s="51" t="s">
        <v>106</v>
      </c>
      <c r="Q99" s="126" t="s">
        <v>549</v>
      </c>
      <c r="R99" s="86"/>
      <c r="S99" s="112" t="s">
        <v>770</v>
      </c>
      <c r="T99" s="130"/>
      <c r="U99" s="130"/>
      <c r="V99" s="106"/>
      <c r="W99" s="45"/>
      <c r="X99" s="83"/>
      <c r="Y99" s="129" t="str">
        <f t="shared" si="39"/>
        <v>TB_CLASS_CATEGORY_CL02</v>
      </c>
      <c r="Z99" s="50" t="str">
        <f t="shared" si="40"/>
        <v>CL_NM VARCHAR(100) NOT NULL,</v>
      </c>
      <c r="AA99" s="50" t="str">
        <f t="shared" si="41"/>
        <v/>
      </c>
      <c r="AB99" s="50" t="str">
        <f t="shared" si="42"/>
        <v/>
      </c>
      <c r="AC99" s="50" t="str">
        <f t="shared" si="43"/>
        <v/>
      </c>
      <c r="AD99" s="50" t="str">
        <f t="shared" si="44"/>
        <v>ALTER TABLE TB_CLASS_CATEGORY_CL02 ALTER COLUMN CL_NM TYPE VARCHAR(100);</v>
      </c>
      <c r="AE99" s="50" t="str">
        <f t="shared" si="45"/>
        <v>ALTER TABLE TB_CLASS_CATEGORY_CL02 ADD COLUMN CL_NM VARCHAR(100) NOT NULL;</v>
      </c>
      <c r="AF99" s="50" t="str">
        <f t="shared" si="27"/>
        <v>ALTER TABLE TB_CLASS_CATEGORY_CL02 DROP COLUMN CL_NM;</v>
      </c>
      <c r="AG99" s="50" t="str">
        <f t="shared" si="46"/>
        <v/>
      </c>
      <c r="AH99" s="50" t="str">
        <f t="shared" si="47"/>
        <v>COMMENT ON COLUMN TB_CLASS_CATEGORY_CL02.CL_NM IS '분류2 이름' ;</v>
      </c>
    </row>
    <row r="100" spans="1:34" ht="20" customHeight="1">
      <c r="A100" s="55">
        <v>96</v>
      </c>
      <c r="B100" s="26" t="s">
        <v>7</v>
      </c>
      <c r="C100" s="25" t="s">
        <v>11</v>
      </c>
      <c r="D100" s="13" t="s">
        <v>766</v>
      </c>
      <c r="E100" s="13" t="s">
        <v>773</v>
      </c>
      <c r="F100" s="97">
        <v>4</v>
      </c>
      <c r="G100" s="106" t="s">
        <v>778</v>
      </c>
      <c r="H100" s="106" t="s">
        <v>774</v>
      </c>
      <c r="I100" s="45" t="s">
        <v>131</v>
      </c>
      <c r="J100" s="45"/>
      <c r="K100" s="45"/>
      <c r="L100" s="45"/>
      <c r="M100" s="45"/>
      <c r="N100" s="45"/>
      <c r="O100" s="45"/>
      <c r="P100" s="109" t="s">
        <v>229</v>
      </c>
      <c r="Q100" s="126"/>
      <c r="R100" s="86"/>
      <c r="S100" s="112" t="s">
        <v>775</v>
      </c>
      <c r="T100" s="130"/>
      <c r="U100" s="130"/>
      <c r="V100" s="106"/>
      <c r="W100" s="45"/>
      <c r="X100" s="83"/>
      <c r="Y100" s="129" t="str">
        <f t="shared" si="39"/>
        <v>TB_CLASS_CATEGORY_CL02</v>
      </c>
      <c r="Z100" s="50" t="str">
        <f t="shared" si="40"/>
        <v>CL_SEQ INTEGER NOT NULL,</v>
      </c>
      <c r="AA100" s="50" t="str">
        <f t="shared" si="41"/>
        <v/>
      </c>
      <c r="AB100" s="50" t="str">
        <f t="shared" si="42"/>
        <v/>
      </c>
      <c r="AC100" s="50" t="str">
        <f t="shared" si="43"/>
        <v/>
      </c>
      <c r="AD100" s="50" t="str">
        <f t="shared" si="44"/>
        <v>ALTER TABLE TB_CLASS_CATEGORY_CL02 ALTER COLUMN CL_SEQ TYPE INTEGER;</v>
      </c>
      <c r="AE100" s="50" t="str">
        <f t="shared" si="45"/>
        <v>ALTER TABLE TB_CLASS_CATEGORY_CL02 ADD COLUMN CL_SEQ INTEGER NOT NULL;</v>
      </c>
      <c r="AF100" s="50" t="str">
        <f t="shared" si="27"/>
        <v>ALTER TABLE TB_CLASS_CATEGORY_CL02 DROP COLUMN CL_SEQ;</v>
      </c>
      <c r="AG100" s="50" t="str">
        <f t="shared" si="46"/>
        <v/>
      </c>
      <c r="AH100" s="50" t="str">
        <f t="shared" si="47"/>
        <v>COMMENT ON COLUMN TB_CLASS_CATEGORY_CL02.CL_SEQ IS '분류2 순번' ;</v>
      </c>
    </row>
    <row r="101" spans="1:34" ht="20" customHeight="1">
      <c r="A101" s="55">
        <v>97</v>
      </c>
      <c r="B101" s="26" t="s">
        <v>7</v>
      </c>
      <c r="C101" s="25" t="s">
        <v>11</v>
      </c>
      <c r="D101" s="13" t="s">
        <v>766</v>
      </c>
      <c r="E101" s="13" t="s">
        <v>773</v>
      </c>
      <c r="F101" s="97">
        <v>5</v>
      </c>
      <c r="G101" s="102" t="s">
        <v>107</v>
      </c>
      <c r="H101" s="51" t="s">
        <v>76</v>
      </c>
      <c r="I101" s="75" t="s">
        <v>72</v>
      </c>
      <c r="J101" s="67"/>
      <c r="K101" s="67"/>
      <c r="L101" s="82"/>
      <c r="M101" s="82"/>
      <c r="N101" s="82"/>
      <c r="O101" s="82"/>
      <c r="P101" s="105" t="s">
        <v>543</v>
      </c>
      <c r="Q101" s="126" t="s">
        <v>548</v>
      </c>
      <c r="R101" s="85"/>
      <c r="S101" s="112" t="s">
        <v>219</v>
      </c>
      <c r="T101" s="83"/>
      <c r="U101" s="83"/>
      <c r="V101" s="123" t="s">
        <v>518</v>
      </c>
      <c r="W101" s="45"/>
      <c r="X101" s="83"/>
      <c r="Y101" s="129" t="str">
        <f t="shared" si="39"/>
        <v>TB_CLASS_CATEGORY_CL02</v>
      </c>
      <c r="Z101" s="50" t="str">
        <f t="shared" si="40"/>
        <v>REGISTER_ID VARCHAR(50) NOT NULL,</v>
      </c>
      <c r="AA101" s="50" t="str">
        <f t="shared" si="41"/>
        <v/>
      </c>
      <c r="AB101" s="50" t="str">
        <f t="shared" si="42"/>
        <v/>
      </c>
      <c r="AC101" s="50" t="str">
        <f t="shared" si="43"/>
        <v/>
      </c>
      <c r="AD101" s="50" t="str">
        <f t="shared" si="44"/>
        <v>ALTER TABLE TB_CLASS_CATEGORY_CL02 ALTER COLUMN REGISTER_ID TYPE VARCHAR(50);</v>
      </c>
      <c r="AE101" s="50" t="str">
        <f t="shared" si="45"/>
        <v>ALTER TABLE TB_CLASS_CATEGORY_CL02 ADD COLUMN REGISTER_ID VARCHAR(50) NOT NULL;</v>
      </c>
      <c r="AF101" s="50" t="str">
        <f t="shared" si="27"/>
        <v>ALTER TABLE TB_CLASS_CATEGORY_CL02 DROP COLUMN REGISTER_ID;</v>
      </c>
      <c r="AG101" s="50" t="str">
        <f t="shared" si="46"/>
        <v/>
      </c>
      <c r="AH101" s="50" t="str">
        <f t="shared" si="47"/>
        <v>COMMENT ON COLUMN TB_CLASS_CATEGORY_CL02.REGISTER_ID IS '등록자 ID' ;</v>
      </c>
    </row>
    <row r="102" spans="1:34" ht="20" customHeight="1">
      <c r="A102" s="55">
        <v>98</v>
      </c>
      <c r="B102" s="26" t="s">
        <v>7</v>
      </c>
      <c r="C102" s="25" t="s">
        <v>11</v>
      </c>
      <c r="D102" s="13" t="s">
        <v>766</v>
      </c>
      <c r="E102" s="13" t="s">
        <v>773</v>
      </c>
      <c r="F102" s="97">
        <v>6</v>
      </c>
      <c r="G102" s="102" t="s">
        <v>91</v>
      </c>
      <c r="H102" s="51" t="s">
        <v>77</v>
      </c>
      <c r="I102" s="75" t="s">
        <v>72</v>
      </c>
      <c r="J102" s="52"/>
      <c r="K102" s="52"/>
      <c r="L102" s="52"/>
      <c r="M102" s="52"/>
      <c r="N102" s="52"/>
      <c r="O102" s="52"/>
      <c r="P102" s="56" t="s">
        <v>106</v>
      </c>
      <c r="Q102" s="126" t="s">
        <v>549</v>
      </c>
      <c r="R102" s="85"/>
      <c r="S102" s="112" t="s">
        <v>218</v>
      </c>
      <c r="T102" s="83"/>
      <c r="U102" s="83"/>
      <c r="V102" s="106"/>
      <c r="W102" s="45"/>
      <c r="X102" s="83"/>
      <c r="Y102" s="129" t="str">
        <f t="shared" si="39"/>
        <v>TB_CLASS_CATEGORY_CL02</v>
      </c>
      <c r="Z102" s="50" t="str">
        <f t="shared" si="40"/>
        <v>REGISTER_IP VARCHAR(100) NOT NULL,</v>
      </c>
      <c r="AA102" s="50" t="str">
        <f t="shared" si="41"/>
        <v/>
      </c>
      <c r="AB102" s="50" t="str">
        <f t="shared" si="42"/>
        <v/>
      </c>
      <c r="AC102" s="50" t="str">
        <f t="shared" si="43"/>
        <v/>
      </c>
      <c r="AD102" s="50" t="str">
        <f t="shared" si="44"/>
        <v>ALTER TABLE TB_CLASS_CATEGORY_CL02 ALTER COLUMN REGISTER_IP TYPE VARCHAR(100);</v>
      </c>
      <c r="AE102" s="50" t="str">
        <f t="shared" si="45"/>
        <v>ALTER TABLE TB_CLASS_CATEGORY_CL02 ADD COLUMN REGISTER_IP VARCHAR(100) NOT NULL;</v>
      </c>
      <c r="AF102" s="50" t="str">
        <f t="shared" si="27"/>
        <v>ALTER TABLE TB_CLASS_CATEGORY_CL02 DROP COLUMN REGISTER_IP;</v>
      </c>
      <c r="AG102" s="50" t="str">
        <f t="shared" si="46"/>
        <v/>
      </c>
      <c r="AH102" s="50" t="str">
        <f t="shared" si="47"/>
        <v>COMMENT ON COLUMN TB_CLASS_CATEGORY_CL02.REGISTER_IP IS '등록자 IP' ;</v>
      </c>
    </row>
    <row r="103" spans="1:34" ht="20" customHeight="1">
      <c r="A103" s="55">
        <v>99</v>
      </c>
      <c r="B103" s="26" t="s">
        <v>7</v>
      </c>
      <c r="C103" s="25" t="s">
        <v>11</v>
      </c>
      <c r="D103" s="13" t="s">
        <v>766</v>
      </c>
      <c r="E103" s="13" t="s">
        <v>773</v>
      </c>
      <c r="F103" s="97">
        <v>7</v>
      </c>
      <c r="G103" s="102" t="s">
        <v>92</v>
      </c>
      <c r="H103" s="101" t="s">
        <v>78</v>
      </c>
      <c r="I103" s="75" t="s">
        <v>72</v>
      </c>
      <c r="J103" s="52"/>
      <c r="K103" s="52"/>
      <c r="L103" s="52"/>
      <c r="M103" s="52"/>
      <c r="N103" s="52"/>
      <c r="O103" s="52"/>
      <c r="P103" s="51" t="s">
        <v>732</v>
      </c>
      <c r="Q103" s="126"/>
      <c r="R103" s="85"/>
      <c r="S103" s="112" t="s">
        <v>217</v>
      </c>
      <c r="T103" s="83"/>
      <c r="U103" s="83"/>
      <c r="V103" s="106"/>
      <c r="W103" s="45"/>
      <c r="X103" s="83"/>
      <c r="Y103" s="129" t="str">
        <f t="shared" si="39"/>
        <v>TB_CLASS_CATEGORY_CL02</v>
      </c>
      <c r="Z103" s="50" t="str">
        <f t="shared" si="40"/>
        <v>REG_DT TIMESTAMP NOT NULL,</v>
      </c>
      <c r="AA103" s="50" t="str">
        <f t="shared" si="41"/>
        <v/>
      </c>
      <c r="AB103" s="50" t="str">
        <f t="shared" si="42"/>
        <v/>
      </c>
      <c r="AC103" s="50" t="str">
        <f t="shared" si="43"/>
        <v/>
      </c>
      <c r="AD103" s="50" t="str">
        <f t="shared" si="44"/>
        <v>ALTER TABLE TB_CLASS_CATEGORY_CL02 ALTER COLUMN REG_DT TYPE TIMESTAMP;</v>
      </c>
      <c r="AE103" s="50" t="str">
        <f t="shared" si="45"/>
        <v>ALTER TABLE TB_CLASS_CATEGORY_CL02 ADD COLUMN REG_DT TIMESTAMP NOT NULL;</v>
      </c>
      <c r="AF103" s="50" t="str">
        <f t="shared" si="27"/>
        <v>ALTER TABLE TB_CLASS_CATEGORY_CL02 DROP COLUMN REG_DT;</v>
      </c>
      <c r="AG103" s="50" t="str">
        <f t="shared" si="46"/>
        <v/>
      </c>
      <c r="AH103" s="50" t="str">
        <f t="shared" si="47"/>
        <v>COMMENT ON COLUMN TB_CLASS_CATEGORY_CL02.REG_DT IS '등록 일시' ;</v>
      </c>
    </row>
    <row r="104" spans="1:34" ht="20" customHeight="1">
      <c r="A104" s="55">
        <v>100</v>
      </c>
      <c r="B104" s="26" t="s">
        <v>7</v>
      </c>
      <c r="C104" s="25" t="s">
        <v>11</v>
      </c>
      <c r="D104" s="13" t="s">
        <v>766</v>
      </c>
      <c r="E104" s="13" t="s">
        <v>773</v>
      </c>
      <c r="F104" s="97">
        <v>8</v>
      </c>
      <c r="G104" s="102" t="s">
        <v>93</v>
      </c>
      <c r="H104" s="101" t="s">
        <v>80</v>
      </c>
      <c r="I104" s="52"/>
      <c r="J104" s="52"/>
      <c r="K104" s="52"/>
      <c r="L104" s="84"/>
      <c r="M104" s="84"/>
      <c r="N104" s="84"/>
      <c r="O104" s="84"/>
      <c r="P104" s="105" t="s">
        <v>543</v>
      </c>
      <c r="Q104" s="126" t="s">
        <v>548</v>
      </c>
      <c r="R104" s="85"/>
      <c r="S104" s="112" t="s">
        <v>216</v>
      </c>
      <c r="T104" s="83"/>
      <c r="U104" s="83"/>
      <c r="V104" s="123" t="s">
        <v>518</v>
      </c>
      <c r="W104" s="45"/>
      <c r="X104" s="83"/>
      <c r="Y104" s="129" t="str">
        <f t="shared" si="39"/>
        <v>TB_CLASS_CATEGORY_CL02</v>
      </c>
      <c r="Z104" s="50" t="str">
        <f t="shared" si="40"/>
        <v>UPDUSR_ID VARCHAR(50),</v>
      </c>
      <c r="AA104" s="50" t="str">
        <f t="shared" si="41"/>
        <v/>
      </c>
      <c r="AB104" s="50" t="str">
        <f t="shared" si="42"/>
        <v/>
      </c>
      <c r="AC104" s="50" t="str">
        <f t="shared" si="43"/>
        <v/>
      </c>
      <c r="AD104" s="50" t="str">
        <f t="shared" si="44"/>
        <v>ALTER TABLE TB_CLASS_CATEGORY_CL02 ALTER COLUMN UPDUSR_ID TYPE VARCHAR(50);</v>
      </c>
      <c r="AE104" s="50" t="str">
        <f t="shared" si="45"/>
        <v>ALTER TABLE TB_CLASS_CATEGORY_CL02 ADD COLUMN UPDUSR_ID VARCHAR(50);</v>
      </c>
      <c r="AF104" s="50" t="str">
        <f t="shared" si="27"/>
        <v>ALTER TABLE TB_CLASS_CATEGORY_CL02 DROP COLUMN UPDUSR_ID;</v>
      </c>
      <c r="AG104" s="50" t="str">
        <f t="shared" si="46"/>
        <v/>
      </c>
      <c r="AH104" s="50" t="str">
        <f t="shared" si="47"/>
        <v>COMMENT ON COLUMN TB_CLASS_CATEGORY_CL02.UPDUSR_ID IS '수정자 ID' ;</v>
      </c>
    </row>
    <row r="105" spans="1:34" ht="20" customHeight="1">
      <c r="A105" s="55">
        <v>101</v>
      </c>
      <c r="B105" s="26" t="s">
        <v>7</v>
      </c>
      <c r="C105" s="25" t="s">
        <v>11</v>
      </c>
      <c r="D105" s="13" t="s">
        <v>766</v>
      </c>
      <c r="E105" s="13" t="s">
        <v>773</v>
      </c>
      <c r="F105" s="97">
        <v>9</v>
      </c>
      <c r="G105" s="102" t="s">
        <v>94</v>
      </c>
      <c r="H105" s="101" t="s">
        <v>79</v>
      </c>
      <c r="I105" s="52"/>
      <c r="J105" s="52"/>
      <c r="K105" s="52"/>
      <c r="L105" s="52"/>
      <c r="M105" s="52"/>
      <c r="N105" s="52"/>
      <c r="O105" s="52"/>
      <c r="P105" s="56" t="s">
        <v>106</v>
      </c>
      <c r="Q105" s="126" t="s">
        <v>549</v>
      </c>
      <c r="R105" s="85"/>
      <c r="S105" s="112" t="s">
        <v>215</v>
      </c>
      <c r="T105" s="83"/>
      <c r="U105" s="83"/>
      <c r="V105" s="106"/>
      <c r="W105" s="45"/>
      <c r="X105" s="83"/>
      <c r="Y105" s="129" t="str">
        <f t="shared" si="39"/>
        <v>TB_CLASS_CATEGORY_CL02</v>
      </c>
      <c r="Z105" s="50" t="str">
        <f t="shared" si="40"/>
        <v>UPDUSR_IP VARCHAR(100),</v>
      </c>
      <c r="AA105" s="50" t="str">
        <f t="shared" si="41"/>
        <v/>
      </c>
      <c r="AB105" s="50" t="str">
        <f t="shared" si="42"/>
        <v/>
      </c>
      <c r="AC105" s="50" t="str">
        <f t="shared" si="43"/>
        <v/>
      </c>
      <c r="AD105" s="50" t="str">
        <f t="shared" si="44"/>
        <v>ALTER TABLE TB_CLASS_CATEGORY_CL02 ALTER COLUMN UPDUSR_IP TYPE VARCHAR(100);</v>
      </c>
      <c r="AE105" s="50" t="str">
        <f t="shared" si="45"/>
        <v>ALTER TABLE TB_CLASS_CATEGORY_CL02 ADD COLUMN UPDUSR_IP VARCHAR(100);</v>
      </c>
      <c r="AF105" s="50" t="str">
        <f t="shared" si="27"/>
        <v>ALTER TABLE TB_CLASS_CATEGORY_CL02 DROP COLUMN UPDUSR_IP;</v>
      </c>
      <c r="AG105" s="50" t="str">
        <f t="shared" si="46"/>
        <v/>
      </c>
      <c r="AH105" s="50" t="str">
        <f t="shared" si="47"/>
        <v>COMMENT ON COLUMN TB_CLASS_CATEGORY_CL02.UPDUSR_IP IS '수정자 IP' ;</v>
      </c>
    </row>
    <row r="106" spans="1:34" ht="20" customHeight="1">
      <c r="A106" s="55">
        <v>102</v>
      </c>
      <c r="B106" s="26" t="s">
        <v>7</v>
      </c>
      <c r="C106" s="25" t="s">
        <v>11</v>
      </c>
      <c r="D106" s="13" t="s">
        <v>766</v>
      </c>
      <c r="E106" s="13" t="s">
        <v>773</v>
      </c>
      <c r="F106" s="97">
        <v>10</v>
      </c>
      <c r="G106" s="103" t="s">
        <v>95</v>
      </c>
      <c r="H106" s="102" t="s">
        <v>81</v>
      </c>
      <c r="I106" s="61"/>
      <c r="J106" s="61"/>
      <c r="K106" s="61"/>
      <c r="L106" s="61"/>
      <c r="M106" s="61"/>
      <c r="N106" s="61"/>
      <c r="O106" s="61"/>
      <c r="P106" s="51" t="s">
        <v>732</v>
      </c>
      <c r="Q106" s="126"/>
      <c r="R106" s="82"/>
      <c r="S106" s="112" t="s">
        <v>214</v>
      </c>
      <c r="T106" s="83"/>
      <c r="U106" s="83"/>
      <c r="V106" s="106"/>
      <c r="W106" s="45"/>
      <c r="X106" s="83"/>
      <c r="Y106" s="129" t="str">
        <f t="shared" si="39"/>
        <v>TB_CLASS_CATEGORY_CL02</v>
      </c>
      <c r="Z106" s="50" t="str">
        <f t="shared" si="40"/>
        <v>UPDT_DT TIMESTAMP,</v>
      </c>
      <c r="AA106" s="50" t="str">
        <f t="shared" si="41"/>
        <v/>
      </c>
      <c r="AB106" s="50" t="str">
        <f t="shared" si="42"/>
        <v/>
      </c>
      <c r="AC106" s="50" t="str">
        <f t="shared" si="43"/>
        <v/>
      </c>
      <c r="AD106" s="50" t="str">
        <f t="shared" si="44"/>
        <v>ALTER TABLE TB_CLASS_CATEGORY_CL02 ALTER COLUMN UPDT_DT TYPE TIMESTAMP;</v>
      </c>
      <c r="AE106" s="50" t="str">
        <f t="shared" si="45"/>
        <v>ALTER TABLE TB_CLASS_CATEGORY_CL02 ADD COLUMN UPDT_DT TIMESTAMP;</v>
      </c>
      <c r="AF106" s="50" t="str">
        <f t="shared" si="27"/>
        <v>ALTER TABLE TB_CLASS_CATEGORY_CL02 DROP COLUMN UPDT_DT;</v>
      </c>
      <c r="AG106" s="50" t="str">
        <f t="shared" si="46"/>
        <v/>
      </c>
      <c r="AH106" s="50" t="str">
        <f t="shared" si="47"/>
        <v>COMMENT ON COLUMN TB_CLASS_CATEGORY_CL02.UPDT_DT IS '수정 일시' ;</v>
      </c>
    </row>
    <row r="107" spans="1:34" ht="20" customHeight="1">
      <c r="A107" s="55">
        <v>103</v>
      </c>
      <c r="B107" s="26" t="s">
        <v>7</v>
      </c>
      <c r="C107" s="25" t="s">
        <v>11</v>
      </c>
      <c r="D107" s="13" t="s">
        <v>766</v>
      </c>
      <c r="E107" s="13" t="s">
        <v>773</v>
      </c>
      <c r="F107" s="97">
        <v>11</v>
      </c>
      <c r="G107" s="102" t="s">
        <v>96</v>
      </c>
      <c r="H107" s="102" t="s">
        <v>82</v>
      </c>
      <c r="I107" s="75" t="s">
        <v>72</v>
      </c>
      <c r="J107" s="61"/>
      <c r="K107" s="61"/>
      <c r="L107" s="61"/>
      <c r="M107" s="61"/>
      <c r="N107" s="61"/>
      <c r="O107" s="61"/>
      <c r="P107" s="51" t="s">
        <v>106</v>
      </c>
      <c r="Q107" s="126" t="s">
        <v>544</v>
      </c>
      <c r="R107" s="87" t="s">
        <v>592</v>
      </c>
      <c r="S107" s="112" t="s">
        <v>213</v>
      </c>
      <c r="T107" s="83"/>
      <c r="U107" s="83"/>
      <c r="V107" s="106"/>
      <c r="W107" s="45"/>
      <c r="X107" s="83"/>
      <c r="Y107" s="129" t="str">
        <f t="shared" si="39"/>
        <v>TB_CLASS_CATEGORY_CL02</v>
      </c>
      <c r="Z107" s="50" t="str">
        <f t="shared" si="40"/>
        <v>DEL_YN VARCHAR(1) NOT NULL,</v>
      </c>
      <c r="AA107" s="50" t="str">
        <f t="shared" si="41"/>
        <v/>
      </c>
      <c r="AB107" s="50" t="str">
        <f t="shared" si="42"/>
        <v/>
      </c>
      <c r="AC107" s="50" t="str">
        <f t="shared" si="43"/>
        <v/>
      </c>
      <c r="AD107" s="50" t="str">
        <f t="shared" si="44"/>
        <v>ALTER TABLE TB_CLASS_CATEGORY_CL02 ALTER COLUMN DEL_YN TYPE VARCHAR(1);</v>
      </c>
      <c r="AE107" s="50" t="str">
        <f t="shared" si="45"/>
        <v>ALTER TABLE TB_CLASS_CATEGORY_CL02 ADD COLUMN DEL_YN VARCHAR(1) NOT NULL DEFAULT ''N'';</v>
      </c>
      <c r="AF107" s="50" t="str">
        <f t="shared" si="27"/>
        <v>ALTER TABLE TB_CLASS_CATEGORY_CL02 DROP COLUMN DEL_YN;</v>
      </c>
      <c r="AG107" s="50" t="str">
        <f t="shared" si="46"/>
        <v>ALTER TABLE TB_CLASS_CATEGORY_CL02 ALTER COLUMN DEL_YN SET DEFAULT 'N';</v>
      </c>
      <c r="AH107" s="50" t="str">
        <f t="shared" si="47"/>
        <v>COMMENT ON COLUMN TB_CLASS_CATEGORY_CL02.DEL_YN IS '삭제 여부' ;</v>
      </c>
    </row>
    <row r="108" spans="1:34" ht="20" customHeight="1">
      <c r="A108" s="55">
        <v>104</v>
      </c>
      <c r="B108" s="26" t="s">
        <v>7</v>
      </c>
      <c r="C108" s="25" t="s">
        <v>11</v>
      </c>
      <c r="D108" s="13" t="s">
        <v>154</v>
      </c>
      <c r="E108" s="13" t="s">
        <v>152</v>
      </c>
      <c r="F108" s="97">
        <v>1</v>
      </c>
      <c r="G108" s="106" t="s">
        <v>185</v>
      </c>
      <c r="H108" s="106" t="s">
        <v>186</v>
      </c>
      <c r="I108" s="45" t="s">
        <v>191</v>
      </c>
      <c r="J108" s="45">
        <v>1</v>
      </c>
      <c r="K108" s="45"/>
      <c r="L108" s="45"/>
      <c r="M108" s="45"/>
      <c r="N108" s="45"/>
      <c r="O108" s="45"/>
      <c r="P108" s="106" t="s">
        <v>172</v>
      </c>
      <c r="Q108" s="97"/>
      <c r="R108" s="45"/>
      <c r="S108" s="106" t="s">
        <v>192</v>
      </c>
      <c r="T108" s="132" t="str">
        <f>"SEQ_"&amp;D108&amp;"_SN"</f>
        <v>SEQ_TB_CLASS_DETAIL_SN</v>
      </c>
      <c r="U108" s="132"/>
      <c r="V108" s="106"/>
      <c r="W108" s="45"/>
      <c r="X108" s="83"/>
      <c r="Y108" s="129" t="str">
        <f t="shared" si="15"/>
        <v>TB_CLASS_DETAIL</v>
      </c>
      <c r="Z108" s="50" t="str">
        <f t="shared" si="19"/>
        <v>CLASS_DETAIL_SN INTEGER PRIMARY KEY,</v>
      </c>
      <c r="AA108" s="50" t="str">
        <f t="shared" si="16"/>
        <v/>
      </c>
      <c r="AB108" s="50" t="str">
        <f t="shared" si="17"/>
        <v>CREATE SEQUENCE SEQ_TB_CLASS_DETAIL_SN START 100000;</v>
      </c>
      <c r="AC108" s="50" t="str">
        <f t="shared" si="24"/>
        <v>ALTER TABLE TB_CLASS_DETAIL ALTER COLUMN CLASS_DETAIL_SN SET DEFAULT NEXTVAL('SEQ_TB_CLASS_DETAIL_SN');</v>
      </c>
      <c r="AD108" s="50" t="str">
        <f t="shared" si="25"/>
        <v>ALTER TABLE TB_CLASS_DETAIL ALTER COLUMN CLASS_DETAIL_SN TYPE INTEGER;</v>
      </c>
      <c r="AE108" s="50" t="str">
        <f t="shared" si="26"/>
        <v>ALTER TABLE TB_CLASS_DETAIL ADD COLUMN CLASS_DETAIL_SN INTEGER NOT NULL;</v>
      </c>
      <c r="AF108" s="50" t="str">
        <f t="shared" si="27"/>
        <v>ALTER TABLE TB_CLASS_DETAIL DROP COLUMN CLASS_DETAIL_SN;</v>
      </c>
      <c r="AG108" s="50" t="str">
        <f t="shared" si="28"/>
        <v/>
      </c>
      <c r="AH108" s="50" t="str">
        <f t="shared" si="18"/>
        <v>COMMENT ON COLUMN TB_CLASS_DETAIL.CLASS_DETAIL_SN IS '클래스 상세 일련번호' ;</v>
      </c>
    </row>
    <row r="109" spans="1:34" ht="20" customHeight="1">
      <c r="A109" s="55">
        <v>105</v>
      </c>
      <c r="B109" s="26" t="s">
        <v>7</v>
      </c>
      <c r="C109" s="25" t="s">
        <v>11</v>
      </c>
      <c r="D109" s="13" t="s">
        <v>154</v>
      </c>
      <c r="E109" s="13" t="s">
        <v>152</v>
      </c>
      <c r="F109" s="97">
        <v>2</v>
      </c>
      <c r="G109" s="106" t="s">
        <v>162</v>
      </c>
      <c r="H109" s="106" t="s">
        <v>180</v>
      </c>
      <c r="I109" s="75" t="s">
        <v>72</v>
      </c>
      <c r="J109" s="45"/>
      <c r="K109" s="45">
        <v>1</v>
      </c>
      <c r="L109" s="13" t="s">
        <v>22</v>
      </c>
      <c r="M109" s="106" t="s">
        <v>162</v>
      </c>
      <c r="N109" s="100" t="s">
        <v>562</v>
      </c>
      <c r="O109" s="100" t="s">
        <v>564</v>
      </c>
      <c r="P109" s="106" t="s">
        <v>172</v>
      </c>
      <c r="Q109" s="97"/>
      <c r="R109" s="45"/>
      <c r="S109" s="106" t="s">
        <v>175</v>
      </c>
      <c r="T109" s="83"/>
      <c r="U109" s="83"/>
      <c r="V109" s="106"/>
      <c r="W109" s="45"/>
      <c r="X109" s="83"/>
      <c r="Y109" s="129" t="str">
        <f t="shared" si="15"/>
        <v>TB_CLASS_DETAIL</v>
      </c>
      <c r="Z109" s="50" t="str">
        <f t="shared" si="19"/>
        <v>CLASS_SN INTEGER NOT NULL,</v>
      </c>
      <c r="AA109" s="50" t="str">
        <f t="shared" si="16"/>
        <v>ALTER TABLE TB_CLASS_DETAIL ADD CONSTRAINT TB_CLASS_DETAIL_FKEY1 FOREIGN KEY(CLASS_SN) REFERENCES TB_CLASS(CLASS_SN) ON UPDATE CASCADE ON DELETE CASCADE;</v>
      </c>
      <c r="AB109" s="50" t="str">
        <f t="shared" si="17"/>
        <v/>
      </c>
      <c r="AC109" s="50" t="str">
        <f t="shared" si="24"/>
        <v/>
      </c>
      <c r="AD109" s="50" t="str">
        <f t="shared" si="25"/>
        <v>ALTER TABLE TB_CLASS_DETAIL ALTER COLUMN CLASS_SN TYPE INTEGER;</v>
      </c>
      <c r="AE109" s="50" t="str">
        <f t="shared" si="26"/>
        <v>ALTER TABLE TB_CLASS_DETAIL ADD COLUMN CLASS_SN INTEGER NOT NULL;</v>
      </c>
      <c r="AF109" s="50" t="str">
        <f t="shared" si="27"/>
        <v>ALTER TABLE TB_CLASS_DETAIL DROP COLUMN CLASS_SN;</v>
      </c>
      <c r="AG109" s="50" t="str">
        <f t="shared" si="28"/>
        <v/>
      </c>
      <c r="AH109" s="50" t="str">
        <f t="shared" si="18"/>
        <v>COMMENT ON COLUMN TB_CLASS_DETAIL.CLASS_SN IS '클래스 일련번호' ;</v>
      </c>
    </row>
    <row r="110" spans="1:34" ht="20" customHeight="1">
      <c r="A110" s="55">
        <v>106</v>
      </c>
      <c r="B110" s="26" t="s">
        <v>7</v>
      </c>
      <c r="C110" s="25" t="s">
        <v>11</v>
      </c>
      <c r="D110" s="13" t="s">
        <v>154</v>
      </c>
      <c r="E110" s="13" t="s">
        <v>152</v>
      </c>
      <c r="F110" s="97">
        <v>3</v>
      </c>
      <c r="G110" s="106" t="s">
        <v>195</v>
      </c>
      <c r="H110" s="106" t="s">
        <v>189</v>
      </c>
      <c r="I110" s="75" t="s">
        <v>72</v>
      </c>
      <c r="J110" s="45"/>
      <c r="K110" s="45"/>
      <c r="L110" s="45"/>
      <c r="M110" s="45"/>
      <c r="N110" s="45"/>
      <c r="O110" s="45"/>
      <c r="P110" s="109" t="s">
        <v>229</v>
      </c>
      <c r="Q110" s="47"/>
      <c r="R110" s="45"/>
      <c r="S110" s="106" t="s">
        <v>194</v>
      </c>
      <c r="T110" s="132"/>
      <c r="U110" s="132"/>
      <c r="V110" s="106"/>
      <c r="W110" s="45"/>
      <c r="X110" s="83"/>
      <c r="Y110" s="129" t="str">
        <f t="shared" si="15"/>
        <v>TB_CLASS_DETAIL</v>
      </c>
      <c r="Z110" s="50" t="str">
        <f t="shared" si="19"/>
        <v>CLASS_DETAIL_SEQ INTEGER NOT NULL,</v>
      </c>
      <c r="AA110" s="50" t="str">
        <f t="shared" si="16"/>
        <v/>
      </c>
      <c r="AB110" s="50" t="str">
        <f t="shared" si="17"/>
        <v/>
      </c>
      <c r="AC110" s="50" t="str">
        <f t="shared" si="24"/>
        <v/>
      </c>
      <c r="AD110" s="50" t="str">
        <f t="shared" si="25"/>
        <v>ALTER TABLE TB_CLASS_DETAIL ALTER COLUMN CLASS_DETAIL_SEQ TYPE INTEGER;</v>
      </c>
      <c r="AE110" s="50" t="str">
        <f t="shared" si="26"/>
        <v>ALTER TABLE TB_CLASS_DETAIL ADD COLUMN CLASS_DETAIL_SEQ INTEGER NOT NULL;</v>
      </c>
      <c r="AF110" s="50" t="str">
        <f t="shared" si="27"/>
        <v>ALTER TABLE TB_CLASS_DETAIL DROP COLUMN CLASS_DETAIL_SEQ;</v>
      </c>
      <c r="AG110" s="50" t="str">
        <f t="shared" si="28"/>
        <v/>
      </c>
      <c r="AH110" s="50" t="str">
        <f t="shared" si="18"/>
        <v>COMMENT ON COLUMN TB_CLASS_DETAIL.CLASS_DETAIL_SEQ IS '클래스 상세 순번' ;</v>
      </c>
    </row>
    <row r="111" spans="1:34" ht="20" customHeight="1">
      <c r="A111" s="55">
        <v>107</v>
      </c>
      <c r="B111" s="26" t="s">
        <v>7</v>
      </c>
      <c r="C111" s="25" t="s">
        <v>11</v>
      </c>
      <c r="D111" s="13" t="s">
        <v>154</v>
      </c>
      <c r="E111" s="13" t="s">
        <v>152</v>
      </c>
      <c r="F111" s="97">
        <v>4</v>
      </c>
      <c r="G111" s="106" t="s">
        <v>197</v>
      </c>
      <c r="H111" s="106" t="s">
        <v>196</v>
      </c>
      <c r="I111" s="75" t="s">
        <v>72</v>
      </c>
      <c r="J111" s="45"/>
      <c r="K111" s="45"/>
      <c r="L111" s="45"/>
      <c r="M111" s="45"/>
      <c r="N111" s="45"/>
      <c r="O111" s="45"/>
      <c r="P111" s="106" t="s">
        <v>170</v>
      </c>
      <c r="Q111" s="126" t="s">
        <v>548</v>
      </c>
      <c r="R111" s="45"/>
      <c r="S111" s="106" t="s">
        <v>198</v>
      </c>
      <c r="T111" s="83"/>
      <c r="U111" s="83"/>
      <c r="V111" s="106" t="s">
        <v>208</v>
      </c>
      <c r="W111" s="45"/>
      <c r="X111" s="83" t="s">
        <v>190</v>
      </c>
      <c r="Y111" s="129" t="str">
        <f t="shared" si="15"/>
        <v>TB_CLASS_DETAIL</v>
      </c>
      <c r="Z111" s="50" t="str">
        <f t="shared" si="19"/>
        <v>CLASS_DETAIL_ITEM_TY_CD VARCHAR(50) NOT NULL,</v>
      </c>
      <c r="AA111" s="50" t="str">
        <f t="shared" si="16"/>
        <v/>
      </c>
      <c r="AB111" s="50" t="str">
        <f t="shared" si="17"/>
        <v/>
      </c>
      <c r="AC111" s="50" t="str">
        <f t="shared" si="24"/>
        <v/>
      </c>
      <c r="AD111" s="50" t="str">
        <f t="shared" si="25"/>
        <v>ALTER TABLE TB_CLASS_DETAIL ALTER COLUMN CLASS_DETAIL_ITEM_TY_CD TYPE VARCHAR(50);</v>
      </c>
      <c r="AE111" s="50" t="str">
        <f t="shared" si="26"/>
        <v>ALTER TABLE TB_CLASS_DETAIL ADD COLUMN CLASS_DETAIL_ITEM_TY_CD VARCHAR(50) NOT NULL;</v>
      </c>
      <c r="AF111" s="50" t="str">
        <f t="shared" si="27"/>
        <v>ALTER TABLE TB_CLASS_DETAIL DROP COLUMN CLASS_DETAIL_ITEM_TY_CD;</v>
      </c>
      <c r="AG111" s="50" t="str">
        <f t="shared" si="28"/>
        <v/>
      </c>
      <c r="AH111" s="50" t="str">
        <f t="shared" si="18"/>
        <v>COMMENT ON COLUMN TB_CLASS_DETAIL.CLASS_DETAIL_ITEM_TY_CD IS '클래스 상세 항목 유형 코드' ;</v>
      </c>
    </row>
    <row r="112" spans="1:34" ht="20" customHeight="1">
      <c r="A112" s="55">
        <v>108</v>
      </c>
      <c r="B112" s="26" t="s">
        <v>7</v>
      </c>
      <c r="C112" s="25" t="s">
        <v>11</v>
      </c>
      <c r="D112" s="13" t="s">
        <v>154</v>
      </c>
      <c r="E112" s="13" t="s">
        <v>152</v>
      </c>
      <c r="F112" s="97">
        <v>5</v>
      </c>
      <c r="G112" s="106" t="s">
        <v>252</v>
      </c>
      <c r="H112" s="106" t="s">
        <v>251</v>
      </c>
      <c r="I112" s="45"/>
      <c r="J112" s="45"/>
      <c r="K112" s="45"/>
      <c r="L112" s="45"/>
      <c r="M112" s="45"/>
      <c r="N112" s="45"/>
      <c r="O112" s="45"/>
      <c r="P112" s="106" t="s">
        <v>170</v>
      </c>
      <c r="Q112" s="126" t="s">
        <v>552</v>
      </c>
      <c r="R112" s="45"/>
      <c r="S112" s="106" t="s">
        <v>250</v>
      </c>
      <c r="T112" s="83"/>
      <c r="U112" s="83"/>
      <c r="V112" s="106"/>
      <c r="W112" s="45"/>
      <c r="X112" s="83"/>
      <c r="Y112" s="129" t="str">
        <f t="shared" si="15"/>
        <v>TB_CLASS_DETAIL</v>
      </c>
      <c r="Z112" s="50" t="str">
        <f t="shared" si="19"/>
        <v>CLASS_DETAIL_ITEM_CN VARCHAR(2000),</v>
      </c>
      <c r="AA112" s="50" t="str">
        <f t="shared" si="16"/>
        <v/>
      </c>
      <c r="AB112" s="50" t="str">
        <f t="shared" si="17"/>
        <v/>
      </c>
      <c r="AC112" s="50" t="str">
        <f t="shared" si="24"/>
        <v/>
      </c>
      <c r="AD112" s="50" t="str">
        <f t="shared" si="25"/>
        <v>ALTER TABLE TB_CLASS_DETAIL ALTER COLUMN CLASS_DETAIL_ITEM_CN TYPE VARCHAR(2000);</v>
      </c>
      <c r="AE112" s="50" t="str">
        <f t="shared" si="26"/>
        <v>ALTER TABLE TB_CLASS_DETAIL ADD COLUMN CLASS_DETAIL_ITEM_CN VARCHAR(2000);</v>
      </c>
      <c r="AF112" s="50" t="str">
        <f t="shared" si="27"/>
        <v>ALTER TABLE TB_CLASS_DETAIL DROP COLUMN CLASS_DETAIL_ITEM_CN;</v>
      </c>
      <c r="AG112" s="50" t="str">
        <f t="shared" si="28"/>
        <v/>
      </c>
      <c r="AH112" s="50" t="str">
        <f t="shared" si="18"/>
        <v>COMMENT ON COLUMN TB_CLASS_DETAIL.CLASS_DETAIL_ITEM_CN IS '클래스 상세 항목' ;</v>
      </c>
    </row>
    <row r="113" spans="1:34" ht="20" customHeight="1">
      <c r="A113" s="55">
        <v>109</v>
      </c>
      <c r="B113" s="26" t="s">
        <v>7</v>
      </c>
      <c r="C113" s="25" t="s">
        <v>11</v>
      </c>
      <c r="D113" s="13" t="s">
        <v>154</v>
      </c>
      <c r="E113" s="13" t="s">
        <v>152</v>
      </c>
      <c r="F113" s="97">
        <v>6</v>
      </c>
      <c r="G113" s="106" t="s">
        <v>314</v>
      </c>
      <c r="H113" s="106" t="s">
        <v>313</v>
      </c>
      <c r="I113" s="45" t="s">
        <v>280</v>
      </c>
      <c r="J113" s="45"/>
      <c r="K113" s="45"/>
      <c r="L113" s="45"/>
      <c r="M113" s="45"/>
      <c r="N113" s="45"/>
      <c r="O113" s="45"/>
      <c r="P113" s="51" t="s">
        <v>106</v>
      </c>
      <c r="Q113" s="126" t="s">
        <v>544</v>
      </c>
      <c r="R113" s="86"/>
      <c r="S113" s="112" t="s">
        <v>315</v>
      </c>
      <c r="T113" s="130"/>
      <c r="U113" s="130"/>
      <c r="V113" s="106" t="s">
        <v>316</v>
      </c>
      <c r="W113" s="45"/>
      <c r="X113" s="83"/>
      <c r="Y113" s="129" t="str">
        <f t="shared" si="15"/>
        <v>TB_CLASS_DETAIL</v>
      </c>
      <c r="Z113" s="50" t="str">
        <f t="shared" si="19"/>
        <v>CLASS_DETAIL_ESSNTL_YN VARCHAR(1) NOT NULL,</v>
      </c>
      <c r="AA113" s="50" t="str">
        <f t="shared" si="16"/>
        <v/>
      </c>
      <c r="AB113" s="50" t="str">
        <f t="shared" si="17"/>
        <v/>
      </c>
      <c r="AC113" s="50" t="str">
        <f t="shared" si="24"/>
        <v/>
      </c>
      <c r="AD113" s="50" t="str">
        <f t="shared" si="25"/>
        <v>ALTER TABLE TB_CLASS_DETAIL ALTER COLUMN CLASS_DETAIL_ESSNTL_YN TYPE VARCHAR(1);</v>
      </c>
      <c r="AE113" s="50" t="str">
        <f t="shared" si="26"/>
        <v>ALTER TABLE TB_CLASS_DETAIL ADD COLUMN CLASS_DETAIL_ESSNTL_YN VARCHAR(1) NOT NULL;</v>
      </c>
      <c r="AF113" s="50" t="str">
        <f t="shared" si="27"/>
        <v>ALTER TABLE TB_CLASS_DETAIL DROP COLUMN CLASS_DETAIL_ESSNTL_YN;</v>
      </c>
      <c r="AG113" s="50" t="str">
        <f t="shared" si="28"/>
        <v/>
      </c>
      <c r="AH113" s="50" t="str">
        <f t="shared" si="18"/>
        <v>COMMENT ON COLUMN TB_CLASS_DETAIL.CLASS_DETAIL_ESSNTL_YN IS '클래스 상세 필수 여부' ;</v>
      </c>
    </row>
    <row r="114" spans="1:34" ht="20" customHeight="1">
      <c r="A114" s="55">
        <v>110</v>
      </c>
      <c r="B114" s="26" t="s">
        <v>7</v>
      </c>
      <c r="C114" s="25" t="s">
        <v>11</v>
      </c>
      <c r="D114" s="13" t="s">
        <v>154</v>
      </c>
      <c r="E114" s="13" t="s">
        <v>152</v>
      </c>
      <c r="F114" s="97">
        <v>7</v>
      </c>
      <c r="G114" s="102" t="s">
        <v>107</v>
      </c>
      <c r="H114" s="51" t="s">
        <v>76</v>
      </c>
      <c r="I114" s="75" t="s">
        <v>72</v>
      </c>
      <c r="J114" s="67"/>
      <c r="K114" s="67"/>
      <c r="L114" s="82"/>
      <c r="M114" s="82"/>
      <c r="N114" s="82"/>
      <c r="O114" s="82"/>
      <c r="P114" s="105" t="s">
        <v>543</v>
      </c>
      <c r="Q114" s="126" t="s">
        <v>548</v>
      </c>
      <c r="R114" s="85"/>
      <c r="S114" s="112" t="s">
        <v>219</v>
      </c>
      <c r="T114" s="83"/>
      <c r="U114" s="83"/>
      <c r="V114" s="123" t="s">
        <v>518</v>
      </c>
      <c r="W114" s="45"/>
      <c r="X114" s="83"/>
      <c r="Y114" s="129" t="str">
        <f t="shared" si="15"/>
        <v>TB_CLASS_DETAIL</v>
      </c>
      <c r="Z114" s="50" t="str">
        <f t="shared" si="19"/>
        <v>REGISTER_ID VARCHAR(50) NOT NULL,</v>
      </c>
      <c r="AA114" s="50" t="str">
        <f t="shared" si="16"/>
        <v/>
      </c>
      <c r="AB114" s="50" t="str">
        <f t="shared" si="17"/>
        <v/>
      </c>
      <c r="AC114" s="50" t="str">
        <f t="shared" si="24"/>
        <v/>
      </c>
      <c r="AD114" s="50" t="str">
        <f t="shared" si="25"/>
        <v>ALTER TABLE TB_CLASS_DETAIL ALTER COLUMN REGISTER_ID TYPE VARCHAR(50);</v>
      </c>
      <c r="AE114" s="50" t="str">
        <f t="shared" si="26"/>
        <v>ALTER TABLE TB_CLASS_DETAIL ADD COLUMN REGISTER_ID VARCHAR(50) NOT NULL;</v>
      </c>
      <c r="AF114" s="50" t="str">
        <f t="shared" si="27"/>
        <v>ALTER TABLE TB_CLASS_DETAIL DROP COLUMN REGISTER_ID;</v>
      </c>
      <c r="AG114" s="50" t="str">
        <f t="shared" si="28"/>
        <v/>
      </c>
      <c r="AH114" s="50" t="str">
        <f t="shared" si="18"/>
        <v>COMMENT ON COLUMN TB_CLASS_DETAIL.REGISTER_ID IS '등록자 ID' ;</v>
      </c>
    </row>
    <row r="115" spans="1:34" ht="20" customHeight="1">
      <c r="A115" s="55">
        <v>111</v>
      </c>
      <c r="B115" s="26" t="s">
        <v>7</v>
      </c>
      <c r="C115" s="25" t="s">
        <v>11</v>
      </c>
      <c r="D115" s="13" t="s">
        <v>154</v>
      </c>
      <c r="E115" s="13" t="s">
        <v>152</v>
      </c>
      <c r="F115" s="97">
        <v>8</v>
      </c>
      <c r="G115" s="102" t="s">
        <v>91</v>
      </c>
      <c r="H115" s="51" t="s">
        <v>77</v>
      </c>
      <c r="I115" s="75" t="s">
        <v>72</v>
      </c>
      <c r="J115" s="52"/>
      <c r="K115" s="52"/>
      <c r="L115" s="52"/>
      <c r="M115" s="52"/>
      <c r="N115" s="52"/>
      <c r="O115" s="52"/>
      <c r="P115" s="56" t="s">
        <v>106</v>
      </c>
      <c r="Q115" s="126" t="s">
        <v>549</v>
      </c>
      <c r="R115" s="85"/>
      <c r="S115" s="112" t="s">
        <v>218</v>
      </c>
      <c r="T115" s="83"/>
      <c r="U115" s="83"/>
      <c r="V115" s="106"/>
      <c r="W115" s="45"/>
      <c r="X115" s="83"/>
      <c r="Y115" s="129" t="str">
        <f t="shared" si="15"/>
        <v>TB_CLASS_DETAIL</v>
      </c>
      <c r="Z115" s="50" t="str">
        <f t="shared" si="19"/>
        <v>REGISTER_IP VARCHAR(100) NOT NULL,</v>
      </c>
      <c r="AA115" s="50" t="str">
        <f t="shared" si="16"/>
        <v/>
      </c>
      <c r="AB115" s="50" t="str">
        <f t="shared" si="17"/>
        <v/>
      </c>
      <c r="AC115" s="50" t="str">
        <f t="shared" si="24"/>
        <v/>
      </c>
      <c r="AD115" s="50" t="str">
        <f t="shared" si="25"/>
        <v>ALTER TABLE TB_CLASS_DETAIL ALTER COLUMN REGISTER_IP TYPE VARCHAR(100);</v>
      </c>
      <c r="AE115" s="50" t="str">
        <f t="shared" si="26"/>
        <v>ALTER TABLE TB_CLASS_DETAIL ADD COLUMN REGISTER_IP VARCHAR(100) NOT NULL;</v>
      </c>
      <c r="AF115" s="50" t="str">
        <f t="shared" si="27"/>
        <v>ALTER TABLE TB_CLASS_DETAIL DROP COLUMN REGISTER_IP;</v>
      </c>
      <c r="AG115" s="50" t="str">
        <f t="shared" si="28"/>
        <v/>
      </c>
      <c r="AH115" s="50" t="str">
        <f t="shared" si="18"/>
        <v>COMMENT ON COLUMN TB_CLASS_DETAIL.REGISTER_IP IS '등록자 IP' ;</v>
      </c>
    </row>
    <row r="116" spans="1:34" ht="20" customHeight="1">
      <c r="A116" s="55">
        <v>112</v>
      </c>
      <c r="B116" s="26" t="s">
        <v>7</v>
      </c>
      <c r="C116" s="25" t="s">
        <v>11</v>
      </c>
      <c r="D116" s="13" t="s">
        <v>154</v>
      </c>
      <c r="E116" s="13" t="s">
        <v>152</v>
      </c>
      <c r="F116" s="97">
        <v>9</v>
      </c>
      <c r="G116" s="102" t="s">
        <v>92</v>
      </c>
      <c r="H116" s="101" t="s">
        <v>78</v>
      </c>
      <c r="I116" s="75" t="s">
        <v>72</v>
      </c>
      <c r="J116" s="52"/>
      <c r="K116" s="52"/>
      <c r="L116" s="52"/>
      <c r="M116" s="52"/>
      <c r="N116" s="52"/>
      <c r="O116" s="52"/>
      <c r="P116" s="51" t="s">
        <v>732</v>
      </c>
      <c r="Q116" s="126"/>
      <c r="R116" s="85"/>
      <c r="S116" s="112" t="s">
        <v>217</v>
      </c>
      <c r="T116" s="83"/>
      <c r="U116" s="83"/>
      <c r="V116" s="106"/>
      <c r="W116" s="45"/>
      <c r="X116" s="83"/>
      <c r="Y116" s="129" t="str">
        <f t="shared" si="15"/>
        <v>TB_CLASS_DETAIL</v>
      </c>
      <c r="Z116" s="50" t="str">
        <f t="shared" si="19"/>
        <v>REG_DT TIMESTAMP NOT NULL,</v>
      </c>
      <c r="AA116" s="50" t="str">
        <f t="shared" si="16"/>
        <v/>
      </c>
      <c r="AB116" s="50" t="str">
        <f t="shared" si="17"/>
        <v/>
      </c>
      <c r="AC116" s="50" t="str">
        <f t="shared" si="24"/>
        <v/>
      </c>
      <c r="AD116" s="50" t="str">
        <f t="shared" si="25"/>
        <v>ALTER TABLE TB_CLASS_DETAIL ALTER COLUMN REG_DT TYPE TIMESTAMP;</v>
      </c>
      <c r="AE116" s="50" t="str">
        <f t="shared" si="26"/>
        <v>ALTER TABLE TB_CLASS_DETAIL ADD COLUMN REG_DT TIMESTAMP NOT NULL;</v>
      </c>
      <c r="AF116" s="50" t="str">
        <f t="shared" si="27"/>
        <v>ALTER TABLE TB_CLASS_DETAIL DROP COLUMN REG_DT;</v>
      </c>
      <c r="AG116" s="50" t="str">
        <f t="shared" si="28"/>
        <v/>
      </c>
      <c r="AH116" s="50" t="str">
        <f t="shared" si="18"/>
        <v>COMMENT ON COLUMN TB_CLASS_DETAIL.REG_DT IS '등록 일시' ;</v>
      </c>
    </row>
    <row r="117" spans="1:34" ht="20" customHeight="1">
      <c r="A117" s="55">
        <v>113</v>
      </c>
      <c r="B117" s="26" t="s">
        <v>7</v>
      </c>
      <c r="C117" s="25" t="s">
        <v>11</v>
      </c>
      <c r="D117" s="13" t="s">
        <v>154</v>
      </c>
      <c r="E117" s="13" t="s">
        <v>152</v>
      </c>
      <c r="F117" s="97">
        <v>10</v>
      </c>
      <c r="G117" s="102" t="s">
        <v>93</v>
      </c>
      <c r="H117" s="101" t="s">
        <v>80</v>
      </c>
      <c r="I117" s="52"/>
      <c r="J117" s="52"/>
      <c r="K117" s="52"/>
      <c r="L117" s="84"/>
      <c r="M117" s="84"/>
      <c r="N117" s="84"/>
      <c r="O117" s="84"/>
      <c r="P117" s="105" t="s">
        <v>543</v>
      </c>
      <c r="Q117" s="126" t="s">
        <v>548</v>
      </c>
      <c r="R117" s="85"/>
      <c r="S117" s="112" t="s">
        <v>216</v>
      </c>
      <c r="T117" s="83"/>
      <c r="U117" s="83"/>
      <c r="V117" s="123" t="s">
        <v>518</v>
      </c>
      <c r="W117" s="45"/>
      <c r="X117" s="83"/>
      <c r="Y117" s="129" t="str">
        <f t="shared" si="15"/>
        <v>TB_CLASS_DETAIL</v>
      </c>
      <c r="Z117" s="50" t="str">
        <f t="shared" si="19"/>
        <v>UPDUSR_ID VARCHAR(50),</v>
      </c>
      <c r="AA117" s="50" t="str">
        <f t="shared" si="16"/>
        <v/>
      </c>
      <c r="AB117" s="50" t="str">
        <f t="shared" si="17"/>
        <v/>
      </c>
      <c r="AC117" s="50" t="str">
        <f t="shared" si="24"/>
        <v/>
      </c>
      <c r="AD117" s="50" t="str">
        <f t="shared" si="25"/>
        <v>ALTER TABLE TB_CLASS_DETAIL ALTER COLUMN UPDUSR_ID TYPE VARCHAR(50);</v>
      </c>
      <c r="AE117" s="50" t="str">
        <f t="shared" si="26"/>
        <v>ALTER TABLE TB_CLASS_DETAIL ADD COLUMN UPDUSR_ID VARCHAR(50);</v>
      </c>
      <c r="AF117" s="50" t="str">
        <f t="shared" si="27"/>
        <v>ALTER TABLE TB_CLASS_DETAIL DROP COLUMN UPDUSR_ID;</v>
      </c>
      <c r="AG117" s="50" t="str">
        <f t="shared" si="28"/>
        <v/>
      </c>
      <c r="AH117" s="50" t="str">
        <f t="shared" si="18"/>
        <v>COMMENT ON COLUMN TB_CLASS_DETAIL.UPDUSR_ID IS '수정자 ID' ;</v>
      </c>
    </row>
    <row r="118" spans="1:34" ht="20" customHeight="1">
      <c r="A118" s="55">
        <v>114</v>
      </c>
      <c r="B118" s="26" t="s">
        <v>7</v>
      </c>
      <c r="C118" s="25" t="s">
        <v>11</v>
      </c>
      <c r="D118" s="13" t="s">
        <v>154</v>
      </c>
      <c r="E118" s="13" t="s">
        <v>152</v>
      </c>
      <c r="F118" s="97">
        <v>11</v>
      </c>
      <c r="G118" s="102" t="s">
        <v>94</v>
      </c>
      <c r="H118" s="101" t="s">
        <v>79</v>
      </c>
      <c r="I118" s="52"/>
      <c r="J118" s="52"/>
      <c r="K118" s="52"/>
      <c r="L118" s="52"/>
      <c r="M118" s="52"/>
      <c r="N118" s="52"/>
      <c r="O118" s="52"/>
      <c r="P118" s="56" t="s">
        <v>106</v>
      </c>
      <c r="Q118" s="126" t="s">
        <v>549</v>
      </c>
      <c r="R118" s="85"/>
      <c r="S118" s="112" t="s">
        <v>215</v>
      </c>
      <c r="T118" s="83"/>
      <c r="U118" s="83"/>
      <c r="V118" s="106"/>
      <c r="W118" s="45"/>
      <c r="X118" s="83"/>
      <c r="Y118" s="129" t="str">
        <f t="shared" si="15"/>
        <v>TB_CLASS_DETAIL</v>
      </c>
      <c r="Z118" s="50" t="str">
        <f t="shared" si="19"/>
        <v>UPDUSR_IP VARCHAR(100),</v>
      </c>
      <c r="AA118" s="50" t="str">
        <f t="shared" si="16"/>
        <v/>
      </c>
      <c r="AB118" s="50" t="str">
        <f t="shared" si="17"/>
        <v/>
      </c>
      <c r="AC118" s="50" t="str">
        <f t="shared" si="24"/>
        <v/>
      </c>
      <c r="AD118" s="50" t="str">
        <f t="shared" si="25"/>
        <v>ALTER TABLE TB_CLASS_DETAIL ALTER COLUMN UPDUSR_IP TYPE VARCHAR(100);</v>
      </c>
      <c r="AE118" s="50" t="str">
        <f t="shared" si="26"/>
        <v>ALTER TABLE TB_CLASS_DETAIL ADD COLUMN UPDUSR_IP VARCHAR(100);</v>
      </c>
      <c r="AF118" s="50" t="str">
        <f t="shared" si="27"/>
        <v>ALTER TABLE TB_CLASS_DETAIL DROP COLUMN UPDUSR_IP;</v>
      </c>
      <c r="AG118" s="50" t="str">
        <f t="shared" si="28"/>
        <v/>
      </c>
      <c r="AH118" s="50" t="str">
        <f t="shared" si="18"/>
        <v>COMMENT ON COLUMN TB_CLASS_DETAIL.UPDUSR_IP IS '수정자 IP' ;</v>
      </c>
    </row>
    <row r="119" spans="1:34" ht="20" customHeight="1">
      <c r="A119" s="55">
        <v>115</v>
      </c>
      <c r="B119" s="26" t="s">
        <v>7</v>
      </c>
      <c r="C119" s="25" t="s">
        <v>11</v>
      </c>
      <c r="D119" s="13" t="s">
        <v>154</v>
      </c>
      <c r="E119" s="13" t="s">
        <v>152</v>
      </c>
      <c r="F119" s="97">
        <v>12</v>
      </c>
      <c r="G119" s="103" t="s">
        <v>95</v>
      </c>
      <c r="H119" s="102" t="s">
        <v>81</v>
      </c>
      <c r="I119" s="61"/>
      <c r="J119" s="61"/>
      <c r="K119" s="61"/>
      <c r="L119" s="61"/>
      <c r="M119" s="61"/>
      <c r="N119" s="61"/>
      <c r="O119" s="61"/>
      <c r="P119" s="51" t="s">
        <v>732</v>
      </c>
      <c r="Q119" s="126"/>
      <c r="R119" s="82"/>
      <c r="S119" s="112" t="s">
        <v>214</v>
      </c>
      <c r="T119" s="83"/>
      <c r="U119" s="83"/>
      <c r="V119" s="106"/>
      <c r="W119" s="45"/>
      <c r="X119" s="83"/>
      <c r="Y119" s="129" t="str">
        <f t="shared" si="15"/>
        <v>TB_CLASS_DETAIL</v>
      </c>
      <c r="Z119" s="50" t="str">
        <f t="shared" si="19"/>
        <v>UPDT_DT TIMESTAMP,</v>
      </c>
      <c r="AA119" s="50" t="str">
        <f t="shared" si="16"/>
        <v/>
      </c>
      <c r="AB119" s="50" t="str">
        <f t="shared" si="17"/>
        <v/>
      </c>
      <c r="AC119" s="50" t="str">
        <f t="shared" si="24"/>
        <v/>
      </c>
      <c r="AD119" s="50" t="str">
        <f t="shared" si="25"/>
        <v>ALTER TABLE TB_CLASS_DETAIL ALTER COLUMN UPDT_DT TYPE TIMESTAMP;</v>
      </c>
      <c r="AE119" s="50" t="str">
        <f t="shared" si="26"/>
        <v>ALTER TABLE TB_CLASS_DETAIL ADD COLUMN UPDT_DT TIMESTAMP;</v>
      </c>
      <c r="AF119" s="50" t="str">
        <f t="shared" si="27"/>
        <v>ALTER TABLE TB_CLASS_DETAIL DROP COLUMN UPDT_DT;</v>
      </c>
      <c r="AG119" s="50" t="str">
        <f t="shared" si="28"/>
        <v/>
      </c>
      <c r="AH119" s="50" t="str">
        <f t="shared" si="18"/>
        <v>COMMENT ON COLUMN TB_CLASS_DETAIL.UPDT_DT IS '수정 일시' ;</v>
      </c>
    </row>
    <row r="120" spans="1:34" ht="20" customHeight="1">
      <c r="A120" s="55">
        <v>116</v>
      </c>
      <c r="B120" s="26" t="s">
        <v>7</v>
      </c>
      <c r="C120" s="25" t="s">
        <v>11</v>
      </c>
      <c r="D120" s="13" t="s">
        <v>154</v>
      </c>
      <c r="E120" s="13" t="s">
        <v>152</v>
      </c>
      <c r="F120" s="97">
        <v>13</v>
      </c>
      <c r="G120" s="102" t="s">
        <v>96</v>
      </c>
      <c r="H120" s="102" t="s">
        <v>82</v>
      </c>
      <c r="I120" s="75" t="s">
        <v>72</v>
      </c>
      <c r="J120" s="61"/>
      <c r="K120" s="61"/>
      <c r="L120" s="61"/>
      <c r="M120" s="61"/>
      <c r="N120" s="61"/>
      <c r="O120" s="61"/>
      <c r="P120" s="51" t="s">
        <v>106</v>
      </c>
      <c r="Q120" s="126" t="s">
        <v>544</v>
      </c>
      <c r="R120" s="87" t="s">
        <v>592</v>
      </c>
      <c r="S120" s="112" t="s">
        <v>213</v>
      </c>
      <c r="T120" s="83"/>
      <c r="U120" s="83"/>
      <c r="V120" s="106"/>
      <c r="W120" s="45"/>
      <c r="X120" s="83"/>
      <c r="Y120" s="129" t="str">
        <f t="shared" si="15"/>
        <v>TB_CLASS_DETAIL</v>
      </c>
      <c r="Z120" s="50" t="str">
        <f t="shared" si="19"/>
        <v>DEL_YN VARCHAR(1) NOT NULL,</v>
      </c>
      <c r="AA120" s="50" t="str">
        <f t="shared" si="16"/>
        <v/>
      </c>
      <c r="AB120" s="50" t="str">
        <f t="shared" si="17"/>
        <v/>
      </c>
      <c r="AC120" s="50" t="str">
        <f t="shared" si="24"/>
        <v/>
      </c>
      <c r="AD120" s="50" t="str">
        <f t="shared" si="25"/>
        <v>ALTER TABLE TB_CLASS_DETAIL ALTER COLUMN DEL_YN TYPE VARCHAR(1);</v>
      </c>
      <c r="AE120" s="50" t="str">
        <f t="shared" si="26"/>
        <v>ALTER TABLE TB_CLASS_DETAIL ADD COLUMN DEL_YN VARCHAR(1) NOT NULL DEFAULT ''N'';</v>
      </c>
      <c r="AF120" s="50" t="str">
        <f t="shared" si="27"/>
        <v>ALTER TABLE TB_CLASS_DETAIL DROP COLUMN DEL_YN;</v>
      </c>
      <c r="AG120" s="50" t="str">
        <f t="shared" si="28"/>
        <v>ALTER TABLE TB_CLASS_DETAIL ALTER COLUMN DEL_YN SET DEFAULT 'N';</v>
      </c>
      <c r="AH120" s="50" t="str">
        <f t="shared" si="18"/>
        <v>COMMENT ON COLUMN TB_CLASS_DETAIL.DEL_YN IS '삭제 여부' ;</v>
      </c>
    </row>
    <row r="121" spans="1:34" ht="20" customHeight="1">
      <c r="A121" s="55">
        <v>117</v>
      </c>
      <c r="B121" s="26" t="s">
        <v>7</v>
      </c>
      <c r="C121" s="25" t="s">
        <v>11</v>
      </c>
      <c r="D121" s="13" t="s">
        <v>305</v>
      </c>
      <c r="E121" s="13" t="s">
        <v>306</v>
      </c>
      <c r="F121" s="97">
        <v>1</v>
      </c>
      <c r="G121" s="102" t="s">
        <v>307</v>
      </c>
      <c r="H121" s="102" t="s">
        <v>308</v>
      </c>
      <c r="I121" s="45" t="s">
        <v>131</v>
      </c>
      <c r="J121" s="45">
        <v>1</v>
      </c>
      <c r="K121" s="61"/>
      <c r="L121" s="69"/>
      <c r="M121" s="69"/>
      <c r="N121" s="69"/>
      <c r="O121" s="69"/>
      <c r="P121" s="106" t="s">
        <v>172</v>
      </c>
      <c r="Q121" s="88"/>
      <c r="R121" s="86"/>
      <c r="S121" s="112" t="s">
        <v>319</v>
      </c>
      <c r="T121" s="132" t="str">
        <f>"SEQ_"&amp;D121&amp;"_SN"</f>
        <v>SEQ_TB_CLASS_DETAIL_OPTN_SN</v>
      </c>
      <c r="U121" s="132"/>
      <c r="V121" s="106" t="s">
        <v>541</v>
      </c>
      <c r="W121" s="45"/>
      <c r="X121" s="83"/>
      <c r="Y121" s="129" t="str">
        <f t="shared" si="15"/>
        <v>TB_CLASS_DETAIL_OPTN</v>
      </c>
      <c r="Z121" s="50" t="str">
        <f t="shared" si="19"/>
        <v>CLASS_DETAIL_OPTN_SN INTEGER PRIMARY KEY,</v>
      </c>
      <c r="AA121" s="50" t="str">
        <f t="shared" si="16"/>
        <v/>
      </c>
      <c r="AB121" s="50" t="str">
        <f t="shared" si="17"/>
        <v>CREATE SEQUENCE SEQ_TB_CLASS_DETAIL_OPTN_SN START 100000;</v>
      </c>
      <c r="AC121" s="50" t="str">
        <f t="shared" si="24"/>
        <v>ALTER TABLE TB_CLASS_DETAIL_OPTN ALTER COLUMN CLASS_DETAIL_OPTN_SN SET DEFAULT NEXTVAL('SEQ_TB_CLASS_DETAIL_OPTN_SN');</v>
      </c>
      <c r="AD121" s="50" t="str">
        <f t="shared" si="25"/>
        <v>ALTER TABLE TB_CLASS_DETAIL_OPTN ALTER COLUMN CLASS_DETAIL_OPTN_SN TYPE INTEGER;</v>
      </c>
      <c r="AE121" s="50" t="str">
        <f t="shared" si="26"/>
        <v>ALTER TABLE TB_CLASS_DETAIL_OPTN ADD COLUMN CLASS_DETAIL_OPTN_SN INTEGER NOT NULL;</v>
      </c>
      <c r="AF121" s="50" t="str">
        <f t="shared" si="27"/>
        <v>ALTER TABLE TB_CLASS_DETAIL_OPTN DROP COLUMN CLASS_DETAIL_OPTN_SN;</v>
      </c>
      <c r="AG121" s="50" t="str">
        <f t="shared" si="28"/>
        <v/>
      </c>
      <c r="AH121" s="50" t="str">
        <f t="shared" si="18"/>
        <v>COMMENT ON COLUMN TB_CLASS_DETAIL_OPTN.CLASS_DETAIL_OPTN_SN IS '클래스 상세 옵션 일련번호' ;</v>
      </c>
    </row>
    <row r="122" spans="1:34" ht="20" customHeight="1">
      <c r="A122" s="55">
        <v>118</v>
      </c>
      <c r="B122" s="26" t="s">
        <v>7</v>
      </c>
      <c r="C122" s="25" t="s">
        <v>11</v>
      </c>
      <c r="D122" s="13" t="s">
        <v>305</v>
      </c>
      <c r="E122" s="13" t="s">
        <v>306</v>
      </c>
      <c r="F122" s="97">
        <v>2</v>
      </c>
      <c r="G122" s="106" t="s">
        <v>185</v>
      </c>
      <c r="H122" s="106" t="s">
        <v>186</v>
      </c>
      <c r="I122" s="45" t="s">
        <v>131</v>
      </c>
      <c r="J122" s="45"/>
      <c r="K122" s="45">
        <v>1</v>
      </c>
      <c r="L122" s="13" t="s">
        <v>154</v>
      </c>
      <c r="M122" s="106" t="s">
        <v>185</v>
      </c>
      <c r="N122" s="100" t="s">
        <v>562</v>
      </c>
      <c r="O122" s="100" t="s">
        <v>564</v>
      </c>
      <c r="P122" s="106" t="s">
        <v>172</v>
      </c>
      <c r="Q122" s="97"/>
      <c r="R122" s="45"/>
      <c r="S122" s="106" t="s">
        <v>192</v>
      </c>
      <c r="T122" s="83"/>
      <c r="U122" s="83"/>
      <c r="V122" s="106"/>
      <c r="W122" s="45"/>
      <c r="X122" s="83"/>
      <c r="Y122" s="129" t="str">
        <f t="shared" si="15"/>
        <v>TB_CLASS_DETAIL_OPTN</v>
      </c>
      <c r="Z122" s="50" t="str">
        <f t="shared" si="19"/>
        <v>CLASS_DETAIL_SN INTEGER NOT NULL,</v>
      </c>
      <c r="AA122" s="50" t="str">
        <f t="shared" si="16"/>
        <v>ALTER TABLE TB_CLASS_DETAIL_OPTN ADD CONSTRAINT TB_CLASS_DETAIL_OPTN_FKEY1 FOREIGN KEY(CLASS_DETAIL_SN) REFERENCES TB_CLASS_DETAIL(CLASS_DETAIL_SN) ON UPDATE CASCADE ON DELETE CASCADE;</v>
      </c>
      <c r="AB122" s="50" t="str">
        <f t="shared" si="17"/>
        <v/>
      </c>
      <c r="AC122" s="50" t="str">
        <f t="shared" si="24"/>
        <v/>
      </c>
      <c r="AD122" s="50" t="str">
        <f t="shared" si="25"/>
        <v>ALTER TABLE TB_CLASS_DETAIL_OPTN ALTER COLUMN CLASS_DETAIL_SN TYPE INTEGER;</v>
      </c>
      <c r="AE122" s="50" t="str">
        <f t="shared" si="26"/>
        <v>ALTER TABLE TB_CLASS_DETAIL_OPTN ADD COLUMN CLASS_DETAIL_SN INTEGER NOT NULL;</v>
      </c>
      <c r="AF122" s="50" t="str">
        <f t="shared" si="27"/>
        <v>ALTER TABLE TB_CLASS_DETAIL_OPTN DROP COLUMN CLASS_DETAIL_SN;</v>
      </c>
      <c r="AG122" s="50" t="str">
        <f t="shared" si="28"/>
        <v/>
      </c>
      <c r="AH122" s="50" t="str">
        <f t="shared" si="18"/>
        <v>COMMENT ON COLUMN TB_CLASS_DETAIL_OPTN.CLASS_DETAIL_SN IS '클래스 상세 일련번호' ;</v>
      </c>
    </row>
    <row r="123" spans="1:34" ht="20" customHeight="1">
      <c r="A123" s="55">
        <v>119</v>
      </c>
      <c r="B123" s="26" t="s">
        <v>7</v>
      </c>
      <c r="C123" s="25" t="s">
        <v>11</v>
      </c>
      <c r="D123" s="13" t="s">
        <v>305</v>
      </c>
      <c r="E123" s="13" t="s">
        <v>306</v>
      </c>
      <c r="F123" s="97">
        <v>3</v>
      </c>
      <c r="G123" s="102" t="s">
        <v>309</v>
      </c>
      <c r="H123" s="102" t="s">
        <v>310</v>
      </c>
      <c r="I123" s="75"/>
      <c r="J123" s="61"/>
      <c r="K123" s="61"/>
      <c r="L123" s="69"/>
      <c r="M123" s="69"/>
      <c r="N123" s="69"/>
      <c r="O123" s="69"/>
      <c r="P123" s="109" t="s">
        <v>229</v>
      </c>
      <c r="Q123" s="47"/>
      <c r="R123" s="86"/>
      <c r="S123" s="112" t="s">
        <v>320</v>
      </c>
      <c r="T123" s="132"/>
      <c r="U123" s="132"/>
      <c r="V123" s="106"/>
      <c r="W123" s="45"/>
      <c r="X123" s="83"/>
      <c r="Y123" s="129" t="str">
        <f t="shared" si="15"/>
        <v>TB_CLASS_DETAIL_OPTN</v>
      </c>
      <c r="Z123" s="50" t="str">
        <f t="shared" si="19"/>
        <v>CLASS_DETAIL_OPTN_SEQ INTEGER,</v>
      </c>
      <c r="AA123" s="50" t="str">
        <f t="shared" si="16"/>
        <v/>
      </c>
      <c r="AB123" s="50" t="str">
        <f t="shared" si="17"/>
        <v/>
      </c>
      <c r="AC123" s="50" t="str">
        <f t="shared" si="24"/>
        <v/>
      </c>
      <c r="AD123" s="50" t="str">
        <f t="shared" si="25"/>
        <v>ALTER TABLE TB_CLASS_DETAIL_OPTN ALTER COLUMN CLASS_DETAIL_OPTN_SEQ TYPE INTEGER;</v>
      </c>
      <c r="AE123" s="50" t="str">
        <f t="shared" si="26"/>
        <v>ALTER TABLE TB_CLASS_DETAIL_OPTN ADD COLUMN CLASS_DETAIL_OPTN_SEQ INTEGER;</v>
      </c>
      <c r="AF123" s="50" t="str">
        <f t="shared" si="27"/>
        <v>ALTER TABLE TB_CLASS_DETAIL_OPTN DROP COLUMN CLASS_DETAIL_OPTN_SEQ;</v>
      </c>
      <c r="AG123" s="50" t="str">
        <f t="shared" si="28"/>
        <v/>
      </c>
      <c r="AH123" s="50" t="str">
        <f t="shared" si="18"/>
        <v>COMMENT ON COLUMN TB_CLASS_DETAIL_OPTN.CLASS_DETAIL_OPTN_SEQ IS '클래스 상세 옵션 순번' ;</v>
      </c>
    </row>
    <row r="124" spans="1:34" ht="20" customHeight="1">
      <c r="A124" s="55">
        <v>120</v>
      </c>
      <c r="B124" s="26" t="s">
        <v>7</v>
      </c>
      <c r="C124" s="25" t="s">
        <v>11</v>
      </c>
      <c r="D124" s="13" t="s">
        <v>305</v>
      </c>
      <c r="E124" s="13" t="s">
        <v>306</v>
      </c>
      <c r="F124" s="97">
        <v>4</v>
      </c>
      <c r="G124" s="102" t="s">
        <v>311</v>
      </c>
      <c r="H124" s="102" t="s">
        <v>312</v>
      </c>
      <c r="I124" s="75"/>
      <c r="J124" s="61"/>
      <c r="K124" s="61"/>
      <c r="L124" s="61"/>
      <c r="M124" s="61"/>
      <c r="N124" s="61"/>
      <c r="O124" s="61"/>
      <c r="P124" s="62" t="s">
        <v>318</v>
      </c>
      <c r="Q124" s="126" t="s">
        <v>552</v>
      </c>
      <c r="R124" s="86"/>
      <c r="S124" s="112" t="s">
        <v>321</v>
      </c>
      <c r="T124" s="83"/>
      <c r="U124" s="83"/>
      <c r="V124" s="106"/>
      <c r="W124" s="45"/>
      <c r="X124" s="83"/>
      <c r="Y124" s="129" t="str">
        <f t="shared" si="15"/>
        <v>TB_CLASS_DETAIL_OPTN</v>
      </c>
      <c r="Z124" s="50" t="str">
        <f t="shared" si="19"/>
        <v>CLASS_DETAIL_OPTN_CN VARCHAR(2000),</v>
      </c>
      <c r="AA124" s="50" t="str">
        <f t="shared" si="16"/>
        <v/>
      </c>
      <c r="AB124" s="50" t="str">
        <f t="shared" si="17"/>
        <v/>
      </c>
      <c r="AC124" s="50" t="str">
        <f t="shared" si="24"/>
        <v/>
      </c>
      <c r="AD124" s="50" t="str">
        <f t="shared" si="25"/>
        <v>ALTER TABLE TB_CLASS_DETAIL_OPTN ALTER COLUMN CLASS_DETAIL_OPTN_CN TYPE VARCHAR(2000);</v>
      </c>
      <c r="AE124" s="50" t="str">
        <f t="shared" si="26"/>
        <v>ALTER TABLE TB_CLASS_DETAIL_OPTN ADD COLUMN CLASS_DETAIL_OPTN_CN VARCHAR(2000);</v>
      </c>
      <c r="AF124" s="50" t="str">
        <f t="shared" si="27"/>
        <v>ALTER TABLE TB_CLASS_DETAIL_OPTN DROP COLUMN CLASS_DETAIL_OPTN_CN;</v>
      </c>
      <c r="AG124" s="50" t="str">
        <f t="shared" si="28"/>
        <v/>
      </c>
      <c r="AH124" s="50" t="str">
        <f t="shared" si="18"/>
        <v>COMMENT ON COLUMN TB_CLASS_DETAIL_OPTN.CLASS_DETAIL_OPTN_CN IS '클래스 상세 옵션 내용' ;</v>
      </c>
    </row>
    <row r="125" spans="1:34" ht="20" customHeight="1">
      <c r="A125" s="55">
        <v>121</v>
      </c>
      <c r="B125" s="26" t="s">
        <v>7</v>
      </c>
      <c r="C125" s="25" t="s">
        <v>11</v>
      </c>
      <c r="D125" s="13" t="s">
        <v>305</v>
      </c>
      <c r="E125" s="13" t="s">
        <v>306</v>
      </c>
      <c r="F125" s="97">
        <v>5</v>
      </c>
      <c r="G125" s="102" t="s">
        <v>107</v>
      </c>
      <c r="H125" s="51" t="s">
        <v>76</v>
      </c>
      <c r="I125" s="75" t="s">
        <v>72</v>
      </c>
      <c r="J125" s="67"/>
      <c r="K125" s="67"/>
      <c r="L125" s="82"/>
      <c r="M125" s="82"/>
      <c r="N125" s="82"/>
      <c r="O125" s="82"/>
      <c r="P125" s="105" t="s">
        <v>543</v>
      </c>
      <c r="Q125" s="126" t="s">
        <v>548</v>
      </c>
      <c r="R125" s="85"/>
      <c r="S125" s="112" t="s">
        <v>219</v>
      </c>
      <c r="T125" s="83"/>
      <c r="U125" s="83"/>
      <c r="V125" s="123" t="s">
        <v>518</v>
      </c>
      <c r="W125" s="45"/>
      <c r="X125" s="83"/>
      <c r="Y125" s="129" t="str">
        <f t="shared" si="15"/>
        <v>TB_CLASS_DETAIL_OPTN</v>
      </c>
      <c r="Z125" s="50" t="str">
        <f t="shared" si="19"/>
        <v>REGISTER_ID VARCHAR(50) NOT NULL,</v>
      </c>
      <c r="AA125" s="50" t="str">
        <f t="shared" si="16"/>
        <v/>
      </c>
      <c r="AB125" s="50" t="str">
        <f t="shared" si="17"/>
        <v/>
      </c>
      <c r="AC125" s="50" t="str">
        <f t="shared" si="24"/>
        <v/>
      </c>
      <c r="AD125" s="50" t="str">
        <f t="shared" si="25"/>
        <v>ALTER TABLE TB_CLASS_DETAIL_OPTN ALTER COLUMN REGISTER_ID TYPE VARCHAR(50);</v>
      </c>
      <c r="AE125" s="50" t="str">
        <f t="shared" si="26"/>
        <v>ALTER TABLE TB_CLASS_DETAIL_OPTN ADD COLUMN REGISTER_ID VARCHAR(50) NOT NULL;</v>
      </c>
      <c r="AF125" s="50" t="str">
        <f t="shared" si="27"/>
        <v>ALTER TABLE TB_CLASS_DETAIL_OPTN DROP COLUMN REGISTER_ID;</v>
      </c>
      <c r="AG125" s="50" t="str">
        <f t="shared" si="28"/>
        <v/>
      </c>
      <c r="AH125" s="50" t="str">
        <f t="shared" si="18"/>
        <v>COMMENT ON COLUMN TB_CLASS_DETAIL_OPTN.REGISTER_ID IS '등록자 ID' ;</v>
      </c>
    </row>
    <row r="126" spans="1:34" ht="20" customHeight="1">
      <c r="A126" s="55">
        <v>122</v>
      </c>
      <c r="B126" s="26" t="s">
        <v>7</v>
      </c>
      <c r="C126" s="25" t="s">
        <v>11</v>
      </c>
      <c r="D126" s="13" t="s">
        <v>305</v>
      </c>
      <c r="E126" s="13" t="s">
        <v>306</v>
      </c>
      <c r="F126" s="97">
        <v>6</v>
      </c>
      <c r="G126" s="102" t="s">
        <v>91</v>
      </c>
      <c r="H126" s="51" t="s">
        <v>77</v>
      </c>
      <c r="I126" s="75" t="s">
        <v>72</v>
      </c>
      <c r="J126" s="52"/>
      <c r="K126" s="52"/>
      <c r="L126" s="52"/>
      <c r="M126" s="52"/>
      <c r="N126" s="52"/>
      <c r="O126" s="52"/>
      <c r="P126" s="56" t="s">
        <v>106</v>
      </c>
      <c r="Q126" s="126" t="s">
        <v>549</v>
      </c>
      <c r="R126" s="85"/>
      <c r="S126" s="112" t="s">
        <v>218</v>
      </c>
      <c r="T126" s="83"/>
      <c r="U126" s="83"/>
      <c r="V126" s="106"/>
      <c r="W126" s="45"/>
      <c r="X126" s="83"/>
      <c r="Y126" s="129" t="str">
        <f t="shared" si="15"/>
        <v>TB_CLASS_DETAIL_OPTN</v>
      </c>
      <c r="Z126" s="50" t="str">
        <f t="shared" si="19"/>
        <v>REGISTER_IP VARCHAR(100) NOT NULL,</v>
      </c>
      <c r="AA126" s="50" t="str">
        <f t="shared" si="16"/>
        <v/>
      </c>
      <c r="AB126" s="50" t="str">
        <f t="shared" si="17"/>
        <v/>
      </c>
      <c r="AC126" s="50" t="str">
        <f t="shared" si="24"/>
        <v/>
      </c>
      <c r="AD126" s="50" t="str">
        <f t="shared" si="25"/>
        <v>ALTER TABLE TB_CLASS_DETAIL_OPTN ALTER COLUMN REGISTER_IP TYPE VARCHAR(100);</v>
      </c>
      <c r="AE126" s="50" t="str">
        <f t="shared" si="26"/>
        <v>ALTER TABLE TB_CLASS_DETAIL_OPTN ADD COLUMN REGISTER_IP VARCHAR(100) NOT NULL;</v>
      </c>
      <c r="AF126" s="50" t="str">
        <f t="shared" si="27"/>
        <v>ALTER TABLE TB_CLASS_DETAIL_OPTN DROP COLUMN REGISTER_IP;</v>
      </c>
      <c r="AG126" s="50" t="str">
        <f t="shared" si="28"/>
        <v/>
      </c>
      <c r="AH126" s="50" t="str">
        <f t="shared" si="18"/>
        <v>COMMENT ON COLUMN TB_CLASS_DETAIL_OPTN.REGISTER_IP IS '등록자 IP' ;</v>
      </c>
    </row>
    <row r="127" spans="1:34" ht="20" customHeight="1">
      <c r="A127" s="55">
        <v>123</v>
      </c>
      <c r="B127" s="26" t="s">
        <v>7</v>
      </c>
      <c r="C127" s="25" t="s">
        <v>11</v>
      </c>
      <c r="D127" s="13" t="s">
        <v>305</v>
      </c>
      <c r="E127" s="13" t="s">
        <v>306</v>
      </c>
      <c r="F127" s="97">
        <v>7</v>
      </c>
      <c r="G127" s="102" t="s">
        <v>92</v>
      </c>
      <c r="H127" s="101" t="s">
        <v>78</v>
      </c>
      <c r="I127" s="75" t="s">
        <v>72</v>
      </c>
      <c r="J127" s="52"/>
      <c r="K127" s="52"/>
      <c r="L127" s="52"/>
      <c r="M127" s="52"/>
      <c r="N127" s="52"/>
      <c r="O127" s="52"/>
      <c r="P127" s="51" t="s">
        <v>732</v>
      </c>
      <c r="Q127" s="126"/>
      <c r="R127" s="85"/>
      <c r="S127" s="112" t="s">
        <v>217</v>
      </c>
      <c r="T127" s="83"/>
      <c r="U127" s="83"/>
      <c r="V127" s="106"/>
      <c r="W127" s="45"/>
      <c r="X127" s="83"/>
      <c r="Y127" s="129" t="str">
        <f t="shared" si="15"/>
        <v>TB_CLASS_DETAIL_OPTN</v>
      </c>
      <c r="Z127" s="50" t="str">
        <f t="shared" si="19"/>
        <v>REG_DT TIMESTAMP NOT NULL,</v>
      </c>
      <c r="AA127" s="50" t="str">
        <f t="shared" si="16"/>
        <v/>
      </c>
      <c r="AB127" s="50" t="str">
        <f t="shared" si="17"/>
        <v/>
      </c>
      <c r="AC127" s="50" t="str">
        <f t="shared" si="24"/>
        <v/>
      </c>
      <c r="AD127" s="50" t="str">
        <f t="shared" si="25"/>
        <v>ALTER TABLE TB_CLASS_DETAIL_OPTN ALTER COLUMN REG_DT TYPE TIMESTAMP;</v>
      </c>
      <c r="AE127" s="50" t="str">
        <f t="shared" si="26"/>
        <v>ALTER TABLE TB_CLASS_DETAIL_OPTN ADD COLUMN REG_DT TIMESTAMP NOT NULL;</v>
      </c>
      <c r="AF127" s="50" t="str">
        <f t="shared" si="27"/>
        <v>ALTER TABLE TB_CLASS_DETAIL_OPTN DROP COLUMN REG_DT;</v>
      </c>
      <c r="AG127" s="50" t="str">
        <f t="shared" si="28"/>
        <v/>
      </c>
      <c r="AH127" s="50" t="str">
        <f t="shared" si="18"/>
        <v>COMMENT ON COLUMN TB_CLASS_DETAIL_OPTN.REG_DT IS '등록 일시' ;</v>
      </c>
    </row>
    <row r="128" spans="1:34" ht="20" customHeight="1">
      <c r="A128" s="55">
        <v>124</v>
      </c>
      <c r="B128" s="26" t="s">
        <v>7</v>
      </c>
      <c r="C128" s="25" t="s">
        <v>11</v>
      </c>
      <c r="D128" s="13" t="s">
        <v>305</v>
      </c>
      <c r="E128" s="13" t="s">
        <v>306</v>
      </c>
      <c r="F128" s="97">
        <v>8</v>
      </c>
      <c r="G128" s="102" t="s">
        <v>93</v>
      </c>
      <c r="H128" s="101" t="s">
        <v>80</v>
      </c>
      <c r="I128" s="52"/>
      <c r="J128" s="52"/>
      <c r="K128" s="52"/>
      <c r="L128" s="84"/>
      <c r="M128" s="84"/>
      <c r="N128" s="84"/>
      <c r="O128" s="84"/>
      <c r="P128" s="105" t="s">
        <v>543</v>
      </c>
      <c r="Q128" s="126" t="s">
        <v>548</v>
      </c>
      <c r="R128" s="85"/>
      <c r="S128" s="112" t="s">
        <v>216</v>
      </c>
      <c r="T128" s="83"/>
      <c r="U128" s="83"/>
      <c r="V128" s="123" t="s">
        <v>518</v>
      </c>
      <c r="W128" s="45"/>
      <c r="X128" s="83"/>
      <c r="Y128" s="129" t="str">
        <f t="shared" si="15"/>
        <v>TB_CLASS_DETAIL_OPTN</v>
      </c>
      <c r="Z128" s="50" t="str">
        <f t="shared" si="19"/>
        <v>UPDUSR_ID VARCHAR(50),</v>
      </c>
      <c r="AA128" s="50" t="str">
        <f t="shared" si="16"/>
        <v/>
      </c>
      <c r="AB128" s="50" t="str">
        <f t="shared" si="17"/>
        <v/>
      </c>
      <c r="AC128" s="50" t="str">
        <f t="shared" si="24"/>
        <v/>
      </c>
      <c r="AD128" s="50" t="str">
        <f t="shared" si="25"/>
        <v>ALTER TABLE TB_CLASS_DETAIL_OPTN ALTER COLUMN UPDUSR_ID TYPE VARCHAR(50);</v>
      </c>
      <c r="AE128" s="50" t="str">
        <f t="shared" si="26"/>
        <v>ALTER TABLE TB_CLASS_DETAIL_OPTN ADD COLUMN UPDUSR_ID VARCHAR(50);</v>
      </c>
      <c r="AF128" s="50" t="str">
        <f t="shared" si="27"/>
        <v>ALTER TABLE TB_CLASS_DETAIL_OPTN DROP COLUMN UPDUSR_ID;</v>
      </c>
      <c r="AG128" s="50" t="str">
        <f t="shared" si="28"/>
        <v/>
      </c>
      <c r="AH128" s="50" t="str">
        <f t="shared" si="18"/>
        <v>COMMENT ON COLUMN TB_CLASS_DETAIL_OPTN.UPDUSR_ID IS '수정자 ID' ;</v>
      </c>
    </row>
    <row r="129" spans="1:34" ht="20" customHeight="1">
      <c r="A129" s="55">
        <v>125</v>
      </c>
      <c r="B129" s="26" t="s">
        <v>7</v>
      </c>
      <c r="C129" s="25" t="s">
        <v>11</v>
      </c>
      <c r="D129" s="13" t="s">
        <v>305</v>
      </c>
      <c r="E129" s="13" t="s">
        <v>306</v>
      </c>
      <c r="F129" s="97">
        <v>9</v>
      </c>
      <c r="G129" s="102" t="s">
        <v>94</v>
      </c>
      <c r="H129" s="101" t="s">
        <v>79</v>
      </c>
      <c r="I129" s="52"/>
      <c r="J129" s="52"/>
      <c r="K129" s="52"/>
      <c r="L129" s="52"/>
      <c r="M129" s="52"/>
      <c r="N129" s="52"/>
      <c r="O129" s="52"/>
      <c r="P129" s="56" t="s">
        <v>106</v>
      </c>
      <c r="Q129" s="126" t="s">
        <v>549</v>
      </c>
      <c r="R129" s="85"/>
      <c r="S129" s="112" t="s">
        <v>215</v>
      </c>
      <c r="T129" s="83"/>
      <c r="U129" s="83"/>
      <c r="V129" s="106"/>
      <c r="W129" s="45"/>
      <c r="X129" s="83"/>
      <c r="Y129" s="129" t="str">
        <f t="shared" si="15"/>
        <v>TB_CLASS_DETAIL_OPTN</v>
      </c>
      <c r="Z129" s="50" t="str">
        <f t="shared" si="19"/>
        <v>UPDUSR_IP VARCHAR(100),</v>
      </c>
      <c r="AA129" s="50" t="str">
        <f t="shared" si="16"/>
        <v/>
      </c>
      <c r="AB129" s="50" t="str">
        <f t="shared" si="17"/>
        <v/>
      </c>
      <c r="AC129" s="50" t="str">
        <f t="shared" si="24"/>
        <v/>
      </c>
      <c r="AD129" s="50" t="str">
        <f t="shared" si="25"/>
        <v>ALTER TABLE TB_CLASS_DETAIL_OPTN ALTER COLUMN UPDUSR_IP TYPE VARCHAR(100);</v>
      </c>
      <c r="AE129" s="50" t="str">
        <f t="shared" si="26"/>
        <v>ALTER TABLE TB_CLASS_DETAIL_OPTN ADD COLUMN UPDUSR_IP VARCHAR(100);</v>
      </c>
      <c r="AF129" s="50" t="str">
        <f t="shared" si="27"/>
        <v>ALTER TABLE TB_CLASS_DETAIL_OPTN DROP COLUMN UPDUSR_IP;</v>
      </c>
      <c r="AG129" s="50" t="str">
        <f t="shared" si="28"/>
        <v/>
      </c>
      <c r="AH129" s="50" t="str">
        <f t="shared" si="18"/>
        <v>COMMENT ON COLUMN TB_CLASS_DETAIL_OPTN.UPDUSR_IP IS '수정자 IP' ;</v>
      </c>
    </row>
    <row r="130" spans="1:34" ht="20" customHeight="1">
      <c r="A130" s="55">
        <v>126</v>
      </c>
      <c r="B130" s="26" t="s">
        <v>7</v>
      </c>
      <c r="C130" s="25" t="s">
        <v>11</v>
      </c>
      <c r="D130" s="13" t="s">
        <v>305</v>
      </c>
      <c r="E130" s="13" t="s">
        <v>306</v>
      </c>
      <c r="F130" s="97">
        <v>10</v>
      </c>
      <c r="G130" s="103" t="s">
        <v>95</v>
      </c>
      <c r="H130" s="102" t="s">
        <v>81</v>
      </c>
      <c r="I130" s="61"/>
      <c r="J130" s="61"/>
      <c r="K130" s="61"/>
      <c r="L130" s="61"/>
      <c r="M130" s="61"/>
      <c r="N130" s="61"/>
      <c r="O130" s="61"/>
      <c r="P130" s="51" t="s">
        <v>732</v>
      </c>
      <c r="Q130" s="126"/>
      <c r="R130" s="82"/>
      <c r="S130" s="112" t="s">
        <v>214</v>
      </c>
      <c r="T130" s="83"/>
      <c r="U130" s="83"/>
      <c r="V130" s="106"/>
      <c r="W130" s="45"/>
      <c r="X130" s="83"/>
      <c r="Y130" s="129" t="str">
        <f t="shared" si="15"/>
        <v>TB_CLASS_DETAIL_OPTN</v>
      </c>
      <c r="Z130" s="50" t="str">
        <f t="shared" si="19"/>
        <v>UPDT_DT TIMESTAMP,</v>
      </c>
      <c r="AA130" s="50" t="str">
        <f t="shared" si="16"/>
        <v/>
      </c>
      <c r="AB130" s="50" t="str">
        <f t="shared" si="17"/>
        <v/>
      </c>
      <c r="AC130" s="50" t="str">
        <f t="shared" si="24"/>
        <v/>
      </c>
      <c r="AD130" s="50" t="str">
        <f t="shared" si="25"/>
        <v>ALTER TABLE TB_CLASS_DETAIL_OPTN ALTER COLUMN UPDT_DT TYPE TIMESTAMP;</v>
      </c>
      <c r="AE130" s="50" t="str">
        <f t="shared" si="26"/>
        <v>ALTER TABLE TB_CLASS_DETAIL_OPTN ADD COLUMN UPDT_DT TIMESTAMP;</v>
      </c>
      <c r="AF130" s="50" t="str">
        <f t="shared" si="27"/>
        <v>ALTER TABLE TB_CLASS_DETAIL_OPTN DROP COLUMN UPDT_DT;</v>
      </c>
      <c r="AG130" s="50" t="str">
        <f t="shared" si="28"/>
        <v/>
      </c>
      <c r="AH130" s="50" t="str">
        <f t="shared" si="18"/>
        <v>COMMENT ON COLUMN TB_CLASS_DETAIL_OPTN.UPDT_DT IS '수정 일시' ;</v>
      </c>
    </row>
    <row r="131" spans="1:34" ht="20" customHeight="1">
      <c r="A131" s="55">
        <v>127</v>
      </c>
      <c r="B131" s="26" t="s">
        <v>7</v>
      </c>
      <c r="C131" s="25" t="s">
        <v>11</v>
      </c>
      <c r="D131" s="13" t="s">
        <v>305</v>
      </c>
      <c r="E131" s="13" t="s">
        <v>306</v>
      </c>
      <c r="F131" s="97">
        <v>11</v>
      </c>
      <c r="G131" s="102" t="s">
        <v>96</v>
      </c>
      <c r="H131" s="102" t="s">
        <v>82</v>
      </c>
      <c r="I131" s="75" t="s">
        <v>72</v>
      </c>
      <c r="J131" s="61"/>
      <c r="K131" s="61"/>
      <c r="L131" s="61"/>
      <c r="M131" s="61"/>
      <c r="N131" s="61"/>
      <c r="O131" s="61"/>
      <c r="P131" s="51" t="s">
        <v>106</v>
      </c>
      <c r="Q131" s="126" t="s">
        <v>544</v>
      </c>
      <c r="R131" s="87" t="s">
        <v>592</v>
      </c>
      <c r="S131" s="112" t="s">
        <v>213</v>
      </c>
      <c r="T131" s="83"/>
      <c r="U131" s="83"/>
      <c r="V131" s="106"/>
      <c r="W131" s="45"/>
      <c r="X131" s="83"/>
      <c r="Y131" s="129" t="str">
        <f t="shared" si="15"/>
        <v>TB_CLASS_DETAIL_OPTN</v>
      </c>
      <c r="Z131" s="50" t="str">
        <f t="shared" si="19"/>
        <v>DEL_YN VARCHAR(1) NOT NULL,</v>
      </c>
      <c r="AA131" s="50" t="str">
        <f t="shared" si="16"/>
        <v/>
      </c>
      <c r="AB131" s="50" t="str">
        <f t="shared" si="17"/>
        <v/>
      </c>
      <c r="AC131" s="50" t="str">
        <f t="shared" si="24"/>
        <v/>
      </c>
      <c r="AD131" s="50" t="str">
        <f t="shared" si="25"/>
        <v>ALTER TABLE TB_CLASS_DETAIL_OPTN ALTER COLUMN DEL_YN TYPE VARCHAR(1);</v>
      </c>
      <c r="AE131" s="50" t="str">
        <f t="shared" si="26"/>
        <v>ALTER TABLE TB_CLASS_DETAIL_OPTN ADD COLUMN DEL_YN VARCHAR(1) NOT NULL DEFAULT ''N'';</v>
      </c>
      <c r="AF131" s="50" t="str">
        <f t="shared" si="27"/>
        <v>ALTER TABLE TB_CLASS_DETAIL_OPTN DROP COLUMN DEL_YN;</v>
      </c>
      <c r="AG131" s="50" t="str">
        <f t="shared" si="28"/>
        <v>ALTER TABLE TB_CLASS_DETAIL_OPTN ALTER COLUMN DEL_YN SET DEFAULT 'N';</v>
      </c>
      <c r="AH131" s="50" t="str">
        <f t="shared" si="18"/>
        <v>COMMENT ON COLUMN TB_CLASS_DETAIL_OPTN.DEL_YN IS '삭제 여부' ;</v>
      </c>
    </row>
    <row r="132" spans="1:34" ht="20" customHeight="1">
      <c r="A132" s="55">
        <v>128</v>
      </c>
      <c r="B132" s="26" t="s">
        <v>7</v>
      </c>
      <c r="C132" s="25" t="s">
        <v>11</v>
      </c>
      <c r="D132" s="13" t="s">
        <v>274</v>
      </c>
      <c r="E132" s="10" t="s">
        <v>275</v>
      </c>
      <c r="F132" s="97">
        <v>1</v>
      </c>
      <c r="G132" s="102" t="s">
        <v>278</v>
      </c>
      <c r="H132" s="101" t="s">
        <v>276</v>
      </c>
      <c r="I132" s="75" t="s">
        <v>72</v>
      </c>
      <c r="J132" s="52">
        <v>1</v>
      </c>
      <c r="K132" s="52"/>
      <c r="L132" s="84"/>
      <c r="M132" s="84"/>
      <c r="N132" s="84"/>
      <c r="O132" s="84"/>
      <c r="P132" s="106" t="s">
        <v>172</v>
      </c>
      <c r="Q132" s="125"/>
      <c r="R132" s="85"/>
      <c r="S132" s="112" t="s">
        <v>322</v>
      </c>
      <c r="T132" s="132" t="str">
        <f>"SEQ_"&amp;D132&amp;"_SN"</f>
        <v>SEQ_TB_CLASS_DETAIL_REQST_SN</v>
      </c>
      <c r="U132" s="132"/>
      <c r="V132" s="106"/>
      <c r="W132" s="45"/>
      <c r="X132" s="83"/>
      <c r="Y132" s="129" t="str">
        <f t="shared" si="15"/>
        <v>TB_CLASS_DETAIL_REQST</v>
      </c>
      <c r="Z132" s="50" t="str">
        <f t="shared" si="19"/>
        <v>CLASS_DETAIL_REQST_SN INTEGER PRIMARY KEY,</v>
      </c>
      <c r="AA132" s="50" t="str">
        <f t="shared" si="16"/>
        <v/>
      </c>
      <c r="AB132" s="50" t="str">
        <f t="shared" si="17"/>
        <v>CREATE SEQUENCE SEQ_TB_CLASS_DETAIL_REQST_SN START 100000;</v>
      </c>
      <c r="AC132" s="50" t="str">
        <f t="shared" si="24"/>
        <v>ALTER TABLE TB_CLASS_DETAIL_REQST ALTER COLUMN CLASS_DETAIL_REQST_SN SET DEFAULT NEXTVAL('SEQ_TB_CLASS_DETAIL_REQST_SN');</v>
      </c>
      <c r="AD132" s="50" t="str">
        <f t="shared" si="25"/>
        <v>ALTER TABLE TB_CLASS_DETAIL_REQST ALTER COLUMN CLASS_DETAIL_REQST_SN TYPE INTEGER;</v>
      </c>
      <c r="AE132" s="50" t="str">
        <f t="shared" si="26"/>
        <v>ALTER TABLE TB_CLASS_DETAIL_REQST ADD COLUMN CLASS_DETAIL_REQST_SN INTEGER NOT NULL;</v>
      </c>
      <c r="AF132" s="50" t="str">
        <f t="shared" si="27"/>
        <v>ALTER TABLE TB_CLASS_DETAIL_REQST DROP COLUMN CLASS_DETAIL_REQST_SN;</v>
      </c>
      <c r="AG132" s="50" t="str">
        <f t="shared" si="28"/>
        <v/>
      </c>
      <c r="AH132" s="50" t="str">
        <f t="shared" si="18"/>
        <v>COMMENT ON COLUMN TB_CLASS_DETAIL_REQST.CLASS_DETAIL_REQST_SN IS '클래스 상세 신청 일련번호' ;</v>
      </c>
    </row>
    <row r="133" spans="1:34" ht="20" customHeight="1">
      <c r="A133" s="55">
        <v>129</v>
      </c>
      <c r="B133" s="26" t="s">
        <v>7</v>
      </c>
      <c r="C133" s="25" t="s">
        <v>11</v>
      </c>
      <c r="D133" s="13" t="s">
        <v>274</v>
      </c>
      <c r="E133" s="10" t="s">
        <v>275</v>
      </c>
      <c r="F133" s="97">
        <v>2</v>
      </c>
      <c r="G133" s="102" t="s">
        <v>185</v>
      </c>
      <c r="H133" s="101" t="s">
        <v>186</v>
      </c>
      <c r="I133" s="75" t="s">
        <v>72</v>
      </c>
      <c r="J133" s="52"/>
      <c r="K133" s="52">
        <v>1</v>
      </c>
      <c r="L133" s="13" t="s">
        <v>154</v>
      </c>
      <c r="M133" s="106" t="s">
        <v>185</v>
      </c>
      <c r="N133" s="100" t="s">
        <v>562</v>
      </c>
      <c r="O133" s="100" t="s">
        <v>564</v>
      </c>
      <c r="P133" s="106" t="s">
        <v>172</v>
      </c>
      <c r="Q133" s="47"/>
      <c r="R133" s="85"/>
      <c r="S133" s="112" t="s">
        <v>323</v>
      </c>
      <c r="T133" s="83"/>
      <c r="U133" s="83"/>
      <c r="V133" s="106"/>
      <c r="W133" s="45"/>
      <c r="X133" s="83"/>
      <c r="Y133" s="129" t="str">
        <f t="shared" si="15"/>
        <v>TB_CLASS_DETAIL_REQST</v>
      </c>
      <c r="Z133" s="50" t="str">
        <f t="shared" si="19"/>
        <v>CLASS_DETAIL_SN INTEGER NOT NULL,</v>
      </c>
      <c r="AA133" s="50" t="str">
        <f t="shared" si="16"/>
        <v>ALTER TABLE TB_CLASS_DETAIL_REQST ADD CONSTRAINT TB_CLASS_DETAIL_REQST_FKEY1 FOREIGN KEY(CLASS_DETAIL_SN) REFERENCES TB_CLASS_DETAIL(CLASS_DETAIL_SN) ON UPDATE CASCADE ON DELETE CASCADE;</v>
      </c>
      <c r="AB133" s="50" t="str">
        <f t="shared" si="17"/>
        <v/>
      </c>
      <c r="AC133" s="50" t="str">
        <f t="shared" si="24"/>
        <v/>
      </c>
      <c r="AD133" s="50" t="str">
        <f t="shared" si="25"/>
        <v>ALTER TABLE TB_CLASS_DETAIL_REQST ALTER COLUMN CLASS_DETAIL_SN TYPE INTEGER;</v>
      </c>
      <c r="AE133" s="50" t="str">
        <f t="shared" si="26"/>
        <v>ALTER TABLE TB_CLASS_DETAIL_REQST ADD COLUMN CLASS_DETAIL_SN INTEGER NOT NULL;</v>
      </c>
      <c r="AF133" s="50" t="str">
        <f t="shared" si="27"/>
        <v>ALTER TABLE TB_CLASS_DETAIL_REQST DROP COLUMN CLASS_DETAIL_SN;</v>
      </c>
      <c r="AG133" s="50" t="str">
        <f t="shared" si="28"/>
        <v/>
      </c>
      <c r="AH133" s="50" t="str">
        <f t="shared" si="18"/>
        <v>COMMENT ON COLUMN TB_CLASS_DETAIL_REQST.CLASS_DETAIL_SN IS '클래스 상세 일련번호' ;</v>
      </c>
    </row>
    <row r="134" spans="1:34" ht="20" customHeight="1">
      <c r="A134" s="55">
        <v>130</v>
      </c>
      <c r="B134" s="26" t="s">
        <v>7</v>
      </c>
      <c r="C134" s="25" t="s">
        <v>11</v>
      </c>
      <c r="D134" s="13" t="s">
        <v>274</v>
      </c>
      <c r="E134" s="10" t="s">
        <v>275</v>
      </c>
      <c r="F134" s="97">
        <v>3</v>
      </c>
      <c r="G134" s="102" t="s">
        <v>273</v>
      </c>
      <c r="H134" s="101" t="s">
        <v>272</v>
      </c>
      <c r="I134" s="75" t="s">
        <v>72</v>
      </c>
      <c r="J134" s="52"/>
      <c r="K134" s="52">
        <v>2</v>
      </c>
      <c r="L134" s="10" t="s">
        <v>258</v>
      </c>
      <c r="M134" s="102" t="s">
        <v>273</v>
      </c>
      <c r="N134" s="100" t="s">
        <v>562</v>
      </c>
      <c r="O134" s="100" t="s">
        <v>564</v>
      </c>
      <c r="P134" s="106" t="s">
        <v>172</v>
      </c>
      <c r="Q134" s="125"/>
      <c r="R134" s="85"/>
      <c r="S134" s="112" t="s">
        <v>324</v>
      </c>
      <c r="T134" s="132"/>
      <c r="U134" s="83"/>
      <c r="V134" s="106"/>
      <c r="W134" s="45"/>
      <c r="X134" s="83"/>
      <c r="Y134" s="129" t="str">
        <f t="shared" si="15"/>
        <v>TB_CLASS_DETAIL_REQST</v>
      </c>
      <c r="Z134" s="50" t="str">
        <f t="shared" si="19"/>
        <v>LCTRE_REQST_SN INTEGER NOT NULL,</v>
      </c>
      <c r="AA134" s="50" t="str">
        <f t="shared" si="16"/>
        <v>ALTER TABLE TB_CLASS_DETAIL_REQST ADD CONSTRAINT TB_CLASS_DETAIL_REQST_FKEY2 FOREIGN KEY(LCTRE_REQST_SN) REFERENCES TB_LCTRE_REQST(LCTRE_REQST_SN) ON UPDATE CASCADE ON DELETE CASCADE;</v>
      </c>
      <c r="AB134" s="50" t="str">
        <f t="shared" si="17"/>
        <v/>
      </c>
      <c r="AC134" s="50" t="str">
        <f t="shared" si="24"/>
        <v/>
      </c>
      <c r="AD134" s="50" t="str">
        <f t="shared" si="25"/>
        <v>ALTER TABLE TB_CLASS_DETAIL_REQST ALTER COLUMN LCTRE_REQST_SN TYPE INTEGER;</v>
      </c>
      <c r="AE134" s="50" t="str">
        <f t="shared" si="26"/>
        <v>ALTER TABLE TB_CLASS_DETAIL_REQST ADD COLUMN LCTRE_REQST_SN INTEGER NOT NULL;</v>
      </c>
      <c r="AF134" s="50" t="str">
        <f t="shared" si="27"/>
        <v>ALTER TABLE TB_CLASS_DETAIL_REQST DROP COLUMN LCTRE_REQST_SN;</v>
      </c>
      <c r="AG134" s="50" t="str">
        <f t="shared" si="28"/>
        <v/>
      </c>
      <c r="AH134" s="50" t="str">
        <f t="shared" si="18"/>
        <v>COMMENT ON COLUMN TB_CLASS_DETAIL_REQST.LCTRE_REQST_SN IS '수업 신청 일련번호' ;</v>
      </c>
    </row>
    <row r="135" spans="1:34" ht="20" customHeight="1">
      <c r="A135" s="55">
        <v>131</v>
      </c>
      <c r="B135" s="26" t="s">
        <v>7</v>
      </c>
      <c r="C135" s="25" t="s">
        <v>11</v>
      </c>
      <c r="D135" s="13" t="s">
        <v>274</v>
      </c>
      <c r="E135" s="10" t="s">
        <v>275</v>
      </c>
      <c r="F135" s="97">
        <v>4</v>
      </c>
      <c r="G135" s="103" t="s">
        <v>279</v>
      </c>
      <c r="H135" s="102" t="s">
        <v>277</v>
      </c>
      <c r="I135" s="61"/>
      <c r="J135" s="61"/>
      <c r="K135" s="61"/>
      <c r="L135" s="61"/>
      <c r="M135" s="61"/>
      <c r="N135" s="61"/>
      <c r="O135" s="61"/>
      <c r="P135" s="56" t="s">
        <v>318</v>
      </c>
      <c r="Q135" s="126" t="s">
        <v>552</v>
      </c>
      <c r="R135" s="82"/>
      <c r="S135" s="112" t="s">
        <v>325</v>
      </c>
      <c r="T135" s="83"/>
      <c r="U135" s="83"/>
      <c r="V135" s="106"/>
      <c r="W135" s="45"/>
      <c r="X135" s="83"/>
      <c r="Y135" s="129" t="str">
        <f t="shared" si="15"/>
        <v>TB_CLASS_DETAIL_REQST</v>
      </c>
      <c r="Z135" s="50" t="str">
        <f t="shared" si="19"/>
        <v>CLASS_DETAIL_ANSWER VARCHAR(2000),</v>
      </c>
      <c r="AA135" s="50" t="str">
        <f t="shared" si="16"/>
        <v/>
      </c>
      <c r="AB135" s="50" t="str">
        <f t="shared" si="17"/>
        <v/>
      </c>
      <c r="AC135" s="50" t="str">
        <f t="shared" si="24"/>
        <v/>
      </c>
      <c r="AD135" s="50" t="str">
        <f t="shared" si="25"/>
        <v>ALTER TABLE TB_CLASS_DETAIL_REQST ALTER COLUMN CLASS_DETAIL_ANSWER TYPE VARCHAR(2000);</v>
      </c>
      <c r="AE135" s="50" t="str">
        <f t="shared" si="26"/>
        <v>ALTER TABLE TB_CLASS_DETAIL_REQST ADD COLUMN CLASS_DETAIL_ANSWER VARCHAR(2000);</v>
      </c>
      <c r="AF135" s="50" t="str">
        <f t="shared" si="27"/>
        <v>ALTER TABLE TB_CLASS_DETAIL_REQST DROP COLUMN CLASS_DETAIL_ANSWER;</v>
      </c>
      <c r="AG135" s="50" t="str">
        <f t="shared" si="28"/>
        <v/>
      </c>
      <c r="AH135" s="50" t="str">
        <f t="shared" si="18"/>
        <v>COMMENT ON COLUMN TB_CLASS_DETAIL_REQST.CLASS_DETAIL_ANSWER IS '클래스 상세 답변' ;</v>
      </c>
    </row>
    <row r="136" spans="1:34" ht="20" customHeight="1">
      <c r="A136" s="55">
        <v>132</v>
      </c>
      <c r="B136" s="26" t="s">
        <v>7</v>
      </c>
      <c r="C136" s="25" t="s">
        <v>11</v>
      </c>
      <c r="D136" s="13" t="s">
        <v>274</v>
      </c>
      <c r="E136" s="10" t="s">
        <v>275</v>
      </c>
      <c r="F136" s="97">
        <v>5</v>
      </c>
      <c r="G136" s="102" t="s">
        <v>107</v>
      </c>
      <c r="H136" s="51" t="s">
        <v>76</v>
      </c>
      <c r="I136" s="75" t="s">
        <v>72</v>
      </c>
      <c r="J136" s="67"/>
      <c r="K136" s="67"/>
      <c r="L136" s="82"/>
      <c r="M136" s="82"/>
      <c r="N136" s="82"/>
      <c r="O136" s="82"/>
      <c r="P136" s="105" t="s">
        <v>543</v>
      </c>
      <c r="Q136" s="126" t="s">
        <v>548</v>
      </c>
      <c r="R136" s="85"/>
      <c r="S136" s="112" t="s">
        <v>219</v>
      </c>
      <c r="T136" s="83"/>
      <c r="U136" s="83"/>
      <c r="V136" s="123" t="s">
        <v>518</v>
      </c>
      <c r="W136" s="45"/>
      <c r="X136" s="83"/>
      <c r="Y136" s="129" t="str">
        <f t="shared" si="15"/>
        <v>TB_CLASS_DETAIL_REQST</v>
      </c>
      <c r="Z136" s="50" t="str">
        <f t="shared" si="19"/>
        <v>REGISTER_ID VARCHAR(50) NOT NULL,</v>
      </c>
      <c r="AA136" s="50" t="str">
        <f t="shared" si="16"/>
        <v/>
      </c>
      <c r="AB136" s="50" t="str">
        <f t="shared" si="17"/>
        <v/>
      </c>
      <c r="AC136" s="50" t="str">
        <f t="shared" si="24"/>
        <v/>
      </c>
      <c r="AD136" s="50" t="str">
        <f t="shared" si="25"/>
        <v>ALTER TABLE TB_CLASS_DETAIL_REQST ALTER COLUMN REGISTER_ID TYPE VARCHAR(50);</v>
      </c>
      <c r="AE136" s="50" t="str">
        <f t="shared" si="26"/>
        <v>ALTER TABLE TB_CLASS_DETAIL_REQST ADD COLUMN REGISTER_ID VARCHAR(50) NOT NULL;</v>
      </c>
      <c r="AF136" s="50" t="str">
        <f t="shared" si="27"/>
        <v>ALTER TABLE TB_CLASS_DETAIL_REQST DROP COLUMN REGISTER_ID;</v>
      </c>
      <c r="AG136" s="50" t="str">
        <f t="shared" si="28"/>
        <v/>
      </c>
      <c r="AH136" s="50" t="str">
        <f t="shared" si="18"/>
        <v>COMMENT ON COLUMN TB_CLASS_DETAIL_REQST.REGISTER_ID IS '등록자 ID' ;</v>
      </c>
    </row>
    <row r="137" spans="1:34" ht="20" customHeight="1">
      <c r="A137" s="55">
        <v>133</v>
      </c>
      <c r="B137" s="26" t="s">
        <v>7</v>
      </c>
      <c r="C137" s="25" t="s">
        <v>11</v>
      </c>
      <c r="D137" s="13" t="s">
        <v>274</v>
      </c>
      <c r="E137" s="10" t="s">
        <v>275</v>
      </c>
      <c r="F137" s="97">
        <v>6</v>
      </c>
      <c r="G137" s="102" t="s">
        <v>91</v>
      </c>
      <c r="H137" s="51" t="s">
        <v>77</v>
      </c>
      <c r="I137" s="75" t="s">
        <v>72</v>
      </c>
      <c r="J137" s="52"/>
      <c r="K137" s="52"/>
      <c r="L137" s="52"/>
      <c r="M137" s="52"/>
      <c r="N137" s="52"/>
      <c r="O137" s="52"/>
      <c r="P137" s="56" t="s">
        <v>106</v>
      </c>
      <c r="Q137" s="126" t="s">
        <v>549</v>
      </c>
      <c r="R137" s="85"/>
      <c r="S137" s="112" t="s">
        <v>218</v>
      </c>
      <c r="T137" s="83"/>
      <c r="U137" s="83"/>
      <c r="V137" s="106"/>
      <c r="W137" s="45"/>
      <c r="X137" s="83"/>
      <c r="Y137" s="129" t="str">
        <f t="shared" si="15"/>
        <v>TB_CLASS_DETAIL_REQST</v>
      </c>
      <c r="Z137" s="50" t="str">
        <f t="shared" si="19"/>
        <v>REGISTER_IP VARCHAR(100) NOT NULL,</v>
      </c>
      <c r="AA137" s="50" t="str">
        <f t="shared" si="16"/>
        <v/>
      </c>
      <c r="AB137" s="50" t="str">
        <f t="shared" si="17"/>
        <v/>
      </c>
      <c r="AC137" s="50" t="str">
        <f t="shared" si="24"/>
        <v/>
      </c>
      <c r="AD137" s="50" t="str">
        <f t="shared" si="25"/>
        <v>ALTER TABLE TB_CLASS_DETAIL_REQST ALTER COLUMN REGISTER_IP TYPE VARCHAR(100);</v>
      </c>
      <c r="AE137" s="50" t="str">
        <f t="shared" si="26"/>
        <v>ALTER TABLE TB_CLASS_DETAIL_REQST ADD COLUMN REGISTER_IP VARCHAR(100) NOT NULL;</v>
      </c>
      <c r="AF137" s="50" t="str">
        <f t="shared" si="27"/>
        <v>ALTER TABLE TB_CLASS_DETAIL_REQST DROP COLUMN REGISTER_IP;</v>
      </c>
      <c r="AG137" s="50" t="str">
        <f t="shared" si="28"/>
        <v/>
      </c>
      <c r="AH137" s="50" t="str">
        <f t="shared" si="18"/>
        <v>COMMENT ON COLUMN TB_CLASS_DETAIL_REQST.REGISTER_IP IS '등록자 IP' ;</v>
      </c>
    </row>
    <row r="138" spans="1:34" ht="20" customHeight="1">
      <c r="A138" s="55">
        <v>134</v>
      </c>
      <c r="B138" s="26" t="s">
        <v>7</v>
      </c>
      <c r="C138" s="25" t="s">
        <v>11</v>
      </c>
      <c r="D138" s="13" t="s">
        <v>274</v>
      </c>
      <c r="E138" s="10" t="s">
        <v>275</v>
      </c>
      <c r="F138" s="97">
        <v>7</v>
      </c>
      <c r="G138" s="102" t="s">
        <v>92</v>
      </c>
      <c r="H138" s="101" t="s">
        <v>78</v>
      </c>
      <c r="I138" s="75" t="s">
        <v>72</v>
      </c>
      <c r="J138" s="52"/>
      <c r="K138" s="52"/>
      <c r="L138" s="52"/>
      <c r="M138" s="52"/>
      <c r="N138" s="52"/>
      <c r="O138" s="52"/>
      <c r="P138" s="51" t="s">
        <v>732</v>
      </c>
      <c r="Q138" s="126"/>
      <c r="R138" s="85"/>
      <c r="S138" s="112" t="s">
        <v>217</v>
      </c>
      <c r="T138" s="83"/>
      <c r="U138" s="83"/>
      <c r="V138" s="106"/>
      <c r="W138" s="45"/>
      <c r="X138" s="83"/>
      <c r="Y138" s="129" t="str">
        <f t="shared" si="15"/>
        <v>TB_CLASS_DETAIL_REQST</v>
      </c>
      <c r="Z138" s="50" t="str">
        <f t="shared" si="19"/>
        <v>REG_DT TIMESTAMP NOT NULL,</v>
      </c>
      <c r="AA138" s="50" t="str">
        <f t="shared" si="16"/>
        <v/>
      </c>
      <c r="AB138" s="50" t="str">
        <f t="shared" si="17"/>
        <v/>
      </c>
      <c r="AC138" s="50" t="str">
        <f t="shared" si="24"/>
        <v/>
      </c>
      <c r="AD138" s="50" t="str">
        <f t="shared" si="25"/>
        <v>ALTER TABLE TB_CLASS_DETAIL_REQST ALTER COLUMN REG_DT TYPE TIMESTAMP;</v>
      </c>
      <c r="AE138" s="50" t="str">
        <f t="shared" si="26"/>
        <v>ALTER TABLE TB_CLASS_DETAIL_REQST ADD COLUMN REG_DT TIMESTAMP NOT NULL;</v>
      </c>
      <c r="AF138" s="50" t="str">
        <f t="shared" si="27"/>
        <v>ALTER TABLE TB_CLASS_DETAIL_REQST DROP COLUMN REG_DT;</v>
      </c>
      <c r="AG138" s="50" t="str">
        <f t="shared" si="28"/>
        <v/>
      </c>
      <c r="AH138" s="50" t="str">
        <f t="shared" si="18"/>
        <v>COMMENT ON COLUMN TB_CLASS_DETAIL_REQST.REG_DT IS '등록 일시' ;</v>
      </c>
    </row>
    <row r="139" spans="1:34" ht="20" customHeight="1">
      <c r="A139" s="55">
        <v>135</v>
      </c>
      <c r="B139" s="26" t="s">
        <v>7</v>
      </c>
      <c r="C139" s="25" t="s">
        <v>11</v>
      </c>
      <c r="D139" s="13" t="s">
        <v>274</v>
      </c>
      <c r="E139" s="10" t="s">
        <v>275</v>
      </c>
      <c r="F139" s="97">
        <v>8</v>
      </c>
      <c r="G139" s="102" t="s">
        <v>93</v>
      </c>
      <c r="H139" s="101" t="s">
        <v>80</v>
      </c>
      <c r="I139" s="52"/>
      <c r="J139" s="52"/>
      <c r="K139" s="52"/>
      <c r="L139" s="84"/>
      <c r="M139" s="84"/>
      <c r="N139" s="84"/>
      <c r="O139" s="84"/>
      <c r="P139" s="105" t="s">
        <v>543</v>
      </c>
      <c r="Q139" s="126" t="s">
        <v>548</v>
      </c>
      <c r="R139" s="85"/>
      <c r="S139" s="112" t="s">
        <v>216</v>
      </c>
      <c r="T139" s="83"/>
      <c r="U139" s="83"/>
      <c r="V139" s="123" t="s">
        <v>518</v>
      </c>
      <c r="W139" s="45"/>
      <c r="X139" s="83"/>
      <c r="Y139" s="129" t="str">
        <f t="shared" si="15"/>
        <v>TB_CLASS_DETAIL_REQST</v>
      </c>
      <c r="Z139" s="50" t="str">
        <f t="shared" si="19"/>
        <v>UPDUSR_ID VARCHAR(50),</v>
      </c>
      <c r="AA139" s="50" t="str">
        <f t="shared" si="16"/>
        <v/>
      </c>
      <c r="AB139" s="50" t="str">
        <f t="shared" si="17"/>
        <v/>
      </c>
      <c r="AC139" s="50" t="str">
        <f t="shared" si="24"/>
        <v/>
      </c>
      <c r="AD139" s="50" t="str">
        <f t="shared" si="25"/>
        <v>ALTER TABLE TB_CLASS_DETAIL_REQST ALTER COLUMN UPDUSR_ID TYPE VARCHAR(50);</v>
      </c>
      <c r="AE139" s="50" t="str">
        <f t="shared" si="26"/>
        <v>ALTER TABLE TB_CLASS_DETAIL_REQST ADD COLUMN UPDUSR_ID VARCHAR(50);</v>
      </c>
      <c r="AF139" s="50" t="str">
        <f t="shared" si="27"/>
        <v>ALTER TABLE TB_CLASS_DETAIL_REQST DROP COLUMN UPDUSR_ID;</v>
      </c>
      <c r="AG139" s="50" t="str">
        <f t="shared" si="28"/>
        <v/>
      </c>
      <c r="AH139" s="50" t="str">
        <f t="shared" si="18"/>
        <v>COMMENT ON COLUMN TB_CLASS_DETAIL_REQST.UPDUSR_ID IS '수정자 ID' ;</v>
      </c>
    </row>
    <row r="140" spans="1:34" ht="20" customHeight="1">
      <c r="A140" s="55">
        <v>136</v>
      </c>
      <c r="B140" s="26" t="s">
        <v>7</v>
      </c>
      <c r="C140" s="25" t="s">
        <v>11</v>
      </c>
      <c r="D140" s="13" t="s">
        <v>274</v>
      </c>
      <c r="E140" s="10" t="s">
        <v>275</v>
      </c>
      <c r="F140" s="97">
        <v>9</v>
      </c>
      <c r="G140" s="102" t="s">
        <v>94</v>
      </c>
      <c r="H140" s="101" t="s">
        <v>79</v>
      </c>
      <c r="I140" s="52"/>
      <c r="J140" s="52"/>
      <c r="K140" s="52"/>
      <c r="L140" s="52"/>
      <c r="M140" s="52"/>
      <c r="N140" s="52"/>
      <c r="O140" s="52"/>
      <c r="P140" s="56" t="s">
        <v>106</v>
      </c>
      <c r="Q140" s="126" t="s">
        <v>549</v>
      </c>
      <c r="R140" s="85"/>
      <c r="S140" s="112" t="s">
        <v>215</v>
      </c>
      <c r="T140" s="83"/>
      <c r="U140" s="83"/>
      <c r="V140" s="106"/>
      <c r="W140" s="45"/>
      <c r="X140" s="83"/>
      <c r="Y140" s="129" t="str">
        <f t="shared" si="15"/>
        <v>TB_CLASS_DETAIL_REQST</v>
      </c>
      <c r="Z140" s="50" t="str">
        <f t="shared" si="19"/>
        <v>UPDUSR_IP VARCHAR(100),</v>
      </c>
      <c r="AA140" s="50" t="str">
        <f t="shared" si="16"/>
        <v/>
      </c>
      <c r="AB140" s="50" t="str">
        <f t="shared" si="17"/>
        <v/>
      </c>
      <c r="AC140" s="50" t="str">
        <f t="shared" si="24"/>
        <v/>
      </c>
      <c r="AD140" s="50" t="str">
        <f t="shared" si="25"/>
        <v>ALTER TABLE TB_CLASS_DETAIL_REQST ALTER COLUMN UPDUSR_IP TYPE VARCHAR(100);</v>
      </c>
      <c r="AE140" s="50" t="str">
        <f t="shared" si="26"/>
        <v>ALTER TABLE TB_CLASS_DETAIL_REQST ADD COLUMN UPDUSR_IP VARCHAR(100);</v>
      </c>
      <c r="AF140" s="50" t="str">
        <f t="shared" si="27"/>
        <v>ALTER TABLE TB_CLASS_DETAIL_REQST DROP COLUMN UPDUSR_IP;</v>
      </c>
      <c r="AG140" s="50" t="str">
        <f t="shared" si="28"/>
        <v/>
      </c>
      <c r="AH140" s="50" t="str">
        <f t="shared" si="18"/>
        <v>COMMENT ON COLUMN TB_CLASS_DETAIL_REQST.UPDUSR_IP IS '수정자 IP' ;</v>
      </c>
    </row>
    <row r="141" spans="1:34" ht="20" customHeight="1">
      <c r="A141" s="55">
        <v>137</v>
      </c>
      <c r="B141" s="26" t="s">
        <v>7</v>
      </c>
      <c r="C141" s="25" t="s">
        <v>11</v>
      </c>
      <c r="D141" s="13" t="s">
        <v>274</v>
      </c>
      <c r="E141" s="10" t="s">
        <v>275</v>
      </c>
      <c r="F141" s="97">
        <v>10</v>
      </c>
      <c r="G141" s="103" t="s">
        <v>95</v>
      </c>
      <c r="H141" s="102" t="s">
        <v>81</v>
      </c>
      <c r="I141" s="61"/>
      <c r="J141" s="61"/>
      <c r="K141" s="61"/>
      <c r="L141" s="61"/>
      <c r="M141" s="61"/>
      <c r="N141" s="61"/>
      <c r="O141" s="61"/>
      <c r="P141" s="51" t="s">
        <v>732</v>
      </c>
      <c r="Q141" s="126"/>
      <c r="R141" s="82"/>
      <c r="S141" s="112" t="s">
        <v>214</v>
      </c>
      <c r="T141" s="83"/>
      <c r="U141" s="83"/>
      <c r="V141" s="106"/>
      <c r="W141" s="45"/>
      <c r="X141" s="83"/>
      <c r="Y141" s="129" t="str">
        <f t="shared" si="15"/>
        <v>TB_CLASS_DETAIL_REQST</v>
      </c>
      <c r="Z141" s="50" t="str">
        <f t="shared" si="19"/>
        <v>UPDT_DT TIMESTAMP,</v>
      </c>
      <c r="AA141" s="50" t="str">
        <f t="shared" si="16"/>
        <v/>
      </c>
      <c r="AB141" s="50" t="str">
        <f t="shared" si="17"/>
        <v/>
      </c>
      <c r="AC141" s="50" t="str">
        <f t="shared" si="24"/>
        <v/>
      </c>
      <c r="AD141" s="50" t="str">
        <f t="shared" si="25"/>
        <v>ALTER TABLE TB_CLASS_DETAIL_REQST ALTER COLUMN UPDT_DT TYPE TIMESTAMP;</v>
      </c>
      <c r="AE141" s="50" t="str">
        <f t="shared" si="26"/>
        <v>ALTER TABLE TB_CLASS_DETAIL_REQST ADD COLUMN UPDT_DT TIMESTAMP;</v>
      </c>
      <c r="AF141" s="50" t="str">
        <f t="shared" si="27"/>
        <v>ALTER TABLE TB_CLASS_DETAIL_REQST DROP COLUMN UPDT_DT;</v>
      </c>
      <c r="AG141" s="50" t="str">
        <f t="shared" si="28"/>
        <v/>
      </c>
      <c r="AH141" s="50" t="str">
        <f t="shared" si="18"/>
        <v>COMMENT ON COLUMN TB_CLASS_DETAIL_REQST.UPDT_DT IS '수정 일시' ;</v>
      </c>
    </row>
    <row r="142" spans="1:34" ht="20" customHeight="1">
      <c r="A142" s="55">
        <v>138</v>
      </c>
      <c r="B142" s="26" t="s">
        <v>7</v>
      </c>
      <c r="C142" s="25" t="s">
        <v>11</v>
      </c>
      <c r="D142" s="13" t="s">
        <v>274</v>
      </c>
      <c r="E142" s="10" t="s">
        <v>275</v>
      </c>
      <c r="F142" s="97">
        <v>11</v>
      </c>
      <c r="G142" s="102" t="s">
        <v>96</v>
      </c>
      <c r="H142" s="102" t="s">
        <v>82</v>
      </c>
      <c r="I142" s="75" t="s">
        <v>72</v>
      </c>
      <c r="J142" s="61"/>
      <c r="K142" s="61"/>
      <c r="L142" s="61"/>
      <c r="M142" s="61"/>
      <c r="N142" s="61"/>
      <c r="O142" s="61"/>
      <c r="P142" s="51" t="s">
        <v>106</v>
      </c>
      <c r="Q142" s="126" t="s">
        <v>544</v>
      </c>
      <c r="R142" s="87" t="s">
        <v>592</v>
      </c>
      <c r="S142" s="112" t="s">
        <v>213</v>
      </c>
      <c r="T142" s="83"/>
      <c r="U142" s="83"/>
      <c r="V142" s="106"/>
      <c r="W142" s="45"/>
      <c r="X142" s="83"/>
      <c r="Y142" s="129" t="str">
        <f t="shared" si="15"/>
        <v>TB_CLASS_DETAIL_REQST</v>
      </c>
      <c r="Z142" s="50" t="str">
        <f t="shared" si="19"/>
        <v>DEL_YN VARCHAR(1) NOT NULL,</v>
      </c>
      <c r="AA142" s="50" t="str">
        <f t="shared" si="16"/>
        <v/>
      </c>
      <c r="AB142" s="50" t="str">
        <f t="shared" si="17"/>
        <v/>
      </c>
      <c r="AC142" s="50" t="str">
        <f t="shared" si="24"/>
        <v/>
      </c>
      <c r="AD142" s="50" t="str">
        <f t="shared" si="25"/>
        <v>ALTER TABLE TB_CLASS_DETAIL_REQST ALTER COLUMN DEL_YN TYPE VARCHAR(1);</v>
      </c>
      <c r="AE142" s="50" t="str">
        <f t="shared" si="26"/>
        <v>ALTER TABLE TB_CLASS_DETAIL_REQST ADD COLUMN DEL_YN VARCHAR(1) NOT NULL DEFAULT ''N'';</v>
      </c>
      <c r="AF142" s="50" t="str">
        <f t="shared" si="27"/>
        <v>ALTER TABLE TB_CLASS_DETAIL_REQST DROP COLUMN DEL_YN;</v>
      </c>
      <c r="AG142" s="50" t="str">
        <f t="shared" si="28"/>
        <v>ALTER TABLE TB_CLASS_DETAIL_REQST ALTER COLUMN DEL_YN SET DEFAULT 'N';</v>
      </c>
      <c r="AH142" s="50" t="str">
        <f t="shared" si="18"/>
        <v>COMMENT ON COLUMN TB_CLASS_DETAIL_REQST.DEL_YN IS '삭제 여부' ;</v>
      </c>
    </row>
    <row r="143" spans="1:34" ht="20" customHeight="1">
      <c r="A143" s="55">
        <v>139</v>
      </c>
      <c r="B143" s="26" t="s">
        <v>7</v>
      </c>
      <c r="C143" s="25" t="s">
        <v>11</v>
      </c>
      <c r="D143" s="13" t="s">
        <v>155</v>
      </c>
      <c r="E143" s="13" t="s">
        <v>153</v>
      </c>
      <c r="F143" s="97">
        <v>1</v>
      </c>
      <c r="G143" s="106" t="s">
        <v>199</v>
      </c>
      <c r="H143" s="106" t="s">
        <v>200</v>
      </c>
      <c r="I143" s="45" t="s">
        <v>191</v>
      </c>
      <c r="J143" s="45">
        <v>1</v>
      </c>
      <c r="K143" s="45"/>
      <c r="L143" s="45"/>
      <c r="M143" s="45"/>
      <c r="N143" s="45"/>
      <c r="O143" s="45"/>
      <c r="P143" s="106" t="s">
        <v>172</v>
      </c>
      <c r="Q143" s="97"/>
      <c r="R143" s="45"/>
      <c r="S143" s="106" t="s">
        <v>206</v>
      </c>
      <c r="T143" s="132" t="str">
        <f>"SEQ_"&amp;D143&amp;"_SN"</f>
        <v>SEQ_TB_CLASS_WEEK_SN</v>
      </c>
      <c r="U143" s="132"/>
      <c r="V143" s="106"/>
      <c r="W143" s="45"/>
      <c r="X143" s="83"/>
      <c r="Y143" s="129" t="str">
        <f t="shared" si="15"/>
        <v>TB_CLASS_WEEK</v>
      </c>
      <c r="Z143" s="50" t="str">
        <f t="shared" si="19"/>
        <v>CLASS_WEEK_SN INTEGER PRIMARY KEY,</v>
      </c>
      <c r="AA143" s="50" t="str">
        <f t="shared" si="16"/>
        <v/>
      </c>
      <c r="AB143" s="50" t="str">
        <f t="shared" si="17"/>
        <v>CREATE SEQUENCE SEQ_TB_CLASS_WEEK_SN START 100000;</v>
      </c>
      <c r="AC143" s="50" t="str">
        <f t="shared" si="24"/>
        <v>ALTER TABLE TB_CLASS_WEEK ALTER COLUMN CLASS_WEEK_SN SET DEFAULT NEXTVAL('SEQ_TB_CLASS_WEEK_SN');</v>
      </c>
      <c r="AD143" s="50" t="str">
        <f t="shared" si="25"/>
        <v>ALTER TABLE TB_CLASS_WEEK ALTER COLUMN CLASS_WEEK_SN TYPE INTEGER;</v>
      </c>
      <c r="AE143" s="50" t="str">
        <f t="shared" si="26"/>
        <v>ALTER TABLE TB_CLASS_WEEK ADD COLUMN CLASS_WEEK_SN INTEGER NOT NULL;</v>
      </c>
      <c r="AF143" s="50" t="str">
        <f t="shared" si="27"/>
        <v>ALTER TABLE TB_CLASS_WEEK DROP COLUMN CLASS_WEEK_SN;</v>
      </c>
      <c r="AG143" s="50" t="str">
        <f t="shared" si="28"/>
        <v/>
      </c>
      <c r="AH143" s="50" t="str">
        <f t="shared" si="18"/>
        <v>COMMENT ON COLUMN TB_CLASS_WEEK.CLASS_WEEK_SN IS '클래스 요일 일련번호' ;</v>
      </c>
    </row>
    <row r="144" spans="1:34" ht="20" customHeight="1">
      <c r="A144" s="55">
        <v>140</v>
      </c>
      <c r="B144" s="26" t="s">
        <v>7</v>
      </c>
      <c r="C144" s="25" t="s">
        <v>11</v>
      </c>
      <c r="D144" s="13" t="s">
        <v>155</v>
      </c>
      <c r="E144" s="13" t="s">
        <v>153</v>
      </c>
      <c r="F144" s="97">
        <v>2</v>
      </c>
      <c r="G144" s="106" t="s">
        <v>201</v>
      </c>
      <c r="H144" s="106" t="s">
        <v>187</v>
      </c>
      <c r="I144" s="45" t="s">
        <v>191</v>
      </c>
      <c r="J144" s="45"/>
      <c r="K144" s="45">
        <v>1</v>
      </c>
      <c r="L144" s="13" t="s">
        <v>22</v>
      </c>
      <c r="M144" s="106" t="s">
        <v>162</v>
      </c>
      <c r="N144" s="100" t="s">
        <v>562</v>
      </c>
      <c r="O144" s="100" t="s">
        <v>564</v>
      </c>
      <c r="P144" s="106" t="s">
        <v>172</v>
      </c>
      <c r="Q144" s="97"/>
      <c r="R144" s="45"/>
      <c r="S144" s="106" t="s">
        <v>175</v>
      </c>
      <c r="T144" s="83"/>
      <c r="U144" s="83"/>
      <c r="V144" s="106"/>
      <c r="W144" s="45"/>
      <c r="X144" s="83"/>
      <c r="Y144" s="129" t="str">
        <f t="shared" si="15"/>
        <v>TB_CLASS_WEEK</v>
      </c>
      <c r="Z144" s="50" t="str">
        <f t="shared" si="19"/>
        <v>CLASS_SN INTEGER NOT NULL,</v>
      </c>
      <c r="AA144" s="50" t="str">
        <f t="shared" si="16"/>
        <v>ALTER TABLE TB_CLASS_WEEK ADD CONSTRAINT TB_CLASS_WEEK_FKEY1 FOREIGN KEY(CLASS_SN) REFERENCES TB_CLASS(CLASS_SN) ON UPDATE CASCADE ON DELETE CASCADE;</v>
      </c>
      <c r="AB144" s="50" t="str">
        <f t="shared" si="17"/>
        <v/>
      </c>
      <c r="AC144" s="50" t="str">
        <f t="shared" si="24"/>
        <v/>
      </c>
      <c r="AD144" s="50" t="str">
        <f t="shared" si="25"/>
        <v>ALTER TABLE TB_CLASS_WEEK ALTER COLUMN CLASS_SN TYPE INTEGER;</v>
      </c>
      <c r="AE144" s="50" t="str">
        <f t="shared" si="26"/>
        <v>ALTER TABLE TB_CLASS_WEEK ADD COLUMN CLASS_SN INTEGER NOT NULL;</v>
      </c>
      <c r="AF144" s="50" t="str">
        <f t="shared" si="27"/>
        <v>ALTER TABLE TB_CLASS_WEEK DROP COLUMN CLASS_SN;</v>
      </c>
      <c r="AG144" s="50" t="str">
        <f t="shared" si="28"/>
        <v/>
      </c>
      <c r="AH144" s="50" t="str">
        <f t="shared" si="18"/>
        <v>COMMENT ON COLUMN TB_CLASS_WEEK.CLASS_SN IS '클래스 일련번호' ;</v>
      </c>
    </row>
    <row r="145" spans="1:34" ht="20" customHeight="1">
      <c r="A145" s="55">
        <v>141</v>
      </c>
      <c r="B145" s="26" t="s">
        <v>7</v>
      </c>
      <c r="C145" s="25" t="s">
        <v>11</v>
      </c>
      <c r="D145" s="13" t="s">
        <v>155</v>
      </c>
      <c r="E145" s="13" t="s">
        <v>153</v>
      </c>
      <c r="F145" s="97">
        <v>3</v>
      </c>
      <c r="G145" s="106" t="s">
        <v>204</v>
      </c>
      <c r="H145" s="106" t="s">
        <v>205</v>
      </c>
      <c r="I145" s="45" t="s">
        <v>191</v>
      </c>
      <c r="J145" s="45"/>
      <c r="K145" s="45"/>
      <c r="L145" s="45"/>
      <c r="M145" s="45"/>
      <c r="N145" s="45"/>
      <c r="O145" s="45"/>
      <c r="P145" s="106" t="s">
        <v>170</v>
      </c>
      <c r="Q145" s="126" t="s">
        <v>548</v>
      </c>
      <c r="R145" s="45"/>
      <c r="S145" s="106" t="s">
        <v>207</v>
      </c>
      <c r="T145" s="83"/>
      <c r="U145" s="83"/>
      <c r="V145" s="106"/>
      <c r="W145" s="45"/>
      <c r="X145" s="83"/>
      <c r="Y145" s="129" t="str">
        <f t="shared" si="15"/>
        <v>TB_CLASS_WEEK</v>
      </c>
      <c r="Z145" s="50" t="str">
        <f t="shared" si="19"/>
        <v>CLASS_DAY_CD VARCHAR(50) NOT NULL,</v>
      </c>
      <c r="AA145" s="50" t="str">
        <f t="shared" si="16"/>
        <v/>
      </c>
      <c r="AB145" s="50" t="str">
        <f t="shared" si="17"/>
        <v/>
      </c>
      <c r="AC145" s="50" t="str">
        <f t="shared" si="24"/>
        <v/>
      </c>
      <c r="AD145" s="50" t="str">
        <f t="shared" si="25"/>
        <v>ALTER TABLE TB_CLASS_WEEK ALTER COLUMN CLASS_DAY_CD TYPE VARCHAR(50);</v>
      </c>
      <c r="AE145" s="50" t="str">
        <f t="shared" si="26"/>
        <v>ALTER TABLE TB_CLASS_WEEK ADD COLUMN CLASS_DAY_CD VARCHAR(50) NOT NULL;</v>
      </c>
      <c r="AF145" s="50" t="str">
        <f t="shared" si="27"/>
        <v>ALTER TABLE TB_CLASS_WEEK DROP COLUMN CLASS_DAY_CD;</v>
      </c>
      <c r="AG145" s="50" t="str">
        <f t="shared" si="28"/>
        <v/>
      </c>
      <c r="AH145" s="50" t="str">
        <f t="shared" si="18"/>
        <v>COMMENT ON COLUMN TB_CLASS_WEEK.CLASS_DAY_CD IS '클래스 요일 코드' ;</v>
      </c>
    </row>
    <row r="146" spans="1:34" ht="20" customHeight="1">
      <c r="A146" s="55">
        <v>142</v>
      </c>
      <c r="B146" s="26" t="s">
        <v>7</v>
      </c>
      <c r="C146" s="25" t="s">
        <v>11</v>
      </c>
      <c r="D146" s="13" t="s">
        <v>155</v>
      </c>
      <c r="E146" s="13" t="s">
        <v>153</v>
      </c>
      <c r="F146" s="97">
        <v>4</v>
      </c>
      <c r="G146" s="102" t="s">
        <v>107</v>
      </c>
      <c r="H146" s="51" t="s">
        <v>76</v>
      </c>
      <c r="I146" s="75" t="s">
        <v>72</v>
      </c>
      <c r="J146" s="67"/>
      <c r="K146" s="67"/>
      <c r="L146" s="82"/>
      <c r="M146" s="82"/>
      <c r="N146" s="82"/>
      <c r="O146" s="82"/>
      <c r="P146" s="105" t="s">
        <v>543</v>
      </c>
      <c r="Q146" s="126" t="s">
        <v>548</v>
      </c>
      <c r="R146" s="85"/>
      <c r="S146" s="112" t="s">
        <v>219</v>
      </c>
      <c r="T146" s="83"/>
      <c r="U146" s="83"/>
      <c r="V146" s="123" t="s">
        <v>518</v>
      </c>
      <c r="W146" s="45"/>
      <c r="X146" s="83"/>
      <c r="Y146" s="129" t="str">
        <f t="shared" si="15"/>
        <v>TB_CLASS_WEEK</v>
      </c>
      <c r="Z146" s="50" t="str">
        <f t="shared" si="19"/>
        <v>REGISTER_ID VARCHAR(50) NOT NULL,</v>
      </c>
      <c r="AA146" s="50" t="str">
        <f t="shared" si="16"/>
        <v/>
      </c>
      <c r="AB146" s="50" t="str">
        <f t="shared" si="17"/>
        <v/>
      </c>
      <c r="AC146" s="50" t="str">
        <f t="shared" si="24"/>
        <v/>
      </c>
      <c r="AD146" s="50" t="str">
        <f t="shared" si="25"/>
        <v>ALTER TABLE TB_CLASS_WEEK ALTER COLUMN REGISTER_ID TYPE VARCHAR(50);</v>
      </c>
      <c r="AE146" s="50" t="str">
        <f t="shared" si="26"/>
        <v>ALTER TABLE TB_CLASS_WEEK ADD COLUMN REGISTER_ID VARCHAR(50) NOT NULL;</v>
      </c>
      <c r="AF146" s="50" t="str">
        <f t="shared" si="27"/>
        <v>ALTER TABLE TB_CLASS_WEEK DROP COLUMN REGISTER_ID;</v>
      </c>
      <c r="AG146" s="50" t="str">
        <f t="shared" si="28"/>
        <v/>
      </c>
      <c r="AH146" s="50" t="str">
        <f t="shared" si="18"/>
        <v>COMMENT ON COLUMN TB_CLASS_WEEK.REGISTER_ID IS '등록자 ID' ;</v>
      </c>
    </row>
    <row r="147" spans="1:34" ht="20" customHeight="1">
      <c r="A147" s="55">
        <v>143</v>
      </c>
      <c r="B147" s="26" t="s">
        <v>7</v>
      </c>
      <c r="C147" s="25" t="s">
        <v>11</v>
      </c>
      <c r="D147" s="13" t="s">
        <v>155</v>
      </c>
      <c r="E147" s="13" t="s">
        <v>153</v>
      </c>
      <c r="F147" s="97">
        <v>5</v>
      </c>
      <c r="G147" s="102" t="s">
        <v>91</v>
      </c>
      <c r="H147" s="51" t="s">
        <v>77</v>
      </c>
      <c r="I147" s="75" t="s">
        <v>72</v>
      </c>
      <c r="J147" s="52"/>
      <c r="K147" s="52"/>
      <c r="L147" s="52"/>
      <c r="M147" s="52"/>
      <c r="N147" s="52"/>
      <c r="O147" s="52"/>
      <c r="P147" s="56" t="s">
        <v>106</v>
      </c>
      <c r="Q147" s="126" t="s">
        <v>549</v>
      </c>
      <c r="R147" s="85"/>
      <c r="S147" s="112" t="s">
        <v>218</v>
      </c>
      <c r="T147" s="83"/>
      <c r="U147" s="83"/>
      <c r="V147" s="106"/>
      <c r="W147" s="45"/>
      <c r="X147" s="83"/>
      <c r="Y147" s="129" t="str">
        <f t="shared" si="15"/>
        <v>TB_CLASS_WEEK</v>
      </c>
      <c r="Z147" s="50" t="str">
        <f t="shared" si="19"/>
        <v>REGISTER_IP VARCHAR(100) NOT NULL,</v>
      </c>
      <c r="AA147" s="50" t="str">
        <f t="shared" si="16"/>
        <v/>
      </c>
      <c r="AB147" s="50" t="str">
        <f t="shared" si="17"/>
        <v/>
      </c>
      <c r="AC147" s="50" t="str">
        <f t="shared" si="24"/>
        <v/>
      </c>
      <c r="AD147" s="50" t="str">
        <f t="shared" si="25"/>
        <v>ALTER TABLE TB_CLASS_WEEK ALTER COLUMN REGISTER_IP TYPE VARCHAR(100);</v>
      </c>
      <c r="AE147" s="50" t="str">
        <f t="shared" si="26"/>
        <v>ALTER TABLE TB_CLASS_WEEK ADD COLUMN REGISTER_IP VARCHAR(100) NOT NULL;</v>
      </c>
      <c r="AF147" s="50" t="str">
        <f t="shared" si="27"/>
        <v>ALTER TABLE TB_CLASS_WEEK DROP COLUMN REGISTER_IP;</v>
      </c>
      <c r="AG147" s="50" t="str">
        <f t="shared" si="28"/>
        <v/>
      </c>
      <c r="AH147" s="50" t="str">
        <f t="shared" si="18"/>
        <v>COMMENT ON COLUMN TB_CLASS_WEEK.REGISTER_IP IS '등록자 IP' ;</v>
      </c>
    </row>
    <row r="148" spans="1:34" ht="20" customHeight="1">
      <c r="A148" s="55">
        <v>144</v>
      </c>
      <c r="B148" s="26" t="s">
        <v>7</v>
      </c>
      <c r="C148" s="25" t="s">
        <v>11</v>
      </c>
      <c r="D148" s="13" t="s">
        <v>155</v>
      </c>
      <c r="E148" s="13" t="s">
        <v>153</v>
      </c>
      <c r="F148" s="97">
        <v>6</v>
      </c>
      <c r="G148" s="102" t="s">
        <v>92</v>
      </c>
      <c r="H148" s="101" t="s">
        <v>78</v>
      </c>
      <c r="I148" s="75" t="s">
        <v>72</v>
      </c>
      <c r="J148" s="52"/>
      <c r="K148" s="52"/>
      <c r="L148" s="52"/>
      <c r="M148" s="52"/>
      <c r="N148" s="52"/>
      <c r="O148" s="52"/>
      <c r="P148" s="51" t="s">
        <v>732</v>
      </c>
      <c r="Q148" s="126"/>
      <c r="R148" s="85"/>
      <c r="S148" s="112" t="s">
        <v>217</v>
      </c>
      <c r="T148" s="83"/>
      <c r="U148" s="83"/>
      <c r="V148" s="106"/>
      <c r="W148" s="45"/>
      <c r="X148" s="83"/>
      <c r="Y148" s="129" t="str">
        <f t="shared" si="15"/>
        <v>TB_CLASS_WEEK</v>
      </c>
      <c r="Z148" s="50" t="str">
        <f t="shared" si="19"/>
        <v>REG_DT TIMESTAMP NOT NULL,</v>
      </c>
      <c r="AA148" s="50" t="str">
        <f t="shared" si="16"/>
        <v/>
      </c>
      <c r="AB148" s="50" t="str">
        <f t="shared" si="17"/>
        <v/>
      </c>
      <c r="AC148" s="50" t="str">
        <f t="shared" si="24"/>
        <v/>
      </c>
      <c r="AD148" s="50" t="str">
        <f t="shared" si="25"/>
        <v>ALTER TABLE TB_CLASS_WEEK ALTER COLUMN REG_DT TYPE TIMESTAMP;</v>
      </c>
      <c r="AE148" s="50" t="str">
        <f t="shared" si="26"/>
        <v>ALTER TABLE TB_CLASS_WEEK ADD COLUMN REG_DT TIMESTAMP NOT NULL;</v>
      </c>
      <c r="AF148" s="50" t="str">
        <f t="shared" si="27"/>
        <v>ALTER TABLE TB_CLASS_WEEK DROP COLUMN REG_DT;</v>
      </c>
      <c r="AG148" s="50" t="str">
        <f t="shared" si="28"/>
        <v/>
      </c>
      <c r="AH148" s="50" t="str">
        <f t="shared" si="18"/>
        <v>COMMENT ON COLUMN TB_CLASS_WEEK.REG_DT IS '등록 일시' ;</v>
      </c>
    </row>
    <row r="149" spans="1:34" ht="20" customHeight="1">
      <c r="A149" s="55">
        <v>145</v>
      </c>
      <c r="B149" s="26" t="s">
        <v>7</v>
      </c>
      <c r="C149" s="25" t="s">
        <v>11</v>
      </c>
      <c r="D149" s="13" t="s">
        <v>155</v>
      </c>
      <c r="E149" s="13" t="s">
        <v>153</v>
      </c>
      <c r="F149" s="97">
        <v>7</v>
      </c>
      <c r="G149" s="102" t="s">
        <v>93</v>
      </c>
      <c r="H149" s="101" t="s">
        <v>80</v>
      </c>
      <c r="I149" s="52"/>
      <c r="J149" s="52"/>
      <c r="K149" s="52"/>
      <c r="L149" s="84"/>
      <c r="M149" s="84"/>
      <c r="N149" s="84"/>
      <c r="O149" s="84"/>
      <c r="P149" s="105" t="s">
        <v>543</v>
      </c>
      <c r="Q149" s="126" t="s">
        <v>548</v>
      </c>
      <c r="R149" s="85"/>
      <c r="S149" s="112" t="s">
        <v>216</v>
      </c>
      <c r="T149" s="83"/>
      <c r="U149" s="83"/>
      <c r="V149" s="123" t="s">
        <v>518</v>
      </c>
      <c r="W149" s="45"/>
      <c r="X149" s="83"/>
      <c r="Y149" s="129" t="str">
        <f t="shared" si="15"/>
        <v>TB_CLASS_WEEK</v>
      </c>
      <c r="Z149" s="50" t="str">
        <f t="shared" si="19"/>
        <v>UPDUSR_ID VARCHAR(50),</v>
      </c>
      <c r="AA149" s="50" t="str">
        <f t="shared" si="16"/>
        <v/>
      </c>
      <c r="AB149" s="50" t="str">
        <f t="shared" si="17"/>
        <v/>
      </c>
      <c r="AC149" s="50" t="str">
        <f t="shared" si="24"/>
        <v/>
      </c>
      <c r="AD149" s="50" t="str">
        <f t="shared" si="25"/>
        <v>ALTER TABLE TB_CLASS_WEEK ALTER COLUMN UPDUSR_ID TYPE VARCHAR(50);</v>
      </c>
      <c r="AE149" s="50" t="str">
        <f t="shared" si="26"/>
        <v>ALTER TABLE TB_CLASS_WEEK ADD COLUMN UPDUSR_ID VARCHAR(50);</v>
      </c>
      <c r="AF149" s="50" t="str">
        <f t="shared" si="27"/>
        <v>ALTER TABLE TB_CLASS_WEEK DROP COLUMN UPDUSR_ID;</v>
      </c>
      <c r="AG149" s="50" t="str">
        <f t="shared" si="28"/>
        <v/>
      </c>
      <c r="AH149" s="50" t="str">
        <f t="shared" si="18"/>
        <v>COMMENT ON COLUMN TB_CLASS_WEEK.UPDUSR_ID IS '수정자 ID' ;</v>
      </c>
    </row>
    <row r="150" spans="1:34" ht="20" customHeight="1">
      <c r="A150" s="55">
        <v>146</v>
      </c>
      <c r="B150" s="26" t="s">
        <v>7</v>
      </c>
      <c r="C150" s="25" t="s">
        <v>11</v>
      </c>
      <c r="D150" s="13" t="s">
        <v>155</v>
      </c>
      <c r="E150" s="13" t="s">
        <v>153</v>
      </c>
      <c r="F150" s="97">
        <v>8</v>
      </c>
      <c r="G150" s="102" t="s">
        <v>94</v>
      </c>
      <c r="H150" s="101" t="s">
        <v>79</v>
      </c>
      <c r="I150" s="52"/>
      <c r="J150" s="52"/>
      <c r="K150" s="52"/>
      <c r="L150" s="52"/>
      <c r="M150" s="52"/>
      <c r="N150" s="52"/>
      <c r="O150" s="52"/>
      <c r="P150" s="56" t="s">
        <v>106</v>
      </c>
      <c r="Q150" s="126" t="s">
        <v>549</v>
      </c>
      <c r="R150" s="85"/>
      <c r="S150" s="112" t="s">
        <v>215</v>
      </c>
      <c r="T150" s="83"/>
      <c r="U150" s="83"/>
      <c r="V150" s="106"/>
      <c r="W150" s="45"/>
      <c r="X150" s="83"/>
      <c r="Y150" s="129" t="str">
        <f t="shared" si="15"/>
        <v>TB_CLASS_WEEK</v>
      </c>
      <c r="Z150" s="50" t="str">
        <f t="shared" si="19"/>
        <v>UPDUSR_IP VARCHAR(100),</v>
      </c>
      <c r="AA150" s="50" t="str">
        <f t="shared" si="16"/>
        <v/>
      </c>
      <c r="AB150" s="50" t="str">
        <f t="shared" si="17"/>
        <v/>
      </c>
      <c r="AC150" s="50" t="str">
        <f t="shared" si="24"/>
        <v/>
      </c>
      <c r="AD150" s="50" t="str">
        <f t="shared" si="25"/>
        <v>ALTER TABLE TB_CLASS_WEEK ALTER COLUMN UPDUSR_IP TYPE VARCHAR(100);</v>
      </c>
      <c r="AE150" s="50" t="str">
        <f t="shared" si="26"/>
        <v>ALTER TABLE TB_CLASS_WEEK ADD COLUMN UPDUSR_IP VARCHAR(100);</v>
      </c>
      <c r="AF150" s="50" t="str">
        <f t="shared" si="27"/>
        <v>ALTER TABLE TB_CLASS_WEEK DROP COLUMN UPDUSR_IP;</v>
      </c>
      <c r="AG150" s="50" t="str">
        <f t="shared" si="28"/>
        <v/>
      </c>
      <c r="AH150" s="50" t="str">
        <f t="shared" si="18"/>
        <v>COMMENT ON COLUMN TB_CLASS_WEEK.UPDUSR_IP IS '수정자 IP' ;</v>
      </c>
    </row>
    <row r="151" spans="1:34" ht="20" customHeight="1">
      <c r="A151" s="55">
        <v>147</v>
      </c>
      <c r="B151" s="26" t="s">
        <v>7</v>
      </c>
      <c r="C151" s="25" t="s">
        <v>11</v>
      </c>
      <c r="D151" s="13" t="s">
        <v>155</v>
      </c>
      <c r="E151" s="13" t="s">
        <v>153</v>
      </c>
      <c r="F151" s="97">
        <v>9</v>
      </c>
      <c r="G151" s="103" t="s">
        <v>95</v>
      </c>
      <c r="H151" s="102" t="s">
        <v>81</v>
      </c>
      <c r="I151" s="61"/>
      <c r="J151" s="61"/>
      <c r="K151" s="61"/>
      <c r="L151" s="61"/>
      <c r="M151" s="61"/>
      <c r="N151" s="61"/>
      <c r="O151" s="61"/>
      <c r="P151" s="51" t="s">
        <v>732</v>
      </c>
      <c r="Q151" s="126"/>
      <c r="R151" s="82"/>
      <c r="S151" s="112" t="s">
        <v>214</v>
      </c>
      <c r="T151" s="83"/>
      <c r="U151" s="83"/>
      <c r="V151" s="106"/>
      <c r="W151" s="45"/>
      <c r="X151" s="83"/>
      <c r="Y151" s="129" t="str">
        <f t="shared" si="15"/>
        <v>TB_CLASS_WEEK</v>
      </c>
      <c r="Z151" s="50" t="str">
        <f t="shared" si="19"/>
        <v>UPDT_DT TIMESTAMP,</v>
      </c>
      <c r="AA151" s="50" t="str">
        <f t="shared" si="16"/>
        <v/>
      </c>
      <c r="AB151" s="50" t="str">
        <f t="shared" si="17"/>
        <v/>
      </c>
      <c r="AC151" s="50" t="str">
        <f t="shared" si="24"/>
        <v/>
      </c>
      <c r="AD151" s="50" t="str">
        <f t="shared" si="25"/>
        <v>ALTER TABLE TB_CLASS_WEEK ALTER COLUMN UPDT_DT TYPE TIMESTAMP;</v>
      </c>
      <c r="AE151" s="50" t="str">
        <f t="shared" si="26"/>
        <v>ALTER TABLE TB_CLASS_WEEK ADD COLUMN UPDT_DT TIMESTAMP;</v>
      </c>
      <c r="AF151" s="50" t="str">
        <f t="shared" si="27"/>
        <v>ALTER TABLE TB_CLASS_WEEK DROP COLUMN UPDT_DT;</v>
      </c>
      <c r="AG151" s="50" t="str">
        <f t="shared" si="28"/>
        <v/>
      </c>
      <c r="AH151" s="50" t="str">
        <f t="shared" si="18"/>
        <v>COMMENT ON COLUMN TB_CLASS_WEEK.UPDT_DT IS '수정 일시' ;</v>
      </c>
    </row>
    <row r="152" spans="1:34" ht="20" customHeight="1">
      <c r="A152" s="55">
        <v>148</v>
      </c>
      <c r="B152" s="26" t="s">
        <v>7</v>
      </c>
      <c r="C152" s="25" t="s">
        <v>11</v>
      </c>
      <c r="D152" s="13" t="s">
        <v>155</v>
      </c>
      <c r="E152" s="13" t="s">
        <v>153</v>
      </c>
      <c r="F152" s="97">
        <v>10</v>
      </c>
      <c r="G152" s="102" t="s">
        <v>96</v>
      </c>
      <c r="H152" s="102" t="s">
        <v>82</v>
      </c>
      <c r="I152" s="75" t="s">
        <v>72</v>
      </c>
      <c r="J152" s="61"/>
      <c r="K152" s="61"/>
      <c r="L152" s="61"/>
      <c r="M152" s="61"/>
      <c r="N152" s="61"/>
      <c r="O152" s="61"/>
      <c r="P152" s="51" t="s">
        <v>106</v>
      </c>
      <c r="Q152" s="126" t="s">
        <v>544</v>
      </c>
      <c r="R152" s="87" t="s">
        <v>592</v>
      </c>
      <c r="S152" s="112" t="s">
        <v>213</v>
      </c>
      <c r="T152" s="83"/>
      <c r="U152" s="83"/>
      <c r="V152" s="106"/>
      <c r="W152" s="45"/>
      <c r="X152" s="83"/>
      <c r="Y152" s="129" t="str">
        <f t="shared" si="15"/>
        <v>TB_CLASS_WEEK</v>
      </c>
      <c r="Z152" s="50" t="str">
        <f t="shared" si="19"/>
        <v>DEL_YN VARCHAR(1) NOT NULL,</v>
      </c>
      <c r="AA152" s="50" t="str">
        <f t="shared" si="16"/>
        <v/>
      </c>
      <c r="AB152" s="50" t="str">
        <f t="shared" si="17"/>
        <v/>
      </c>
      <c r="AC152" s="50" t="str">
        <f t="shared" si="24"/>
        <v/>
      </c>
      <c r="AD152" s="50" t="str">
        <f t="shared" si="25"/>
        <v>ALTER TABLE TB_CLASS_WEEK ALTER COLUMN DEL_YN TYPE VARCHAR(1);</v>
      </c>
      <c r="AE152" s="50" t="str">
        <f t="shared" si="26"/>
        <v>ALTER TABLE TB_CLASS_WEEK ADD COLUMN DEL_YN VARCHAR(1) NOT NULL DEFAULT ''N'';</v>
      </c>
      <c r="AF152" s="50" t="str">
        <f t="shared" si="27"/>
        <v>ALTER TABLE TB_CLASS_WEEK DROP COLUMN DEL_YN;</v>
      </c>
      <c r="AG152" s="50" t="str">
        <f t="shared" si="28"/>
        <v>ALTER TABLE TB_CLASS_WEEK ALTER COLUMN DEL_YN SET DEFAULT 'N';</v>
      </c>
      <c r="AH152" s="50" t="str">
        <f t="shared" si="18"/>
        <v>COMMENT ON COLUMN TB_CLASS_WEEK.DEL_YN IS '삭제 여부' ;</v>
      </c>
    </row>
    <row r="153" spans="1:34" ht="20" customHeight="1">
      <c r="A153" s="55">
        <v>149</v>
      </c>
      <c r="B153" s="26" t="s">
        <v>7</v>
      </c>
      <c r="C153" s="25" t="s">
        <v>11</v>
      </c>
      <c r="D153" s="10" t="s">
        <v>51</v>
      </c>
      <c r="E153" s="12" t="s">
        <v>13</v>
      </c>
      <c r="F153" s="97">
        <v>1</v>
      </c>
      <c r="G153" s="106" t="s">
        <v>226</v>
      </c>
      <c r="H153" s="106" t="s">
        <v>227</v>
      </c>
      <c r="I153" s="45" t="s">
        <v>191</v>
      </c>
      <c r="J153" s="45">
        <v>1</v>
      </c>
      <c r="K153" s="45"/>
      <c r="L153" s="45"/>
      <c r="M153" s="45"/>
      <c r="N153" s="45"/>
      <c r="O153" s="45"/>
      <c r="P153" s="106" t="s">
        <v>229</v>
      </c>
      <c r="Q153" s="97"/>
      <c r="R153" s="45"/>
      <c r="S153" s="106" t="s">
        <v>228</v>
      </c>
      <c r="T153" s="132" t="str">
        <f>"SEQ_"&amp;D153&amp;"_SN"</f>
        <v>SEQ_TB_CLASS_LIKE_SN</v>
      </c>
      <c r="U153" s="132"/>
      <c r="V153" s="106"/>
      <c r="W153" s="45"/>
      <c r="X153" s="83"/>
      <c r="Y153" s="129" t="str">
        <f t="shared" ref="Y153:Y222" si="48">D153</f>
        <v>TB_CLASS_LIKE</v>
      </c>
      <c r="Z153" s="50" t="str">
        <f t="shared" si="19"/>
        <v>CLASS_LIKE_SN INTEGER PRIMARY KEY,</v>
      </c>
      <c r="AA153" s="50" t="str">
        <f t="shared" ref="AA153:AA222" si="49">IF(ISBLANK(K153),"","ALTER TABLE " &amp; D153 &amp; " ADD CONSTRAINT " &amp; D153 &amp; "_FKEY" &amp; K153 &amp;  " FOREIGN KEY(" &amp;G153 &amp; ") REFERENCES " &amp; L153 &amp; "(" &amp; M153 &amp; ") "&amp;N153&amp;" "&amp;O153&amp;";")</f>
        <v/>
      </c>
      <c r="AB153" s="50" t="str">
        <f t="shared" ref="AB153:AB222" si="50">IF(ISBLANK(T153),"","CREATE SEQUENCE "&amp;T153&amp;" START 100000;")</f>
        <v>CREATE SEQUENCE SEQ_TB_CLASS_LIKE_SN START 100000;</v>
      </c>
      <c r="AC153" s="50" t="str">
        <f t="shared" si="24"/>
        <v>ALTER TABLE TB_CLASS_LIKE ALTER COLUMN CLASS_LIKE_SN SET DEFAULT NEXTVAL('SEQ_TB_CLASS_LIKE_SN');</v>
      </c>
      <c r="AD153" s="50" t="str">
        <f t="shared" si="25"/>
        <v>ALTER TABLE TB_CLASS_LIKE ALTER COLUMN CLASS_LIKE_SN TYPE INTEGER;</v>
      </c>
      <c r="AE153" s="50" t="str">
        <f t="shared" si="26"/>
        <v>ALTER TABLE TB_CLASS_LIKE ADD COLUMN CLASS_LIKE_SN INTEGER NOT NULL;</v>
      </c>
      <c r="AF153" s="50" t="str">
        <f t="shared" si="27"/>
        <v>ALTER TABLE TB_CLASS_LIKE DROP COLUMN CLASS_LIKE_SN;</v>
      </c>
      <c r="AG153" s="50" t="str">
        <f t="shared" si="28"/>
        <v/>
      </c>
      <c r="AH153" s="50" t="str">
        <f t="shared" ref="AH153:AH222" si="51">"COMMENT ON COLUMN "&amp;D153&amp;"."&amp;G153&amp;" IS '"&amp;S153&amp;"' ;"</f>
        <v>COMMENT ON COLUMN TB_CLASS_LIKE.CLASS_LIKE_SN IS '클래스 관심 일련번호' ;</v>
      </c>
    </row>
    <row r="154" spans="1:34" ht="20" customHeight="1">
      <c r="A154" s="55">
        <v>150</v>
      </c>
      <c r="B154" s="26" t="s">
        <v>7</v>
      </c>
      <c r="C154" s="25" t="s">
        <v>11</v>
      </c>
      <c r="D154" s="10" t="s">
        <v>51</v>
      </c>
      <c r="E154" s="12" t="s">
        <v>13</v>
      </c>
      <c r="F154" s="97">
        <v>2</v>
      </c>
      <c r="G154" s="106" t="s">
        <v>162</v>
      </c>
      <c r="H154" s="106" t="s">
        <v>180</v>
      </c>
      <c r="I154" s="45" t="s">
        <v>191</v>
      </c>
      <c r="J154" s="45"/>
      <c r="K154" s="45">
        <v>1</v>
      </c>
      <c r="L154" s="13" t="s">
        <v>22</v>
      </c>
      <c r="M154" s="106" t="s">
        <v>162</v>
      </c>
      <c r="N154" s="100" t="s">
        <v>562</v>
      </c>
      <c r="O154" s="100" t="s">
        <v>564</v>
      </c>
      <c r="P154" s="106" t="s">
        <v>172</v>
      </c>
      <c r="Q154" s="97"/>
      <c r="R154" s="45"/>
      <c r="S154" s="106" t="s">
        <v>175</v>
      </c>
      <c r="T154" s="83"/>
      <c r="U154" s="83"/>
      <c r="V154" s="106"/>
      <c r="W154" s="45"/>
      <c r="X154" s="83"/>
      <c r="Y154" s="129" t="str">
        <f t="shared" si="48"/>
        <v>TB_CLASS_LIKE</v>
      </c>
      <c r="Z154" s="50" t="str">
        <f t="shared" ref="Z154:Z223" si="52">G154&amp;" "&amp;P154&amp;Q154&amp;IF(ISBLANK(J154),""," PRIMARY KEY")&amp;IF(AND(ISBLANK(J154),I154="Y")," NOT NULL","")&amp;","</f>
        <v>CLASS_SN INTEGER NOT NULL,</v>
      </c>
      <c r="AA154" s="50" t="str">
        <f t="shared" si="49"/>
        <v>ALTER TABLE TB_CLASS_LIKE ADD CONSTRAINT TB_CLASS_LIKE_FKEY1 FOREIGN KEY(CLASS_SN) REFERENCES TB_CLASS(CLASS_SN) ON UPDATE CASCADE ON DELETE CASCADE;</v>
      </c>
      <c r="AB154" s="50" t="str">
        <f t="shared" si="50"/>
        <v/>
      </c>
      <c r="AC154" s="50" t="str">
        <f t="shared" si="24"/>
        <v/>
      </c>
      <c r="AD154" s="50" t="str">
        <f t="shared" si="25"/>
        <v>ALTER TABLE TB_CLASS_LIKE ALTER COLUMN CLASS_SN TYPE INTEGER;</v>
      </c>
      <c r="AE154" s="50" t="str">
        <f t="shared" si="26"/>
        <v>ALTER TABLE TB_CLASS_LIKE ADD COLUMN CLASS_SN INTEGER NOT NULL;</v>
      </c>
      <c r="AF154" s="50" t="str">
        <f t="shared" si="27"/>
        <v>ALTER TABLE TB_CLASS_LIKE DROP COLUMN CLASS_SN;</v>
      </c>
      <c r="AG154" s="50" t="str">
        <f t="shared" si="28"/>
        <v/>
      </c>
      <c r="AH154" s="50" t="str">
        <f t="shared" si="51"/>
        <v>COMMENT ON COLUMN TB_CLASS_LIKE.CLASS_SN IS '클래스 일련번호' ;</v>
      </c>
    </row>
    <row r="155" spans="1:34" ht="20" customHeight="1">
      <c r="A155" s="55">
        <v>151</v>
      </c>
      <c r="B155" s="26" t="s">
        <v>7</v>
      </c>
      <c r="C155" s="25" t="s">
        <v>11</v>
      </c>
      <c r="D155" s="10" t="s">
        <v>51</v>
      </c>
      <c r="E155" s="12" t="s">
        <v>13</v>
      </c>
      <c r="F155" s="97">
        <v>3</v>
      </c>
      <c r="G155" s="100" t="s">
        <v>744</v>
      </c>
      <c r="H155" s="100" t="s">
        <v>745</v>
      </c>
      <c r="I155" s="75" t="s">
        <v>72</v>
      </c>
      <c r="J155" s="75"/>
      <c r="K155" s="75">
        <v>2</v>
      </c>
      <c r="L155" s="83" t="s">
        <v>9</v>
      </c>
      <c r="M155" s="100" t="s">
        <v>744</v>
      </c>
      <c r="N155" s="100" t="s">
        <v>562</v>
      </c>
      <c r="O155" s="100" t="s">
        <v>564</v>
      </c>
      <c r="P155" s="105" t="s">
        <v>172</v>
      </c>
      <c r="Q155" s="126"/>
      <c r="R155" s="75"/>
      <c r="S155" s="112" t="s">
        <v>109</v>
      </c>
      <c r="T155" s="83"/>
      <c r="U155" s="83"/>
      <c r="V155" s="123"/>
      <c r="W155" s="45"/>
      <c r="X155" s="83"/>
      <c r="Y155" s="129" t="str">
        <f t="shared" si="48"/>
        <v>TB_CLASS_LIKE</v>
      </c>
      <c r="Z155" s="50" t="str">
        <f t="shared" si="52"/>
        <v>USER_SN INTEGER NOT NULL,</v>
      </c>
      <c r="AA155" s="50" t="str">
        <f t="shared" si="49"/>
        <v>ALTER TABLE TB_CLASS_LIKE ADD CONSTRAINT TB_CLASS_LIKE_FKEY2 FOREIGN KEY(USER_SN) REFERENCES TB_USER(USER_SN) ON UPDATE CASCADE ON DELETE CASCADE;</v>
      </c>
      <c r="AB155" s="50" t="str">
        <f t="shared" si="50"/>
        <v/>
      </c>
      <c r="AC155" s="50" t="str">
        <f t="shared" ref="AC155:AC218" si="53">IF(ISBLANK(T155),"","ALTER TABLE "&amp;D155&amp;" ALTER COLUMN "&amp;G155&amp;" SET DEFAULT NEXTVAL('"&amp;T155&amp;"');")</f>
        <v/>
      </c>
      <c r="AD155" s="50" t="str">
        <f t="shared" ref="AD155:AD218" si="54">"ALTER TABLE "&amp;$D155&amp;" ALTER COLUMN "&amp;$G155&amp;" TYPE "&amp;$P155&amp;IF(ISBLANK(Q155),"",Q155)&amp;";"</f>
        <v>ALTER TABLE TB_CLASS_LIKE ALTER COLUMN USER_SN TYPE INTEGER;</v>
      </c>
      <c r="AE155" s="50" t="str">
        <f t="shared" ref="AE155:AE218" si="55">"ALTER TABLE "&amp;$D155&amp;" ADD COLUMN "&amp;$G155&amp;" "&amp;$P155&amp;IF(ISBLANK(Q155),"",$Q155)&amp;IF(ISBLANK($I155),""," NOT NULL")&amp;IF(ISBLANK($R155),""," DEFAULT '" &amp; $R155 &amp; "'") &amp; ";"</f>
        <v>ALTER TABLE TB_CLASS_LIKE ADD COLUMN USER_SN INTEGER NOT NULL;</v>
      </c>
      <c r="AF155" s="50" t="str">
        <f t="shared" ref="AF155:AF218" si="56">"ALTER TABLE "&amp;$D155&amp;" DROP COLUMN "&amp;$G155&amp;";"</f>
        <v>ALTER TABLE TB_CLASS_LIKE DROP COLUMN USER_SN;</v>
      </c>
      <c r="AG155" s="50" t="str">
        <f t="shared" ref="AG155:AG218" si="57">IF(ISBLANK($R155),"","ALTER TABLE " &amp; $D155 &amp; " ALTER COLUMN " &amp; G155 &amp; " SET DEFAULT " &amp; $R155 &amp; ";")</f>
        <v/>
      </c>
      <c r="AH155" s="50" t="str">
        <f t="shared" si="51"/>
        <v>COMMENT ON COLUMN TB_CLASS_LIKE.USER_SN IS '사용자 일련번호' ;</v>
      </c>
    </row>
    <row r="156" spans="1:34" ht="20" customHeight="1">
      <c r="A156" s="55">
        <v>152</v>
      </c>
      <c r="B156" s="26" t="s">
        <v>7</v>
      </c>
      <c r="C156" s="25" t="s">
        <v>11</v>
      </c>
      <c r="D156" s="10" t="s">
        <v>51</v>
      </c>
      <c r="E156" s="12" t="s">
        <v>13</v>
      </c>
      <c r="F156" s="97">
        <v>4</v>
      </c>
      <c r="G156" s="102" t="s">
        <v>107</v>
      </c>
      <c r="H156" s="51" t="s">
        <v>76</v>
      </c>
      <c r="I156" s="75" t="s">
        <v>72</v>
      </c>
      <c r="J156" s="67"/>
      <c r="K156" s="67"/>
      <c r="L156" s="82"/>
      <c r="M156" s="82"/>
      <c r="N156" s="82"/>
      <c r="O156" s="82"/>
      <c r="P156" s="105" t="s">
        <v>543</v>
      </c>
      <c r="Q156" s="126" t="s">
        <v>548</v>
      </c>
      <c r="R156" s="85"/>
      <c r="S156" s="112" t="s">
        <v>219</v>
      </c>
      <c r="T156" s="83"/>
      <c r="U156" s="83"/>
      <c r="V156" s="123" t="s">
        <v>518</v>
      </c>
      <c r="W156" s="45"/>
      <c r="X156" s="83"/>
      <c r="Y156" s="129" t="str">
        <f t="shared" si="48"/>
        <v>TB_CLASS_LIKE</v>
      </c>
      <c r="Z156" s="50" t="str">
        <f t="shared" si="52"/>
        <v>REGISTER_ID VARCHAR(50) NOT NULL,</v>
      </c>
      <c r="AA156" s="50" t="str">
        <f t="shared" si="49"/>
        <v/>
      </c>
      <c r="AB156" s="50" t="str">
        <f t="shared" si="50"/>
        <v/>
      </c>
      <c r="AC156" s="50" t="str">
        <f t="shared" si="53"/>
        <v/>
      </c>
      <c r="AD156" s="50" t="str">
        <f t="shared" si="54"/>
        <v>ALTER TABLE TB_CLASS_LIKE ALTER COLUMN REGISTER_ID TYPE VARCHAR(50);</v>
      </c>
      <c r="AE156" s="50" t="str">
        <f t="shared" si="55"/>
        <v>ALTER TABLE TB_CLASS_LIKE ADD COLUMN REGISTER_ID VARCHAR(50) NOT NULL;</v>
      </c>
      <c r="AF156" s="50" t="str">
        <f t="shared" si="56"/>
        <v>ALTER TABLE TB_CLASS_LIKE DROP COLUMN REGISTER_ID;</v>
      </c>
      <c r="AG156" s="50" t="str">
        <f t="shared" si="57"/>
        <v/>
      </c>
      <c r="AH156" s="50" t="str">
        <f t="shared" si="51"/>
        <v>COMMENT ON COLUMN TB_CLASS_LIKE.REGISTER_ID IS '등록자 ID' ;</v>
      </c>
    </row>
    <row r="157" spans="1:34" ht="20" customHeight="1">
      <c r="A157" s="55">
        <v>153</v>
      </c>
      <c r="B157" s="26" t="s">
        <v>7</v>
      </c>
      <c r="C157" s="25" t="s">
        <v>11</v>
      </c>
      <c r="D157" s="10" t="s">
        <v>51</v>
      </c>
      <c r="E157" s="12" t="s">
        <v>13</v>
      </c>
      <c r="F157" s="97">
        <v>5</v>
      </c>
      <c r="G157" s="102" t="s">
        <v>91</v>
      </c>
      <c r="H157" s="51" t="s">
        <v>77</v>
      </c>
      <c r="I157" s="75" t="s">
        <v>72</v>
      </c>
      <c r="J157" s="52"/>
      <c r="K157" s="52"/>
      <c r="L157" s="52"/>
      <c r="M157" s="52"/>
      <c r="N157" s="52"/>
      <c r="O157" s="52"/>
      <c r="P157" s="56" t="s">
        <v>106</v>
      </c>
      <c r="Q157" s="126" t="s">
        <v>549</v>
      </c>
      <c r="R157" s="85"/>
      <c r="S157" s="112" t="s">
        <v>218</v>
      </c>
      <c r="T157" s="83"/>
      <c r="U157" s="83"/>
      <c r="V157" s="106"/>
      <c r="W157" s="45"/>
      <c r="X157" s="83"/>
      <c r="Y157" s="129" t="str">
        <f t="shared" si="48"/>
        <v>TB_CLASS_LIKE</v>
      </c>
      <c r="Z157" s="50" t="str">
        <f t="shared" si="52"/>
        <v>REGISTER_IP VARCHAR(100) NOT NULL,</v>
      </c>
      <c r="AA157" s="50" t="str">
        <f t="shared" si="49"/>
        <v/>
      </c>
      <c r="AB157" s="50" t="str">
        <f t="shared" si="50"/>
        <v/>
      </c>
      <c r="AC157" s="50" t="str">
        <f t="shared" si="53"/>
        <v/>
      </c>
      <c r="AD157" s="50" t="str">
        <f t="shared" si="54"/>
        <v>ALTER TABLE TB_CLASS_LIKE ALTER COLUMN REGISTER_IP TYPE VARCHAR(100);</v>
      </c>
      <c r="AE157" s="50" t="str">
        <f t="shared" si="55"/>
        <v>ALTER TABLE TB_CLASS_LIKE ADD COLUMN REGISTER_IP VARCHAR(100) NOT NULL;</v>
      </c>
      <c r="AF157" s="50" t="str">
        <f t="shared" si="56"/>
        <v>ALTER TABLE TB_CLASS_LIKE DROP COLUMN REGISTER_IP;</v>
      </c>
      <c r="AG157" s="50" t="str">
        <f t="shared" si="57"/>
        <v/>
      </c>
      <c r="AH157" s="50" t="str">
        <f t="shared" si="51"/>
        <v>COMMENT ON COLUMN TB_CLASS_LIKE.REGISTER_IP IS '등록자 IP' ;</v>
      </c>
    </row>
    <row r="158" spans="1:34" ht="20" customHeight="1">
      <c r="A158" s="55">
        <v>154</v>
      </c>
      <c r="B158" s="26" t="s">
        <v>7</v>
      </c>
      <c r="C158" s="25" t="s">
        <v>11</v>
      </c>
      <c r="D158" s="10" t="s">
        <v>51</v>
      </c>
      <c r="E158" s="12" t="s">
        <v>13</v>
      </c>
      <c r="F158" s="97">
        <v>6</v>
      </c>
      <c r="G158" s="102" t="s">
        <v>92</v>
      </c>
      <c r="H158" s="101" t="s">
        <v>78</v>
      </c>
      <c r="I158" s="75" t="s">
        <v>72</v>
      </c>
      <c r="J158" s="52"/>
      <c r="K158" s="52"/>
      <c r="L158" s="52"/>
      <c r="M158" s="52"/>
      <c r="N158" s="52"/>
      <c r="O158" s="52"/>
      <c r="P158" s="51" t="s">
        <v>732</v>
      </c>
      <c r="Q158" s="126"/>
      <c r="R158" s="85"/>
      <c r="S158" s="112" t="s">
        <v>217</v>
      </c>
      <c r="T158" s="83"/>
      <c r="U158" s="83"/>
      <c r="V158" s="106"/>
      <c r="W158" s="45"/>
      <c r="X158" s="83"/>
      <c r="Y158" s="129" t="str">
        <f t="shared" si="48"/>
        <v>TB_CLASS_LIKE</v>
      </c>
      <c r="Z158" s="50" t="str">
        <f t="shared" si="52"/>
        <v>REG_DT TIMESTAMP NOT NULL,</v>
      </c>
      <c r="AA158" s="50" t="str">
        <f t="shared" si="49"/>
        <v/>
      </c>
      <c r="AB158" s="50" t="str">
        <f t="shared" si="50"/>
        <v/>
      </c>
      <c r="AC158" s="50" t="str">
        <f t="shared" si="53"/>
        <v/>
      </c>
      <c r="AD158" s="50" t="str">
        <f t="shared" si="54"/>
        <v>ALTER TABLE TB_CLASS_LIKE ALTER COLUMN REG_DT TYPE TIMESTAMP;</v>
      </c>
      <c r="AE158" s="50" t="str">
        <f t="shared" si="55"/>
        <v>ALTER TABLE TB_CLASS_LIKE ADD COLUMN REG_DT TIMESTAMP NOT NULL;</v>
      </c>
      <c r="AF158" s="50" t="str">
        <f t="shared" si="56"/>
        <v>ALTER TABLE TB_CLASS_LIKE DROP COLUMN REG_DT;</v>
      </c>
      <c r="AG158" s="50" t="str">
        <f t="shared" si="57"/>
        <v/>
      </c>
      <c r="AH158" s="50" t="str">
        <f t="shared" si="51"/>
        <v>COMMENT ON COLUMN TB_CLASS_LIKE.REG_DT IS '등록 일시' ;</v>
      </c>
    </row>
    <row r="159" spans="1:34" ht="20" customHeight="1">
      <c r="A159" s="55">
        <v>155</v>
      </c>
      <c r="B159" s="26" t="s">
        <v>7</v>
      </c>
      <c r="C159" s="25" t="s">
        <v>11</v>
      </c>
      <c r="D159" s="10" t="s">
        <v>51</v>
      </c>
      <c r="E159" s="12" t="s">
        <v>13</v>
      </c>
      <c r="F159" s="97">
        <v>7</v>
      </c>
      <c r="G159" s="102" t="s">
        <v>93</v>
      </c>
      <c r="H159" s="101" t="s">
        <v>80</v>
      </c>
      <c r="I159" s="52"/>
      <c r="J159" s="52"/>
      <c r="K159" s="52"/>
      <c r="L159" s="84"/>
      <c r="M159" s="84"/>
      <c r="N159" s="84"/>
      <c r="O159" s="84"/>
      <c r="P159" s="105" t="s">
        <v>543</v>
      </c>
      <c r="Q159" s="126" t="s">
        <v>548</v>
      </c>
      <c r="R159" s="85"/>
      <c r="S159" s="112" t="s">
        <v>216</v>
      </c>
      <c r="T159" s="83"/>
      <c r="U159" s="83"/>
      <c r="V159" s="123" t="s">
        <v>518</v>
      </c>
      <c r="W159" s="45"/>
      <c r="X159" s="83"/>
      <c r="Y159" s="129" t="str">
        <f t="shared" si="48"/>
        <v>TB_CLASS_LIKE</v>
      </c>
      <c r="Z159" s="50" t="str">
        <f t="shared" si="52"/>
        <v>UPDUSR_ID VARCHAR(50),</v>
      </c>
      <c r="AA159" s="50" t="str">
        <f t="shared" si="49"/>
        <v/>
      </c>
      <c r="AB159" s="50" t="str">
        <f t="shared" si="50"/>
        <v/>
      </c>
      <c r="AC159" s="50" t="str">
        <f t="shared" si="53"/>
        <v/>
      </c>
      <c r="AD159" s="50" t="str">
        <f t="shared" si="54"/>
        <v>ALTER TABLE TB_CLASS_LIKE ALTER COLUMN UPDUSR_ID TYPE VARCHAR(50);</v>
      </c>
      <c r="AE159" s="50" t="str">
        <f t="shared" si="55"/>
        <v>ALTER TABLE TB_CLASS_LIKE ADD COLUMN UPDUSR_ID VARCHAR(50);</v>
      </c>
      <c r="AF159" s="50" t="str">
        <f t="shared" si="56"/>
        <v>ALTER TABLE TB_CLASS_LIKE DROP COLUMN UPDUSR_ID;</v>
      </c>
      <c r="AG159" s="50" t="str">
        <f t="shared" si="57"/>
        <v/>
      </c>
      <c r="AH159" s="50" t="str">
        <f t="shared" si="51"/>
        <v>COMMENT ON COLUMN TB_CLASS_LIKE.UPDUSR_ID IS '수정자 ID' ;</v>
      </c>
    </row>
    <row r="160" spans="1:34" ht="20" customHeight="1">
      <c r="A160" s="55">
        <v>156</v>
      </c>
      <c r="B160" s="26" t="s">
        <v>7</v>
      </c>
      <c r="C160" s="25" t="s">
        <v>11</v>
      </c>
      <c r="D160" s="10" t="s">
        <v>51</v>
      </c>
      <c r="E160" s="12" t="s">
        <v>13</v>
      </c>
      <c r="F160" s="97">
        <v>8</v>
      </c>
      <c r="G160" s="102" t="s">
        <v>94</v>
      </c>
      <c r="H160" s="101" t="s">
        <v>79</v>
      </c>
      <c r="I160" s="52"/>
      <c r="J160" s="52"/>
      <c r="K160" s="52"/>
      <c r="L160" s="52"/>
      <c r="M160" s="52"/>
      <c r="N160" s="52"/>
      <c r="O160" s="52"/>
      <c r="P160" s="56" t="s">
        <v>106</v>
      </c>
      <c r="Q160" s="126" t="s">
        <v>549</v>
      </c>
      <c r="R160" s="85"/>
      <c r="S160" s="112" t="s">
        <v>215</v>
      </c>
      <c r="T160" s="83"/>
      <c r="U160" s="83"/>
      <c r="V160" s="106"/>
      <c r="W160" s="45"/>
      <c r="X160" s="83"/>
      <c r="Y160" s="129" t="str">
        <f t="shared" si="48"/>
        <v>TB_CLASS_LIKE</v>
      </c>
      <c r="Z160" s="50" t="str">
        <f t="shared" si="52"/>
        <v>UPDUSR_IP VARCHAR(100),</v>
      </c>
      <c r="AA160" s="50" t="str">
        <f t="shared" si="49"/>
        <v/>
      </c>
      <c r="AB160" s="50" t="str">
        <f t="shared" si="50"/>
        <v/>
      </c>
      <c r="AC160" s="50" t="str">
        <f t="shared" si="53"/>
        <v/>
      </c>
      <c r="AD160" s="50" t="str">
        <f t="shared" si="54"/>
        <v>ALTER TABLE TB_CLASS_LIKE ALTER COLUMN UPDUSR_IP TYPE VARCHAR(100);</v>
      </c>
      <c r="AE160" s="50" t="str">
        <f t="shared" si="55"/>
        <v>ALTER TABLE TB_CLASS_LIKE ADD COLUMN UPDUSR_IP VARCHAR(100);</v>
      </c>
      <c r="AF160" s="50" t="str">
        <f t="shared" si="56"/>
        <v>ALTER TABLE TB_CLASS_LIKE DROP COLUMN UPDUSR_IP;</v>
      </c>
      <c r="AG160" s="50" t="str">
        <f t="shared" si="57"/>
        <v/>
      </c>
      <c r="AH160" s="50" t="str">
        <f t="shared" si="51"/>
        <v>COMMENT ON COLUMN TB_CLASS_LIKE.UPDUSR_IP IS '수정자 IP' ;</v>
      </c>
    </row>
    <row r="161" spans="1:34" ht="20" customHeight="1">
      <c r="A161" s="55">
        <v>157</v>
      </c>
      <c r="B161" s="26" t="s">
        <v>7</v>
      </c>
      <c r="C161" s="25" t="s">
        <v>11</v>
      </c>
      <c r="D161" s="10" t="s">
        <v>51</v>
      </c>
      <c r="E161" s="12" t="s">
        <v>13</v>
      </c>
      <c r="F161" s="97">
        <v>9</v>
      </c>
      <c r="G161" s="103" t="s">
        <v>95</v>
      </c>
      <c r="H161" s="102" t="s">
        <v>81</v>
      </c>
      <c r="I161" s="61"/>
      <c r="J161" s="61"/>
      <c r="K161" s="61"/>
      <c r="L161" s="61"/>
      <c r="M161" s="61"/>
      <c r="N161" s="61"/>
      <c r="O161" s="61"/>
      <c r="P161" s="51" t="s">
        <v>732</v>
      </c>
      <c r="Q161" s="126"/>
      <c r="R161" s="82"/>
      <c r="S161" s="112" t="s">
        <v>214</v>
      </c>
      <c r="T161" s="83"/>
      <c r="U161" s="83"/>
      <c r="V161" s="106"/>
      <c r="W161" s="45"/>
      <c r="X161" s="83"/>
      <c r="Y161" s="129" t="str">
        <f t="shared" si="48"/>
        <v>TB_CLASS_LIKE</v>
      </c>
      <c r="Z161" s="50" t="str">
        <f t="shared" si="52"/>
        <v>UPDT_DT TIMESTAMP,</v>
      </c>
      <c r="AA161" s="50" t="str">
        <f t="shared" si="49"/>
        <v/>
      </c>
      <c r="AB161" s="50" t="str">
        <f t="shared" si="50"/>
        <v/>
      </c>
      <c r="AC161" s="50" t="str">
        <f t="shared" si="53"/>
        <v/>
      </c>
      <c r="AD161" s="50" t="str">
        <f t="shared" si="54"/>
        <v>ALTER TABLE TB_CLASS_LIKE ALTER COLUMN UPDT_DT TYPE TIMESTAMP;</v>
      </c>
      <c r="AE161" s="50" t="str">
        <f t="shared" si="55"/>
        <v>ALTER TABLE TB_CLASS_LIKE ADD COLUMN UPDT_DT TIMESTAMP;</v>
      </c>
      <c r="AF161" s="50" t="str">
        <f t="shared" si="56"/>
        <v>ALTER TABLE TB_CLASS_LIKE DROP COLUMN UPDT_DT;</v>
      </c>
      <c r="AG161" s="50" t="str">
        <f t="shared" si="57"/>
        <v/>
      </c>
      <c r="AH161" s="50" t="str">
        <f t="shared" si="51"/>
        <v>COMMENT ON COLUMN TB_CLASS_LIKE.UPDT_DT IS '수정 일시' ;</v>
      </c>
    </row>
    <row r="162" spans="1:34" ht="20" customHeight="1">
      <c r="A162" s="55">
        <v>158</v>
      </c>
      <c r="B162" s="26" t="s">
        <v>7</v>
      </c>
      <c r="C162" s="25" t="s">
        <v>11</v>
      </c>
      <c r="D162" s="10" t="s">
        <v>51</v>
      </c>
      <c r="E162" s="12" t="s">
        <v>13</v>
      </c>
      <c r="F162" s="97">
        <v>10</v>
      </c>
      <c r="G162" s="102" t="s">
        <v>96</v>
      </c>
      <c r="H162" s="102" t="s">
        <v>82</v>
      </c>
      <c r="I162" s="75" t="s">
        <v>72</v>
      </c>
      <c r="J162" s="61"/>
      <c r="K162" s="61"/>
      <c r="L162" s="61"/>
      <c r="M162" s="61"/>
      <c r="N162" s="61"/>
      <c r="O162" s="61"/>
      <c r="P162" s="51" t="s">
        <v>106</v>
      </c>
      <c r="Q162" s="126" t="s">
        <v>544</v>
      </c>
      <c r="R162" s="87" t="s">
        <v>592</v>
      </c>
      <c r="S162" s="112" t="s">
        <v>213</v>
      </c>
      <c r="T162" s="83"/>
      <c r="U162" s="83"/>
      <c r="V162" s="106"/>
      <c r="W162" s="45"/>
      <c r="X162" s="83"/>
      <c r="Y162" s="129" t="str">
        <f t="shared" si="48"/>
        <v>TB_CLASS_LIKE</v>
      </c>
      <c r="Z162" s="50" t="str">
        <f t="shared" si="52"/>
        <v>DEL_YN VARCHAR(1) NOT NULL,</v>
      </c>
      <c r="AA162" s="50" t="str">
        <f t="shared" si="49"/>
        <v/>
      </c>
      <c r="AB162" s="50" t="str">
        <f t="shared" si="50"/>
        <v/>
      </c>
      <c r="AC162" s="50" t="str">
        <f t="shared" si="53"/>
        <v/>
      </c>
      <c r="AD162" s="50" t="str">
        <f t="shared" si="54"/>
        <v>ALTER TABLE TB_CLASS_LIKE ALTER COLUMN DEL_YN TYPE VARCHAR(1);</v>
      </c>
      <c r="AE162" s="50" t="str">
        <f t="shared" si="55"/>
        <v>ALTER TABLE TB_CLASS_LIKE ADD COLUMN DEL_YN VARCHAR(1) NOT NULL DEFAULT ''N'';</v>
      </c>
      <c r="AF162" s="50" t="str">
        <f t="shared" si="56"/>
        <v>ALTER TABLE TB_CLASS_LIKE DROP COLUMN DEL_YN;</v>
      </c>
      <c r="AG162" s="50" t="str">
        <f t="shared" si="57"/>
        <v>ALTER TABLE TB_CLASS_LIKE ALTER COLUMN DEL_YN SET DEFAULT 'N';</v>
      </c>
      <c r="AH162" s="50" t="str">
        <f t="shared" si="51"/>
        <v>COMMENT ON COLUMN TB_CLASS_LIKE.DEL_YN IS '삭제 여부' ;</v>
      </c>
    </row>
    <row r="163" spans="1:34" ht="20" customHeight="1">
      <c r="A163" s="55">
        <v>159</v>
      </c>
      <c r="B163" s="26" t="s">
        <v>7</v>
      </c>
      <c r="C163" s="25" t="s">
        <v>11</v>
      </c>
      <c r="D163" s="10" t="s">
        <v>246</v>
      </c>
      <c r="E163" s="12" t="s">
        <v>12</v>
      </c>
      <c r="F163" s="97">
        <v>1</v>
      </c>
      <c r="G163" s="106" t="s">
        <v>262</v>
      </c>
      <c r="H163" s="106" t="s">
        <v>230</v>
      </c>
      <c r="I163" s="45" t="s">
        <v>191</v>
      </c>
      <c r="J163" s="45">
        <v>1</v>
      </c>
      <c r="K163" s="45"/>
      <c r="L163" s="45"/>
      <c r="M163" s="45"/>
      <c r="N163" s="45"/>
      <c r="O163" s="45"/>
      <c r="P163" s="106" t="s">
        <v>229</v>
      </c>
      <c r="Q163" s="97"/>
      <c r="R163" s="45"/>
      <c r="S163" s="106" t="s">
        <v>231</v>
      </c>
      <c r="T163" s="132" t="str">
        <f>"SEQ_"&amp;D163&amp;"_SN"</f>
        <v>SEQ_TB_CLASS_REVIEW_SN</v>
      </c>
      <c r="U163" s="132"/>
      <c r="V163" s="106"/>
      <c r="W163" s="45"/>
      <c r="X163" s="83"/>
      <c r="Y163" s="129" t="str">
        <f t="shared" si="48"/>
        <v>TB_CLASS_REVIEW</v>
      </c>
      <c r="Z163" s="50" t="str">
        <f t="shared" si="52"/>
        <v>CLASS_REVIEW_SN INTEGER PRIMARY KEY,</v>
      </c>
      <c r="AA163" s="50" t="str">
        <f t="shared" si="49"/>
        <v/>
      </c>
      <c r="AB163" s="50" t="str">
        <f t="shared" si="50"/>
        <v>CREATE SEQUENCE SEQ_TB_CLASS_REVIEW_SN START 100000;</v>
      </c>
      <c r="AC163" s="50" t="str">
        <f t="shared" si="53"/>
        <v>ALTER TABLE TB_CLASS_REVIEW ALTER COLUMN CLASS_REVIEW_SN SET DEFAULT NEXTVAL('SEQ_TB_CLASS_REVIEW_SN');</v>
      </c>
      <c r="AD163" s="50" t="str">
        <f t="shared" si="54"/>
        <v>ALTER TABLE TB_CLASS_REVIEW ALTER COLUMN CLASS_REVIEW_SN TYPE INTEGER;</v>
      </c>
      <c r="AE163" s="50" t="str">
        <f t="shared" si="55"/>
        <v>ALTER TABLE TB_CLASS_REVIEW ADD COLUMN CLASS_REVIEW_SN INTEGER NOT NULL;</v>
      </c>
      <c r="AF163" s="50" t="str">
        <f t="shared" si="56"/>
        <v>ALTER TABLE TB_CLASS_REVIEW DROP COLUMN CLASS_REVIEW_SN;</v>
      </c>
      <c r="AG163" s="50" t="str">
        <f t="shared" si="57"/>
        <v/>
      </c>
      <c r="AH163" s="50" t="str">
        <f t="shared" si="51"/>
        <v>COMMENT ON COLUMN TB_CLASS_REVIEW.CLASS_REVIEW_SN IS '클래스 후기 일련번호' ;</v>
      </c>
    </row>
    <row r="164" spans="1:34" ht="20" customHeight="1">
      <c r="A164" s="55">
        <v>160</v>
      </c>
      <c r="B164" s="26" t="s">
        <v>7</v>
      </c>
      <c r="C164" s="25" t="s">
        <v>11</v>
      </c>
      <c r="D164" s="10" t="s">
        <v>246</v>
      </c>
      <c r="E164" s="12" t="s">
        <v>12</v>
      </c>
      <c r="F164" s="97">
        <v>2</v>
      </c>
      <c r="G164" s="106" t="s">
        <v>201</v>
      </c>
      <c r="H164" s="106" t="s">
        <v>187</v>
      </c>
      <c r="I164" s="45" t="s">
        <v>191</v>
      </c>
      <c r="J164" s="45"/>
      <c r="K164" s="45">
        <v>1</v>
      </c>
      <c r="L164" s="13" t="s">
        <v>22</v>
      </c>
      <c r="M164" s="106" t="s">
        <v>162</v>
      </c>
      <c r="N164" s="100" t="s">
        <v>562</v>
      </c>
      <c r="O164" s="100" t="s">
        <v>564</v>
      </c>
      <c r="P164" s="106" t="s">
        <v>172</v>
      </c>
      <c r="Q164" s="97"/>
      <c r="R164" s="45"/>
      <c r="S164" s="106" t="s">
        <v>175</v>
      </c>
      <c r="T164" s="83"/>
      <c r="U164" s="83"/>
      <c r="V164" s="106"/>
      <c r="W164" s="45"/>
      <c r="X164" s="83"/>
      <c r="Y164" s="129" t="str">
        <f t="shared" si="48"/>
        <v>TB_CLASS_REVIEW</v>
      </c>
      <c r="Z164" s="50" t="str">
        <f t="shared" si="52"/>
        <v>CLASS_SN INTEGER NOT NULL,</v>
      </c>
      <c r="AA164" s="50" t="str">
        <f t="shared" si="49"/>
        <v>ALTER TABLE TB_CLASS_REVIEW ADD CONSTRAINT TB_CLASS_REVIEW_FKEY1 FOREIGN KEY(CLASS_SN) REFERENCES TB_CLASS(CLASS_SN) ON UPDATE CASCADE ON DELETE CASCADE;</v>
      </c>
      <c r="AB164" s="50" t="str">
        <f t="shared" si="50"/>
        <v/>
      </c>
      <c r="AC164" s="50" t="str">
        <f t="shared" si="53"/>
        <v/>
      </c>
      <c r="AD164" s="50" t="str">
        <f t="shared" si="54"/>
        <v>ALTER TABLE TB_CLASS_REVIEW ALTER COLUMN CLASS_SN TYPE INTEGER;</v>
      </c>
      <c r="AE164" s="50" t="str">
        <f t="shared" si="55"/>
        <v>ALTER TABLE TB_CLASS_REVIEW ADD COLUMN CLASS_SN INTEGER NOT NULL;</v>
      </c>
      <c r="AF164" s="50" t="str">
        <f t="shared" si="56"/>
        <v>ALTER TABLE TB_CLASS_REVIEW DROP COLUMN CLASS_SN;</v>
      </c>
      <c r="AG164" s="50" t="str">
        <f t="shared" si="57"/>
        <v/>
      </c>
      <c r="AH164" s="50" t="str">
        <f t="shared" si="51"/>
        <v>COMMENT ON COLUMN TB_CLASS_REVIEW.CLASS_SN IS '클래스 일련번호' ;</v>
      </c>
    </row>
    <row r="165" spans="1:34" ht="20" customHeight="1">
      <c r="A165" s="55">
        <v>161</v>
      </c>
      <c r="B165" s="26" t="s">
        <v>7</v>
      </c>
      <c r="C165" s="25" t="s">
        <v>11</v>
      </c>
      <c r="D165" s="10" t="s">
        <v>246</v>
      </c>
      <c r="E165" s="12" t="s">
        <v>12</v>
      </c>
      <c r="F165" s="97">
        <v>3</v>
      </c>
      <c r="G165" s="100" t="s">
        <v>744</v>
      </c>
      <c r="H165" s="100" t="s">
        <v>745</v>
      </c>
      <c r="I165" s="45" t="s">
        <v>191</v>
      </c>
      <c r="J165" s="45"/>
      <c r="K165" s="45">
        <v>2</v>
      </c>
      <c r="L165" s="83" t="s">
        <v>9</v>
      </c>
      <c r="M165" s="100" t="s">
        <v>744</v>
      </c>
      <c r="N165" s="100" t="s">
        <v>562</v>
      </c>
      <c r="O165" s="100" t="s">
        <v>564</v>
      </c>
      <c r="P165" s="105" t="s">
        <v>172</v>
      </c>
      <c r="Q165" s="126"/>
      <c r="R165" s="45"/>
      <c r="S165" s="112" t="s">
        <v>109</v>
      </c>
      <c r="T165" s="83"/>
      <c r="U165" s="83"/>
      <c r="V165" s="123"/>
      <c r="W165" s="45"/>
      <c r="X165" s="83"/>
      <c r="Y165" s="129" t="str">
        <f t="shared" si="48"/>
        <v>TB_CLASS_REVIEW</v>
      </c>
      <c r="Z165" s="50" t="str">
        <f t="shared" si="52"/>
        <v>USER_SN INTEGER NOT NULL,</v>
      </c>
      <c r="AA165" s="50" t="str">
        <f t="shared" si="49"/>
        <v>ALTER TABLE TB_CLASS_REVIEW ADD CONSTRAINT TB_CLASS_REVIEW_FKEY2 FOREIGN KEY(USER_SN) REFERENCES TB_USER(USER_SN) ON UPDATE CASCADE ON DELETE CASCADE;</v>
      </c>
      <c r="AB165" s="50" t="str">
        <f t="shared" si="50"/>
        <v/>
      </c>
      <c r="AC165" s="50" t="str">
        <f t="shared" si="53"/>
        <v/>
      </c>
      <c r="AD165" s="50" t="str">
        <f t="shared" si="54"/>
        <v>ALTER TABLE TB_CLASS_REVIEW ALTER COLUMN USER_SN TYPE INTEGER;</v>
      </c>
      <c r="AE165" s="50" t="str">
        <f t="shared" si="55"/>
        <v>ALTER TABLE TB_CLASS_REVIEW ADD COLUMN USER_SN INTEGER NOT NULL;</v>
      </c>
      <c r="AF165" s="50" t="str">
        <f t="shared" si="56"/>
        <v>ALTER TABLE TB_CLASS_REVIEW DROP COLUMN USER_SN;</v>
      </c>
      <c r="AG165" s="50" t="str">
        <f t="shared" si="57"/>
        <v/>
      </c>
      <c r="AH165" s="50" t="str">
        <f t="shared" si="51"/>
        <v>COMMENT ON COLUMN TB_CLASS_REVIEW.USER_SN IS '사용자 일련번호' ;</v>
      </c>
    </row>
    <row r="166" spans="1:34" ht="20" customHeight="1">
      <c r="A166" s="55">
        <v>162</v>
      </c>
      <c r="B166" s="26" t="s">
        <v>7</v>
      </c>
      <c r="C166" s="25" t="s">
        <v>11</v>
      </c>
      <c r="D166" s="10" t="s">
        <v>246</v>
      </c>
      <c r="E166" s="12" t="s">
        <v>12</v>
      </c>
      <c r="F166" s="97">
        <v>4</v>
      </c>
      <c r="G166" s="106" t="s">
        <v>654</v>
      </c>
      <c r="H166" s="106" t="s">
        <v>655</v>
      </c>
      <c r="I166" s="45"/>
      <c r="J166" s="45"/>
      <c r="K166" s="45"/>
      <c r="L166" s="83"/>
      <c r="M166" s="100"/>
      <c r="N166" s="100"/>
      <c r="O166" s="100"/>
      <c r="P166" s="105" t="s">
        <v>640</v>
      </c>
      <c r="Q166" s="126" t="s">
        <v>641</v>
      </c>
      <c r="R166" s="45"/>
      <c r="S166" s="106" t="s">
        <v>655</v>
      </c>
      <c r="T166" s="83"/>
      <c r="U166" s="83"/>
      <c r="V166" s="123" t="s">
        <v>638</v>
      </c>
      <c r="W166" s="45"/>
      <c r="X166" s="83"/>
      <c r="Y166" s="129" t="str">
        <f t="shared" si="48"/>
        <v>TB_CLASS_REVIEW</v>
      </c>
      <c r="Z166" s="50" t="str">
        <f t="shared" si="52"/>
        <v>STEP VARCHAR(2),</v>
      </c>
      <c r="AA166" s="50" t="str">
        <f t="shared" si="49"/>
        <v/>
      </c>
      <c r="AB166" s="50" t="str">
        <f t="shared" si="50"/>
        <v/>
      </c>
      <c r="AC166" s="50" t="str">
        <f t="shared" si="53"/>
        <v/>
      </c>
      <c r="AD166" s="50" t="str">
        <f t="shared" si="54"/>
        <v>ALTER TABLE TB_CLASS_REVIEW ALTER COLUMN STEP TYPE VARCHAR(2);</v>
      </c>
      <c r="AE166" s="50" t="str">
        <f t="shared" si="55"/>
        <v>ALTER TABLE TB_CLASS_REVIEW ADD COLUMN STEP VARCHAR(2);</v>
      </c>
      <c r="AF166" s="50" t="str">
        <f t="shared" si="56"/>
        <v>ALTER TABLE TB_CLASS_REVIEW DROP COLUMN STEP;</v>
      </c>
      <c r="AG166" s="50" t="str">
        <f t="shared" si="57"/>
        <v/>
      </c>
      <c r="AH166" s="50" t="str">
        <f t="shared" si="51"/>
        <v>COMMENT ON COLUMN TB_CLASS_REVIEW.STEP IS '계층' ;</v>
      </c>
    </row>
    <row r="167" spans="1:34" ht="20" customHeight="1">
      <c r="A167" s="55">
        <v>163</v>
      </c>
      <c r="B167" s="26" t="s">
        <v>7</v>
      </c>
      <c r="C167" s="25" t="s">
        <v>11</v>
      </c>
      <c r="D167" s="10" t="s">
        <v>246</v>
      </c>
      <c r="E167" s="12" t="s">
        <v>12</v>
      </c>
      <c r="F167" s="97">
        <v>5</v>
      </c>
      <c r="G167" s="106" t="s">
        <v>637</v>
      </c>
      <c r="H167" s="106" t="s">
        <v>636</v>
      </c>
      <c r="I167" s="45"/>
      <c r="J167" s="45"/>
      <c r="K167" s="45"/>
      <c r="L167" s="83"/>
      <c r="M167" s="100"/>
      <c r="N167" s="100"/>
      <c r="O167" s="100"/>
      <c r="P167" s="106" t="s">
        <v>229</v>
      </c>
      <c r="Q167" s="126"/>
      <c r="R167" s="45"/>
      <c r="S167" s="106" t="s">
        <v>642</v>
      </c>
      <c r="T167" s="132" t="str">
        <f>"SEQ_"&amp;D167&amp;"_SN2"</f>
        <v>SEQ_TB_CLASS_REVIEW_SN2</v>
      </c>
      <c r="U167" s="83"/>
      <c r="V167" s="123" t="s">
        <v>639</v>
      </c>
      <c r="W167" s="45"/>
      <c r="X167" s="83"/>
      <c r="Y167" s="129" t="str">
        <f t="shared" si="48"/>
        <v>TB_CLASS_REVIEW</v>
      </c>
      <c r="Z167" s="50" t="str">
        <f t="shared" si="52"/>
        <v>PARNTS_REVIEW_SN INTEGER,</v>
      </c>
      <c r="AA167" s="50" t="str">
        <f t="shared" si="49"/>
        <v/>
      </c>
      <c r="AB167" s="50" t="str">
        <f t="shared" si="50"/>
        <v>CREATE SEQUENCE SEQ_TB_CLASS_REVIEW_SN2 START 100000;</v>
      </c>
      <c r="AC167" s="50" t="str">
        <f t="shared" si="53"/>
        <v>ALTER TABLE TB_CLASS_REVIEW ALTER COLUMN PARNTS_REVIEW_SN SET DEFAULT NEXTVAL('SEQ_TB_CLASS_REVIEW_SN2');</v>
      </c>
      <c r="AD167" s="50" t="str">
        <f t="shared" si="54"/>
        <v>ALTER TABLE TB_CLASS_REVIEW ALTER COLUMN PARNTS_REVIEW_SN TYPE INTEGER;</v>
      </c>
      <c r="AE167" s="50" t="str">
        <f t="shared" si="55"/>
        <v>ALTER TABLE TB_CLASS_REVIEW ADD COLUMN PARNTS_REVIEW_SN INTEGER;</v>
      </c>
      <c r="AF167" s="50" t="str">
        <f t="shared" si="56"/>
        <v>ALTER TABLE TB_CLASS_REVIEW DROP COLUMN PARNTS_REVIEW_SN;</v>
      </c>
      <c r="AG167" s="50" t="str">
        <f t="shared" si="57"/>
        <v/>
      </c>
      <c r="AH167" s="50" t="str">
        <f t="shared" si="51"/>
        <v>COMMENT ON COLUMN TB_CLASS_REVIEW.PARNTS_REVIEW_SN IS '부모 후기 일련번호' ;</v>
      </c>
    </row>
    <row r="168" spans="1:34" ht="20" customHeight="1">
      <c r="A168" s="55">
        <v>164</v>
      </c>
      <c r="B168" s="26" t="s">
        <v>7</v>
      </c>
      <c r="C168" s="25" t="s">
        <v>11</v>
      </c>
      <c r="D168" s="10" t="s">
        <v>246</v>
      </c>
      <c r="E168" s="12" t="s">
        <v>12</v>
      </c>
      <c r="F168" s="97">
        <v>6</v>
      </c>
      <c r="G168" s="106" t="s">
        <v>260</v>
      </c>
      <c r="H168" s="106" t="s">
        <v>232</v>
      </c>
      <c r="I168" s="45" t="s">
        <v>191</v>
      </c>
      <c r="J168" s="45"/>
      <c r="K168" s="45"/>
      <c r="L168" s="45"/>
      <c r="M168" s="45"/>
      <c r="N168" s="45"/>
      <c r="O168" s="45"/>
      <c r="P168" s="106" t="s">
        <v>170</v>
      </c>
      <c r="Q168" s="126" t="s">
        <v>552</v>
      </c>
      <c r="R168" s="45"/>
      <c r="S168" s="106" t="s">
        <v>235</v>
      </c>
      <c r="T168" s="83"/>
      <c r="U168" s="83"/>
      <c r="V168" s="106"/>
      <c r="W168" s="45"/>
      <c r="X168" s="83"/>
      <c r="Y168" s="129" t="str">
        <f t="shared" si="48"/>
        <v>TB_CLASS_REVIEW</v>
      </c>
      <c r="Z168" s="50" t="str">
        <f t="shared" si="52"/>
        <v>REVIEW_CN VARCHAR(2000) NOT NULL,</v>
      </c>
      <c r="AA168" s="50" t="str">
        <f t="shared" si="49"/>
        <v/>
      </c>
      <c r="AB168" s="50" t="str">
        <f t="shared" si="50"/>
        <v/>
      </c>
      <c r="AC168" s="50" t="str">
        <f t="shared" si="53"/>
        <v/>
      </c>
      <c r="AD168" s="50" t="str">
        <f t="shared" si="54"/>
        <v>ALTER TABLE TB_CLASS_REVIEW ALTER COLUMN REVIEW_CN TYPE VARCHAR(2000);</v>
      </c>
      <c r="AE168" s="50" t="str">
        <f t="shared" si="55"/>
        <v>ALTER TABLE TB_CLASS_REVIEW ADD COLUMN REVIEW_CN VARCHAR(2000) NOT NULL;</v>
      </c>
      <c r="AF168" s="50" t="str">
        <f t="shared" si="56"/>
        <v>ALTER TABLE TB_CLASS_REVIEW DROP COLUMN REVIEW_CN;</v>
      </c>
      <c r="AG168" s="50" t="str">
        <f t="shared" si="57"/>
        <v/>
      </c>
      <c r="AH168" s="50" t="str">
        <f t="shared" si="51"/>
        <v>COMMENT ON COLUMN TB_CLASS_REVIEW.REVIEW_CN IS '후기 내용' ;</v>
      </c>
    </row>
    <row r="169" spans="1:34" ht="20" customHeight="1">
      <c r="A169" s="55">
        <v>165</v>
      </c>
      <c r="B169" s="26" t="s">
        <v>7</v>
      </c>
      <c r="C169" s="25" t="s">
        <v>11</v>
      </c>
      <c r="D169" s="10" t="s">
        <v>246</v>
      </c>
      <c r="E169" s="12" t="s">
        <v>12</v>
      </c>
      <c r="F169" s="97">
        <v>7</v>
      </c>
      <c r="G169" s="106" t="s">
        <v>261</v>
      </c>
      <c r="H169" s="106" t="s">
        <v>233</v>
      </c>
      <c r="I169" s="45" t="s">
        <v>191</v>
      </c>
      <c r="J169" s="45"/>
      <c r="K169" s="45"/>
      <c r="L169" s="45"/>
      <c r="M169" s="45"/>
      <c r="N169" s="45"/>
      <c r="O169" s="45"/>
      <c r="P169" s="106" t="s">
        <v>106</v>
      </c>
      <c r="Q169" s="126" t="s">
        <v>545</v>
      </c>
      <c r="R169" s="45"/>
      <c r="S169" s="106" t="s">
        <v>234</v>
      </c>
      <c r="T169" s="83"/>
      <c r="U169" s="83"/>
      <c r="V169" s="106"/>
      <c r="W169" s="45"/>
      <c r="X169" s="83"/>
      <c r="Y169" s="129" t="str">
        <f t="shared" si="48"/>
        <v>TB_CLASS_REVIEW</v>
      </c>
      <c r="Z169" s="50" t="str">
        <f t="shared" si="52"/>
        <v>REVIEW_GRADE VARCHAR(10) NOT NULL,</v>
      </c>
      <c r="AA169" s="50" t="str">
        <f t="shared" si="49"/>
        <v/>
      </c>
      <c r="AB169" s="50" t="str">
        <f t="shared" si="50"/>
        <v/>
      </c>
      <c r="AC169" s="50" t="str">
        <f t="shared" si="53"/>
        <v/>
      </c>
      <c r="AD169" s="50" t="str">
        <f t="shared" si="54"/>
        <v>ALTER TABLE TB_CLASS_REVIEW ALTER COLUMN REVIEW_GRADE TYPE VARCHAR(10);</v>
      </c>
      <c r="AE169" s="50" t="str">
        <f t="shared" si="55"/>
        <v>ALTER TABLE TB_CLASS_REVIEW ADD COLUMN REVIEW_GRADE VARCHAR(10) NOT NULL;</v>
      </c>
      <c r="AF169" s="50" t="str">
        <f t="shared" si="56"/>
        <v>ALTER TABLE TB_CLASS_REVIEW DROP COLUMN REVIEW_GRADE;</v>
      </c>
      <c r="AG169" s="50" t="str">
        <f t="shared" si="57"/>
        <v/>
      </c>
      <c r="AH169" s="50" t="str">
        <f t="shared" si="51"/>
        <v>COMMENT ON COLUMN TB_CLASS_REVIEW.REVIEW_GRADE IS '후기 등급(별점)' ;</v>
      </c>
    </row>
    <row r="170" spans="1:34" ht="20" customHeight="1">
      <c r="A170" s="55">
        <v>166</v>
      </c>
      <c r="B170" s="26" t="s">
        <v>7</v>
      </c>
      <c r="C170" s="25" t="s">
        <v>11</v>
      </c>
      <c r="D170" s="10" t="s">
        <v>246</v>
      </c>
      <c r="E170" s="12" t="s">
        <v>12</v>
      </c>
      <c r="F170" s="97">
        <v>8</v>
      </c>
      <c r="G170" s="106" t="s">
        <v>372</v>
      </c>
      <c r="H170" s="106" t="s">
        <v>374</v>
      </c>
      <c r="I170" s="45"/>
      <c r="J170" s="45"/>
      <c r="K170" s="45">
        <v>3</v>
      </c>
      <c r="L170" s="10" t="s">
        <v>371</v>
      </c>
      <c r="M170" s="101" t="s">
        <v>372</v>
      </c>
      <c r="N170" s="101" t="s">
        <v>562</v>
      </c>
      <c r="O170" s="101" t="s">
        <v>563</v>
      </c>
      <c r="P170" s="51" t="s">
        <v>229</v>
      </c>
      <c r="Q170" s="124"/>
      <c r="R170" s="84"/>
      <c r="S170" s="101" t="s">
        <v>376</v>
      </c>
      <c r="T170" s="83"/>
      <c r="U170" s="83"/>
      <c r="V170" s="106"/>
      <c r="W170" s="45"/>
      <c r="X170" s="83"/>
      <c r="Y170" s="129" t="str">
        <f t="shared" si="48"/>
        <v>TB_CLASS_REVIEW</v>
      </c>
      <c r="Z170" s="50" t="str">
        <f t="shared" si="52"/>
        <v>ATCH_FILE_SN INTEGER,</v>
      </c>
      <c r="AA170" s="50" t="str">
        <f t="shared" si="49"/>
        <v>ALTER TABLE TB_CLASS_REVIEW ADD CONSTRAINT TB_CLASS_REVIEW_FKEY3 FOREIGN KEY(ATCH_FILE_SN) REFERENCES TB_ATCH_FILE(ATCH_FILE_SN) ON UPDATE CASCADE ON DELETE SET NULL;</v>
      </c>
      <c r="AB170" s="50" t="str">
        <f t="shared" si="50"/>
        <v/>
      </c>
      <c r="AC170" s="50" t="str">
        <f t="shared" si="53"/>
        <v/>
      </c>
      <c r="AD170" s="50" t="str">
        <f t="shared" si="54"/>
        <v>ALTER TABLE TB_CLASS_REVIEW ALTER COLUMN ATCH_FILE_SN TYPE INTEGER;</v>
      </c>
      <c r="AE170" s="50" t="str">
        <f t="shared" si="55"/>
        <v>ALTER TABLE TB_CLASS_REVIEW ADD COLUMN ATCH_FILE_SN INTEGER;</v>
      </c>
      <c r="AF170" s="50" t="str">
        <f t="shared" si="56"/>
        <v>ALTER TABLE TB_CLASS_REVIEW DROP COLUMN ATCH_FILE_SN;</v>
      </c>
      <c r="AG170" s="50" t="str">
        <f t="shared" si="57"/>
        <v/>
      </c>
      <c r="AH170" s="50" t="str">
        <f t="shared" si="51"/>
        <v>COMMENT ON COLUMN TB_CLASS_REVIEW.ATCH_FILE_SN IS '첨부 파일 일련번호' ;</v>
      </c>
    </row>
    <row r="171" spans="1:34" ht="20" customHeight="1">
      <c r="A171" s="55">
        <v>167</v>
      </c>
      <c r="B171" s="26" t="s">
        <v>7</v>
      </c>
      <c r="C171" s="25" t="s">
        <v>11</v>
      </c>
      <c r="D171" s="10" t="s">
        <v>246</v>
      </c>
      <c r="E171" s="12" t="s">
        <v>12</v>
      </c>
      <c r="F171" s="97">
        <v>9</v>
      </c>
      <c r="G171" s="102" t="s">
        <v>107</v>
      </c>
      <c r="H171" s="51" t="s">
        <v>76</v>
      </c>
      <c r="I171" s="75" t="s">
        <v>72</v>
      </c>
      <c r="J171" s="67"/>
      <c r="K171" s="67"/>
      <c r="L171" s="82"/>
      <c r="M171" s="82"/>
      <c r="N171" s="82"/>
      <c r="O171" s="82"/>
      <c r="P171" s="105" t="s">
        <v>543</v>
      </c>
      <c r="Q171" s="126" t="s">
        <v>548</v>
      </c>
      <c r="R171" s="85"/>
      <c r="S171" s="112" t="s">
        <v>219</v>
      </c>
      <c r="T171" s="83"/>
      <c r="U171" s="83"/>
      <c r="V171" s="123" t="s">
        <v>518</v>
      </c>
      <c r="W171" s="45"/>
      <c r="X171" s="83"/>
      <c r="Y171" s="129" t="str">
        <f t="shared" si="48"/>
        <v>TB_CLASS_REVIEW</v>
      </c>
      <c r="Z171" s="50" t="str">
        <f t="shared" si="52"/>
        <v>REGISTER_ID VARCHAR(50) NOT NULL,</v>
      </c>
      <c r="AA171" s="50" t="str">
        <f t="shared" si="49"/>
        <v/>
      </c>
      <c r="AB171" s="50" t="str">
        <f t="shared" si="50"/>
        <v/>
      </c>
      <c r="AC171" s="50" t="str">
        <f t="shared" si="53"/>
        <v/>
      </c>
      <c r="AD171" s="50" t="str">
        <f t="shared" si="54"/>
        <v>ALTER TABLE TB_CLASS_REVIEW ALTER COLUMN REGISTER_ID TYPE VARCHAR(50);</v>
      </c>
      <c r="AE171" s="50" t="str">
        <f t="shared" si="55"/>
        <v>ALTER TABLE TB_CLASS_REVIEW ADD COLUMN REGISTER_ID VARCHAR(50) NOT NULL;</v>
      </c>
      <c r="AF171" s="50" t="str">
        <f t="shared" si="56"/>
        <v>ALTER TABLE TB_CLASS_REVIEW DROP COLUMN REGISTER_ID;</v>
      </c>
      <c r="AG171" s="50" t="str">
        <f t="shared" si="57"/>
        <v/>
      </c>
      <c r="AH171" s="50" t="str">
        <f t="shared" si="51"/>
        <v>COMMENT ON COLUMN TB_CLASS_REVIEW.REGISTER_ID IS '등록자 ID' ;</v>
      </c>
    </row>
    <row r="172" spans="1:34" ht="20" customHeight="1">
      <c r="A172" s="55">
        <v>168</v>
      </c>
      <c r="B172" s="26" t="s">
        <v>7</v>
      </c>
      <c r="C172" s="25" t="s">
        <v>11</v>
      </c>
      <c r="D172" s="10" t="s">
        <v>246</v>
      </c>
      <c r="E172" s="12" t="s">
        <v>12</v>
      </c>
      <c r="F172" s="97">
        <v>10</v>
      </c>
      <c r="G172" s="102" t="s">
        <v>91</v>
      </c>
      <c r="H172" s="51" t="s">
        <v>77</v>
      </c>
      <c r="I172" s="75" t="s">
        <v>72</v>
      </c>
      <c r="J172" s="52"/>
      <c r="K172" s="52"/>
      <c r="L172" s="52"/>
      <c r="M172" s="52"/>
      <c r="N172" s="52"/>
      <c r="O172" s="52"/>
      <c r="P172" s="56" t="s">
        <v>106</v>
      </c>
      <c r="Q172" s="126" t="s">
        <v>549</v>
      </c>
      <c r="R172" s="85"/>
      <c r="S172" s="112" t="s">
        <v>218</v>
      </c>
      <c r="T172" s="83"/>
      <c r="U172" s="83"/>
      <c r="V172" s="106"/>
      <c r="W172" s="45"/>
      <c r="X172" s="83"/>
      <c r="Y172" s="129" t="str">
        <f t="shared" si="48"/>
        <v>TB_CLASS_REVIEW</v>
      </c>
      <c r="Z172" s="50" t="str">
        <f t="shared" si="52"/>
        <v>REGISTER_IP VARCHAR(100) NOT NULL,</v>
      </c>
      <c r="AA172" s="50" t="str">
        <f t="shared" si="49"/>
        <v/>
      </c>
      <c r="AB172" s="50" t="str">
        <f t="shared" si="50"/>
        <v/>
      </c>
      <c r="AC172" s="50" t="str">
        <f t="shared" si="53"/>
        <v/>
      </c>
      <c r="AD172" s="50" t="str">
        <f t="shared" si="54"/>
        <v>ALTER TABLE TB_CLASS_REVIEW ALTER COLUMN REGISTER_IP TYPE VARCHAR(100);</v>
      </c>
      <c r="AE172" s="50" t="str">
        <f t="shared" si="55"/>
        <v>ALTER TABLE TB_CLASS_REVIEW ADD COLUMN REGISTER_IP VARCHAR(100) NOT NULL;</v>
      </c>
      <c r="AF172" s="50" t="str">
        <f t="shared" si="56"/>
        <v>ALTER TABLE TB_CLASS_REVIEW DROP COLUMN REGISTER_IP;</v>
      </c>
      <c r="AG172" s="50" t="str">
        <f t="shared" si="57"/>
        <v/>
      </c>
      <c r="AH172" s="50" t="str">
        <f t="shared" si="51"/>
        <v>COMMENT ON COLUMN TB_CLASS_REVIEW.REGISTER_IP IS '등록자 IP' ;</v>
      </c>
    </row>
    <row r="173" spans="1:34" ht="20" customHeight="1">
      <c r="A173" s="55">
        <v>169</v>
      </c>
      <c r="B173" s="26" t="s">
        <v>7</v>
      </c>
      <c r="C173" s="25" t="s">
        <v>11</v>
      </c>
      <c r="D173" s="10" t="s">
        <v>246</v>
      </c>
      <c r="E173" s="12" t="s">
        <v>12</v>
      </c>
      <c r="F173" s="97">
        <v>11</v>
      </c>
      <c r="G173" s="102" t="s">
        <v>92</v>
      </c>
      <c r="H173" s="101" t="s">
        <v>78</v>
      </c>
      <c r="I173" s="75" t="s">
        <v>72</v>
      </c>
      <c r="J173" s="52"/>
      <c r="K173" s="52"/>
      <c r="L173" s="52"/>
      <c r="M173" s="52"/>
      <c r="N173" s="52"/>
      <c r="O173" s="52"/>
      <c r="P173" s="51" t="s">
        <v>732</v>
      </c>
      <c r="Q173" s="126"/>
      <c r="R173" s="85"/>
      <c r="S173" s="112" t="s">
        <v>217</v>
      </c>
      <c r="T173" s="83"/>
      <c r="U173" s="83"/>
      <c r="V173" s="106"/>
      <c r="W173" s="45"/>
      <c r="X173" s="83"/>
      <c r="Y173" s="129" t="str">
        <f t="shared" si="48"/>
        <v>TB_CLASS_REVIEW</v>
      </c>
      <c r="Z173" s="50" t="str">
        <f t="shared" si="52"/>
        <v>REG_DT TIMESTAMP NOT NULL,</v>
      </c>
      <c r="AA173" s="50" t="str">
        <f t="shared" si="49"/>
        <v/>
      </c>
      <c r="AB173" s="50" t="str">
        <f t="shared" si="50"/>
        <v/>
      </c>
      <c r="AC173" s="50" t="str">
        <f t="shared" si="53"/>
        <v/>
      </c>
      <c r="AD173" s="50" t="str">
        <f t="shared" si="54"/>
        <v>ALTER TABLE TB_CLASS_REVIEW ALTER COLUMN REG_DT TYPE TIMESTAMP;</v>
      </c>
      <c r="AE173" s="50" t="str">
        <f t="shared" si="55"/>
        <v>ALTER TABLE TB_CLASS_REVIEW ADD COLUMN REG_DT TIMESTAMP NOT NULL;</v>
      </c>
      <c r="AF173" s="50" t="str">
        <f t="shared" si="56"/>
        <v>ALTER TABLE TB_CLASS_REVIEW DROP COLUMN REG_DT;</v>
      </c>
      <c r="AG173" s="50" t="str">
        <f t="shared" si="57"/>
        <v/>
      </c>
      <c r="AH173" s="50" t="str">
        <f t="shared" si="51"/>
        <v>COMMENT ON COLUMN TB_CLASS_REVIEW.REG_DT IS '등록 일시' ;</v>
      </c>
    </row>
    <row r="174" spans="1:34" ht="20" customHeight="1">
      <c r="A174" s="55">
        <v>170</v>
      </c>
      <c r="B174" s="26" t="s">
        <v>7</v>
      </c>
      <c r="C174" s="25" t="s">
        <v>11</v>
      </c>
      <c r="D174" s="10" t="s">
        <v>246</v>
      </c>
      <c r="E174" s="12" t="s">
        <v>12</v>
      </c>
      <c r="F174" s="97">
        <v>12</v>
      </c>
      <c r="G174" s="102" t="s">
        <v>93</v>
      </c>
      <c r="H174" s="101" t="s">
        <v>80</v>
      </c>
      <c r="I174" s="52"/>
      <c r="J174" s="52"/>
      <c r="K174" s="52"/>
      <c r="L174" s="84"/>
      <c r="M174" s="84"/>
      <c r="N174" s="84"/>
      <c r="O174" s="84"/>
      <c r="P174" s="105" t="s">
        <v>543</v>
      </c>
      <c r="Q174" s="126" t="s">
        <v>548</v>
      </c>
      <c r="R174" s="85"/>
      <c r="S174" s="112" t="s">
        <v>216</v>
      </c>
      <c r="T174" s="83"/>
      <c r="U174" s="83"/>
      <c r="V174" s="123" t="s">
        <v>518</v>
      </c>
      <c r="W174" s="45"/>
      <c r="X174" s="83"/>
      <c r="Y174" s="129" t="str">
        <f t="shared" si="48"/>
        <v>TB_CLASS_REVIEW</v>
      </c>
      <c r="Z174" s="50" t="str">
        <f t="shared" si="52"/>
        <v>UPDUSR_ID VARCHAR(50),</v>
      </c>
      <c r="AA174" s="50" t="str">
        <f t="shared" si="49"/>
        <v/>
      </c>
      <c r="AB174" s="50" t="str">
        <f t="shared" si="50"/>
        <v/>
      </c>
      <c r="AC174" s="50" t="str">
        <f t="shared" si="53"/>
        <v/>
      </c>
      <c r="AD174" s="50" t="str">
        <f t="shared" si="54"/>
        <v>ALTER TABLE TB_CLASS_REVIEW ALTER COLUMN UPDUSR_ID TYPE VARCHAR(50);</v>
      </c>
      <c r="AE174" s="50" t="str">
        <f t="shared" si="55"/>
        <v>ALTER TABLE TB_CLASS_REVIEW ADD COLUMN UPDUSR_ID VARCHAR(50);</v>
      </c>
      <c r="AF174" s="50" t="str">
        <f t="shared" si="56"/>
        <v>ALTER TABLE TB_CLASS_REVIEW DROP COLUMN UPDUSR_ID;</v>
      </c>
      <c r="AG174" s="50" t="str">
        <f t="shared" si="57"/>
        <v/>
      </c>
      <c r="AH174" s="50" t="str">
        <f t="shared" si="51"/>
        <v>COMMENT ON COLUMN TB_CLASS_REVIEW.UPDUSR_ID IS '수정자 ID' ;</v>
      </c>
    </row>
    <row r="175" spans="1:34" ht="20" customHeight="1">
      <c r="A175" s="55">
        <v>171</v>
      </c>
      <c r="B175" s="26" t="s">
        <v>7</v>
      </c>
      <c r="C175" s="25" t="s">
        <v>11</v>
      </c>
      <c r="D175" s="10" t="s">
        <v>246</v>
      </c>
      <c r="E175" s="12" t="s">
        <v>12</v>
      </c>
      <c r="F175" s="97">
        <v>13</v>
      </c>
      <c r="G175" s="102" t="s">
        <v>94</v>
      </c>
      <c r="H175" s="101" t="s">
        <v>79</v>
      </c>
      <c r="I175" s="52"/>
      <c r="J175" s="52"/>
      <c r="K175" s="52"/>
      <c r="L175" s="52"/>
      <c r="M175" s="52"/>
      <c r="N175" s="52"/>
      <c r="O175" s="52"/>
      <c r="P175" s="56" t="s">
        <v>106</v>
      </c>
      <c r="Q175" s="126" t="s">
        <v>549</v>
      </c>
      <c r="R175" s="85"/>
      <c r="S175" s="112" t="s">
        <v>215</v>
      </c>
      <c r="T175" s="83"/>
      <c r="U175" s="83"/>
      <c r="V175" s="106"/>
      <c r="W175" s="45"/>
      <c r="X175" s="83"/>
      <c r="Y175" s="129" t="str">
        <f t="shared" si="48"/>
        <v>TB_CLASS_REVIEW</v>
      </c>
      <c r="Z175" s="50" t="str">
        <f t="shared" si="52"/>
        <v>UPDUSR_IP VARCHAR(100),</v>
      </c>
      <c r="AA175" s="50" t="str">
        <f t="shared" si="49"/>
        <v/>
      </c>
      <c r="AB175" s="50" t="str">
        <f t="shared" si="50"/>
        <v/>
      </c>
      <c r="AC175" s="50" t="str">
        <f t="shared" si="53"/>
        <v/>
      </c>
      <c r="AD175" s="50" t="str">
        <f t="shared" si="54"/>
        <v>ALTER TABLE TB_CLASS_REVIEW ALTER COLUMN UPDUSR_IP TYPE VARCHAR(100);</v>
      </c>
      <c r="AE175" s="50" t="str">
        <f t="shared" si="55"/>
        <v>ALTER TABLE TB_CLASS_REVIEW ADD COLUMN UPDUSR_IP VARCHAR(100);</v>
      </c>
      <c r="AF175" s="50" t="str">
        <f t="shared" si="56"/>
        <v>ALTER TABLE TB_CLASS_REVIEW DROP COLUMN UPDUSR_IP;</v>
      </c>
      <c r="AG175" s="50" t="str">
        <f t="shared" si="57"/>
        <v/>
      </c>
      <c r="AH175" s="50" t="str">
        <f t="shared" si="51"/>
        <v>COMMENT ON COLUMN TB_CLASS_REVIEW.UPDUSR_IP IS '수정자 IP' ;</v>
      </c>
    </row>
    <row r="176" spans="1:34" ht="20" customHeight="1">
      <c r="A176" s="55">
        <v>172</v>
      </c>
      <c r="B176" s="26" t="s">
        <v>7</v>
      </c>
      <c r="C176" s="25" t="s">
        <v>11</v>
      </c>
      <c r="D176" s="10" t="s">
        <v>246</v>
      </c>
      <c r="E176" s="12" t="s">
        <v>12</v>
      </c>
      <c r="F176" s="97">
        <v>14</v>
      </c>
      <c r="G176" s="103" t="s">
        <v>95</v>
      </c>
      <c r="H176" s="102" t="s">
        <v>81</v>
      </c>
      <c r="I176" s="61"/>
      <c r="J176" s="61"/>
      <c r="K176" s="61"/>
      <c r="L176" s="61"/>
      <c r="M176" s="61"/>
      <c r="N176" s="61"/>
      <c r="O176" s="61"/>
      <c r="P176" s="51" t="s">
        <v>732</v>
      </c>
      <c r="Q176" s="126"/>
      <c r="R176" s="82"/>
      <c r="S176" s="112" t="s">
        <v>214</v>
      </c>
      <c r="T176" s="83"/>
      <c r="U176" s="83"/>
      <c r="V176" s="106"/>
      <c r="W176" s="45"/>
      <c r="X176" s="83"/>
      <c r="Y176" s="129" t="str">
        <f t="shared" si="48"/>
        <v>TB_CLASS_REVIEW</v>
      </c>
      <c r="Z176" s="50" t="str">
        <f t="shared" si="52"/>
        <v>UPDT_DT TIMESTAMP,</v>
      </c>
      <c r="AA176" s="50" t="str">
        <f t="shared" si="49"/>
        <v/>
      </c>
      <c r="AB176" s="50" t="str">
        <f t="shared" si="50"/>
        <v/>
      </c>
      <c r="AC176" s="50" t="str">
        <f t="shared" si="53"/>
        <v/>
      </c>
      <c r="AD176" s="50" t="str">
        <f t="shared" si="54"/>
        <v>ALTER TABLE TB_CLASS_REVIEW ALTER COLUMN UPDT_DT TYPE TIMESTAMP;</v>
      </c>
      <c r="AE176" s="50" t="str">
        <f t="shared" si="55"/>
        <v>ALTER TABLE TB_CLASS_REVIEW ADD COLUMN UPDT_DT TIMESTAMP;</v>
      </c>
      <c r="AF176" s="50" t="str">
        <f t="shared" si="56"/>
        <v>ALTER TABLE TB_CLASS_REVIEW DROP COLUMN UPDT_DT;</v>
      </c>
      <c r="AG176" s="50" t="str">
        <f t="shared" si="57"/>
        <v/>
      </c>
      <c r="AH176" s="50" t="str">
        <f t="shared" si="51"/>
        <v>COMMENT ON COLUMN TB_CLASS_REVIEW.UPDT_DT IS '수정 일시' ;</v>
      </c>
    </row>
    <row r="177" spans="1:34" ht="20" customHeight="1">
      <c r="A177" s="55">
        <v>173</v>
      </c>
      <c r="B177" s="26" t="s">
        <v>7</v>
      </c>
      <c r="C177" s="25" t="s">
        <v>11</v>
      </c>
      <c r="D177" s="10" t="s">
        <v>246</v>
      </c>
      <c r="E177" s="12" t="s">
        <v>12</v>
      </c>
      <c r="F177" s="97">
        <v>15</v>
      </c>
      <c r="G177" s="102" t="s">
        <v>96</v>
      </c>
      <c r="H177" s="102" t="s">
        <v>82</v>
      </c>
      <c r="I177" s="75" t="s">
        <v>72</v>
      </c>
      <c r="J177" s="61"/>
      <c r="K177" s="61"/>
      <c r="L177" s="61"/>
      <c r="M177" s="61"/>
      <c r="N177" s="61"/>
      <c r="O177" s="61"/>
      <c r="P177" s="51" t="s">
        <v>106</v>
      </c>
      <c r="Q177" s="126" t="s">
        <v>544</v>
      </c>
      <c r="R177" s="87" t="s">
        <v>592</v>
      </c>
      <c r="S177" s="112" t="s">
        <v>213</v>
      </c>
      <c r="T177" s="83"/>
      <c r="U177" s="83"/>
      <c r="V177" s="106"/>
      <c r="W177" s="45"/>
      <c r="X177" s="83"/>
      <c r="Y177" s="129" t="str">
        <f t="shared" si="48"/>
        <v>TB_CLASS_REVIEW</v>
      </c>
      <c r="Z177" s="50" t="str">
        <f t="shared" si="52"/>
        <v>DEL_YN VARCHAR(1) NOT NULL,</v>
      </c>
      <c r="AA177" s="50" t="str">
        <f t="shared" si="49"/>
        <v/>
      </c>
      <c r="AB177" s="50" t="str">
        <f t="shared" si="50"/>
        <v/>
      </c>
      <c r="AC177" s="50" t="str">
        <f t="shared" si="53"/>
        <v/>
      </c>
      <c r="AD177" s="50" t="str">
        <f t="shared" si="54"/>
        <v>ALTER TABLE TB_CLASS_REVIEW ALTER COLUMN DEL_YN TYPE VARCHAR(1);</v>
      </c>
      <c r="AE177" s="50" t="str">
        <f t="shared" si="55"/>
        <v>ALTER TABLE TB_CLASS_REVIEW ADD COLUMN DEL_YN VARCHAR(1) NOT NULL DEFAULT ''N'';</v>
      </c>
      <c r="AF177" s="50" t="str">
        <f t="shared" si="56"/>
        <v>ALTER TABLE TB_CLASS_REVIEW DROP COLUMN DEL_YN;</v>
      </c>
      <c r="AG177" s="50" t="str">
        <f t="shared" si="57"/>
        <v>ALTER TABLE TB_CLASS_REVIEW ALTER COLUMN DEL_YN SET DEFAULT 'N';</v>
      </c>
      <c r="AH177" s="50" t="str">
        <f t="shared" si="51"/>
        <v>COMMENT ON COLUMN TB_CLASS_REVIEW.DEL_YN IS '삭제 여부' ;</v>
      </c>
    </row>
    <row r="178" spans="1:34" ht="20" customHeight="1">
      <c r="A178" s="55">
        <v>174</v>
      </c>
      <c r="B178" s="26" t="s">
        <v>7</v>
      </c>
      <c r="C178" s="25" t="s">
        <v>11</v>
      </c>
      <c r="D178" s="10" t="s">
        <v>248</v>
      </c>
      <c r="E178" s="12" t="s">
        <v>249</v>
      </c>
      <c r="F178" s="97">
        <v>1</v>
      </c>
      <c r="G178" s="102" t="s">
        <v>265</v>
      </c>
      <c r="H178" s="102" t="s">
        <v>259</v>
      </c>
      <c r="I178" s="75" t="s">
        <v>72</v>
      </c>
      <c r="J178" s="69">
        <v>1</v>
      </c>
      <c r="K178" s="69"/>
      <c r="L178" s="69"/>
      <c r="M178" s="69"/>
      <c r="N178" s="69"/>
      <c r="O178" s="69"/>
      <c r="P178" s="106" t="s">
        <v>172</v>
      </c>
      <c r="Q178" s="88"/>
      <c r="R178" s="86"/>
      <c r="S178" s="112" t="s">
        <v>271</v>
      </c>
      <c r="T178" s="132" t="str">
        <f>"SEQ_"&amp;D178&amp;"_SN"</f>
        <v>SEQ_TB_CLASS_INQRY_SN</v>
      </c>
      <c r="U178" s="132"/>
      <c r="V178" s="106"/>
      <c r="W178" s="45"/>
      <c r="X178" s="83"/>
      <c r="Y178" s="129" t="str">
        <f t="shared" si="48"/>
        <v>TB_CLASS_INQRY</v>
      </c>
      <c r="Z178" s="50" t="str">
        <f t="shared" si="52"/>
        <v>CLASS_INQRY_SN INTEGER PRIMARY KEY,</v>
      </c>
      <c r="AA178" s="50" t="str">
        <f t="shared" si="49"/>
        <v/>
      </c>
      <c r="AB178" s="50" t="str">
        <f t="shared" si="50"/>
        <v>CREATE SEQUENCE SEQ_TB_CLASS_INQRY_SN START 100000;</v>
      </c>
      <c r="AC178" s="50" t="str">
        <f t="shared" si="53"/>
        <v>ALTER TABLE TB_CLASS_INQRY ALTER COLUMN CLASS_INQRY_SN SET DEFAULT NEXTVAL('SEQ_TB_CLASS_INQRY_SN');</v>
      </c>
      <c r="AD178" s="50" t="str">
        <f t="shared" si="54"/>
        <v>ALTER TABLE TB_CLASS_INQRY ALTER COLUMN CLASS_INQRY_SN TYPE INTEGER;</v>
      </c>
      <c r="AE178" s="50" t="str">
        <f t="shared" si="55"/>
        <v>ALTER TABLE TB_CLASS_INQRY ADD COLUMN CLASS_INQRY_SN INTEGER NOT NULL;</v>
      </c>
      <c r="AF178" s="50" t="str">
        <f t="shared" si="56"/>
        <v>ALTER TABLE TB_CLASS_INQRY DROP COLUMN CLASS_INQRY_SN;</v>
      </c>
      <c r="AG178" s="50" t="str">
        <f t="shared" si="57"/>
        <v/>
      </c>
      <c r="AH178" s="50" t="str">
        <f t="shared" si="51"/>
        <v>COMMENT ON COLUMN TB_CLASS_INQRY.CLASS_INQRY_SN IS '클래스 문의 일련번호' ;</v>
      </c>
    </row>
    <row r="179" spans="1:34" ht="20" customHeight="1">
      <c r="A179" s="55">
        <v>175</v>
      </c>
      <c r="B179" s="26" t="s">
        <v>7</v>
      </c>
      <c r="C179" s="25" t="s">
        <v>11</v>
      </c>
      <c r="D179" s="10" t="s">
        <v>248</v>
      </c>
      <c r="E179" s="12" t="s">
        <v>249</v>
      </c>
      <c r="F179" s="97">
        <v>2</v>
      </c>
      <c r="G179" s="102" t="s">
        <v>201</v>
      </c>
      <c r="H179" s="102" t="s">
        <v>187</v>
      </c>
      <c r="I179" s="75" t="s">
        <v>72</v>
      </c>
      <c r="J179" s="69"/>
      <c r="K179" s="69">
        <v>1</v>
      </c>
      <c r="L179" s="13" t="s">
        <v>22</v>
      </c>
      <c r="M179" s="106" t="s">
        <v>162</v>
      </c>
      <c r="N179" s="100" t="s">
        <v>562</v>
      </c>
      <c r="O179" s="100" t="s">
        <v>564</v>
      </c>
      <c r="P179" s="106" t="s">
        <v>172</v>
      </c>
      <c r="Q179" s="88"/>
      <c r="R179" s="86"/>
      <c r="S179" s="112" t="s">
        <v>175</v>
      </c>
      <c r="T179" s="83"/>
      <c r="U179" s="83"/>
      <c r="V179" s="106"/>
      <c r="W179" s="45"/>
      <c r="X179" s="83"/>
      <c r="Y179" s="129" t="str">
        <f t="shared" si="48"/>
        <v>TB_CLASS_INQRY</v>
      </c>
      <c r="Z179" s="50" t="str">
        <f t="shared" si="52"/>
        <v>CLASS_SN INTEGER NOT NULL,</v>
      </c>
      <c r="AA179" s="50" t="str">
        <f t="shared" si="49"/>
        <v>ALTER TABLE TB_CLASS_INQRY ADD CONSTRAINT TB_CLASS_INQRY_FKEY1 FOREIGN KEY(CLASS_SN) REFERENCES TB_CLASS(CLASS_SN) ON UPDATE CASCADE ON DELETE CASCADE;</v>
      </c>
      <c r="AB179" s="50" t="str">
        <f t="shared" si="50"/>
        <v/>
      </c>
      <c r="AC179" s="50" t="str">
        <f t="shared" si="53"/>
        <v/>
      </c>
      <c r="AD179" s="50" t="str">
        <f t="shared" si="54"/>
        <v>ALTER TABLE TB_CLASS_INQRY ALTER COLUMN CLASS_SN TYPE INTEGER;</v>
      </c>
      <c r="AE179" s="50" t="str">
        <f t="shared" si="55"/>
        <v>ALTER TABLE TB_CLASS_INQRY ADD COLUMN CLASS_SN INTEGER NOT NULL;</v>
      </c>
      <c r="AF179" s="50" t="str">
        <f t="shared" si="56"/>
        <v>ALTER TABLE TB_CLASS_INQRY DROP COLUMN CLASS_SN;</v>
      </c>
      <c r="AG179" s="50" t="str">
        <f t="shared" si="57"/>
        <v/>
      </c>
      <c r="AH179" s="50" t="str">
        <f t="shared" si="51"/>
        <v>COMMENT ON COLUMN TB_CLASS_INQRY.CLASS_SN IS '클래스 일련번호' ;</v>
      </c>
    </row>
    <row r="180" spans="1:34" ht="20" customHeight="1">
      <c r="A180" s="55">
        <v>176</v>
      </c>
      <c r="B180" s="26" t="s">
        <v>7</v>
      </c>
      <c r="C180" s="25" t="s">
        <v>11</v>
      </c>
      <c r="D180" s="10" t="s">
        <v>248</v>
      </c>
      <c r="E180" s="12" t="s">
        <v>249</v>
      </c>
      <c r="F180" s="97">
        <v>3</v>
      </c>
      <c r="G180" s="106" t="s">
        <v>654</v>
      </c>
      <c r="H180" s="106" t="s">
        <v>655</v>
      </c>
      <c r="I180" s="45"/>
      <c r="J180" s="45"/>
      <c r="K180" s="45"/>
      <c r="L180" s="83"/>
      <c r="M180" s="100"/>
      <c r="N180" s="100"/>
      <c r="O180" s="100"/>
      <c r="P180" s="105" t="s">
        <v>106</v>
      </c>
      <c r="Q180" s="126" t="s">
        <v>641</v>
      </c>
      <c r="R180" s="45"/>
      <c r="S180" s="106" t="s">
        <v>655</v>
      </c>
      <c r="T180" s="83"/>
      <c r="U180" s="83"/>
      <c r="V180" s="123" t="s">
        <v>638</v>
      </c>
      <c r="W180" s="45"/>
      <c r="X180" s="83"/>
      <c r="Y180" s="129" t="str">
        <f t="shared" ref="Y180:Y181" si="58">D180</f>
        <v>TB_CLASS_INQRY</v>
      </c>
      <c r="Z180" s="50" t="str">
        <f t="shared" ref="Z180:Z181" si="59">G180&amp;" "&amp;P180&amp;Q180&amp;IF(ISBLANK(J180),""," PRIMARY KEY")&amp;IF(AND(ISBLANK(J180),I180="Y")," NOT NULL","")&amp;","</f>
        <v>STEP VARCHAR(2),</v>
      </c>
      <c r="AA180" s="50" t="str">
        <f t="shared" ref="AA180:AA181" si="60">IF(ISBLANK(K180),"","ALTER TABLE " &amp; D180 &amp; " ADD CONSTRAINT " &amp; D180 &amp; "_FKEY" &amp; K180 &amp;  " FOREIGN KEY(" &amp;G180 &amp; ") REFERENCES " &amp; L180 &amp; "(" &amp; M180 &amp; ") "&amp;N180&amp;" "&amp;O180&amp;";")</f>
        <v/>
      </c>
      <c r="AB180" s="50" t="str">
        <f t="shared" ref="AB180:AB181" si="61">IF(ISBLANK(T180),"","CREATE SEQUENCE "&amp;T180&amp;" START 100000;")</f>
        <v/>
      </c>
      <c r="AC180" s="50" t="str">
        <f t="shared" si="53"/>
        <v/>
      </c>
      <c r="AD180" s="50" t="str">
        <f t="shared" si="54"/>
        <v>ALTER TABLE TB_CLASS_INQRY ALTER COLUMN STEP TYPE VARCHAR(2);</v>
      </c>
      <c r="AE180" s="50" t="str">
        <f t="shared" si="55"/>
        <v>ALTER TABLE TB_CLASS_INQRY ADD COLUMN STEP VARCHAR(2);</v>
      </c>
      <c r="AF180" s="50" t="str">
        <f t="shared" si="56"/>
        <v>ALTER TABLE TB_CLASS_INQRY DROP COLUMN STEP;</v>
      </c>
      <c r="AG180" s="50" t="str">
        <f t="shared" si="57"/>
        <v/>
      </c>
      <c r="AH180" s="50" t="str">
        <f t="shared" ref="AH180:AH181" si="62">"COMMENT ON COLUMN "&amp;D180&amp;"."&amp;G180&amp;" IS '"&amp;S180&amp;"' ;"</f>
        <v>COMMENT ON COLUMN TB_CLASS_INQRY.STEP IS '계층' ;</v>
      </c>
    </row>
    <row r="181" spans="1:34" ht="20" customHeight="1">
      <c r="A181" s="55">
        <v>177</v>
      </c>
      <c r="B181" s="26" t="s">
        <v>7</v>
      </c>
      <c r="C181" s="25" t="s">
        <v>11</v>
      </c>
      <c r="D181" s="10" t="s">
        <v>248</v>
      </c>
      <c r="E181" s="12" t="s">
        <v>249</v>
      </c>
      <c r="F181" s="97">
        <v>4</v>
      </c>
      <c r="G181" s="106" t="s">
        <v>656</v>
      </c>
      <c r="H181" s="106" t="s">
        <v>653</v>
      </c>
      <c r="I181" s="45"/>
      <c r="J181" s="45"/>
      <c r="K181" s="45"/>
      <c r="L181" s="83"/>
      <c r="M181" s="100"/>
      <c r="N181" s="100"/>
      <c r="O181" s="100"/>
      <c r="P181" s="106" t="s">
        <v>229</v>
      </c>
      <c r="Q181" s="126"/>
      <c r="R181" s="45"/>
      <c r="S181" s="106" t="s">
        <v>657</v>
      </c>
      <c r="T181" s="132" t="str">
        <f>"SEQ_"&amp;D181&amp;"_SN2"</f>
        <v>SEQ_TB_CLASS_INQRY_SN2</v>
      </c>
      <c r="U181" s="83"/>
      <c r="V181" s="106"/>
      <c r="W181" s="45"/>
      <c r="X181" s="83"/>
      <c r="Y181" s="129" t="str">
        <f t="shared" si="58"/>
        <v>TB_CLASS_INQRY</v>
      </c>
      <c r="Z181" s="50" t="str">
        <f t="shared" si="59"/>
        <v>PARNTS_INQRY_SN INTEGER,</v>
      </c>
      <c r="AA181" s="50" t="str">
        <f t="shared" si="60"/>
        <v/>
      </c>
      <c r="AB181" s="50" t="str">
        <f t="shared" si="61"/>
        <v>CREATE SEQUENCE SEQ_TB_CLASS_INQRY_SN2 START 100000;</v>
      </c>
      <c r="AC181" s="50" t="str">
        <f t="shared" si="53"/>
        <v>ALTER TABLE TB_CLASS_INQRY ALTER COLUMN PARNTS_INQRY_SN SET DEFAULT NEXTVAL('SEQ_TB_CLASS_INQRY_SN2');</v>
      </c>
      <c r="AD181" s="50" t="str">
        <f t="shared" si="54"/>
        <v>ALTER TABLE TB_CLASS_INQRY ALTER COLUMN PARNTS_INQRY_SN TYPE INTEGER;</v>
      </c>
      <c r="AE181" s="50" t="str">
        <f t="shared" si="55"/>
        <v>ALTER TABLE TB_CLASS_INQRY ADD COLUMN PARNTS_INQRY_SN INTEGER;</v>
      </c>
      <c r="AF181" s="50" t="str">
        <f t="shared" si="56"/>
        <v>ALTER TABLE TB_CLASS_INQRY DROP COLUMN PARNTS_INQRY_SN;</v>
      </c>
      <c r="AG181" s="50" t="str">
        <f t="shared" si="57"/>
        <v/>
      </c>
      <c r="AH181" s="50" t="str">
        <f t="shared" si="62"/>
        <v>COMMENT ON COLUMN TB_CLASS_INQRY.PARNTS_INQRY_SN IS '부모 문의 일련번호' ;</v>
      </c>
    </row>
    <row r="182" spans="1:34" ht="20" customHeight="1">
      <c r="A182" s="55">
        <v>178</v>
      </c>
      <c r="B182" s="26" t="s">
        <v>7</v>
      </c>
      <c r="C182" s="25" t="s">
        <v>11</v>
      </c>
      <c r="D182" s="10" t="s">
        <v>248</v>
      </c>
      <c r="E182" s="12" t="s">
        <v>249</v>
      </c>
      <c r="F182" s="97">
        <v>5</v>
      </c>
      <c r="G182" s="100" t="s">
        <v>744</v>
      </c>
      <c r="H182" s="100" t="s">
        <v>745</v>
      </c>
      <c r="I182" s="75" t="s">
        <v>72</v>
      </c>
      <c r="J182" s="69"/>
      <c r="K182" s="69">
        <v>2</v>
      </c>
      <c r="L182" s="83" t="s">
        <v>9</v>
      </c>
      <c r="M182" s="100" t="s">
        <v>744</v>
      </c>
      <c r="N182" s="100" t="s">
        <v>562</v>
      </c>
      <c r="O182" s="100" t="s">
        <v>564</v>
      </c>
      <c r="P182" s="105" t="s">
        <v>172</v>
      </c>
      <c r="Q182" s="126"/>
      <c r="R182" s="86"/>
      <c r="S182" s="112" t="s">
        <v>109</v>
      </c>
      <c r="T182" s="83"/>
      <c r="U182" s="83"/>
      <c r="V182" s="123"/>
      <c r="W182" s="45"/>
      <c r="X182" s="83"/>
      <c r="Y182" s="129" t="str">
        <f t="shared" si="48"/>
        <v>TB_CLASS_INQRY</v>
      </c>
      <c r="Z182" s="50" t="str">
        <f t="shared" si="52"/>
        <v>USER_SN INTEGER NOT NULL,</v>
      </c>
      <c r="AA182" s="50" t="str">
        <f t="shared" si="49"/>
        <v>ALTER TABLE TB_CLASS_INQRY ADD CONSTRAINT TB_CLASS_INQRY_FKEY2 FOREIGN KEY(USER_SN) REFERENCES TB_USER(USER_SN) ON UPDATE CASCADE ON DELETE CASCADE;</v>
      </c>
      <c r="AB182" s="50" t="str">
        <f t="shared" si="50"/>
        <v/>
      </c>
      <c r="AC182" s="50" t="str">
        <f t="shared" si="53"/>
        <v/>
      </c>
      <c r="AD182" s="50" t="str">
        <f t="shared" si="54"/>
        <v>ALTER TABLE TB_CLASS_INQRY ALTER COLUMN USER_SN TYPE INTEGER;</v>
      </c>
      <c r="AE182" s="50" t="str">
        <f t="shared" si="55"/>
        <v>ALTER TABLE TB_CLASS_INQRY ADD COLUMN USER_SN INTEGER NOT NULL;</v>
      </c>
      <c r="AF182" s="50" t="str">
        <f t="shared" si="56"/>
        <v>ALTER TABLE TB_CLASS_INQRY DROP COLUMN USER_SN;</v>
      </c>
      <c r="AG182" s="50" t="str">
        <f t="shared" si="57"/>
        <v/>
      </c>
      <c r="AH182" s="50" t="str">
        <f t="shared" si="51"/>
        <v>COMMENT ON COLUMN TB_CLASS_INQRY.USER_SN IS '사용자 일련번호' ;</v>
      </c>
    </row>
    <row r="183" spans="1:34" ht="20" customHeight="1">
      <c r="A183" s="55">
        <v>179</v>
      </c>
      <c r="B183" s="26" t="s">
        <v>7</v>
      </c>
      <c r="C183" s="25" t="s">
        <v>11</v>
      </c>
      <c r="D183" s="10" t="s">
        <v>248</v>
      </c>
      <c r="E183" s="12" t="s">
        <v>249</v>
      </c>
      <c r="F183" s="97">
        <v>6</v>
      </c>
      <c r="G183" s="102" t="s">
        <v>266</v>
      </c>
      <c r="H183" s="102" t="s">
        <v>263</v>
      </c>
      <c r="I183" s="75" t="s">
        <v>72</v>
      </c>
      <c r="J183" s="69"/>
      <c r="K183" s="69"/>
      <c r="L183" s="69"/>
      <c r="M183" s="69"/>
      <c r="N183" s="69"/>
      <c r="O183" s="69"/>
      <c r="P183" s="64" t="s">
        <v>170</v>
      </c>
      <c r="Q183" s="126" t="s">
        <v>550</v>
      </c>
      <c r="R183" s="86"/>
      <c r="S183" s="112" t="s">
        <v>270</v>
      </c>
      <c r="T183" s="83"/>
      <c r="U183" s="83"/>
      <c r="V183" s="106"/>
      <c r="W183" s="45"/>
      <c r="X183" s="83"/>
      <c r="Y183" s="129" t="str">
        <f t="shared" si="48"/>
        <v>TB_CLASS_INQRY</v>
      </c>
      <c r="Z183" s="50" t="str">
        <f t="shared" si="52"/>
        <v>INQRY_SJ VARCHAR(255) NOT NULL,</v>
      </c>
      <c r="AA183" s="50" t="str">
        <f t="shared" si="49"/>
        <v/>
      </c>
      <c r="AB183" s="50" t="str">
        <f t="shared" si="50"/>
        <v/>
      </c>
      <c r="AC183" s="50" t="str">
        <f t="shared" si="53"/>
        <v/>
      </c>
      <c r="AD183" s="50" t="str">
        <f t="shared" si="54"/>
        <v>ALTER TABLE TB_CLASS_INQRY ALTER COLUMN INQRY_SJ TYPE VARCHAR(255);</v>
      </c>
      <c r="AE183" s="50" t="str">
        <f t="shared" si="55"/>
        <v>ALTER TABLE TB_CLASS_INQRY ADD COLUMN INQRY_SJ VARCHAR(255) NOT NULL;</v>
      </c>
      <c r="AF183" s="50" t="str">
        <f t="shared" si="56"/>
        <v>ALTER TABLE TB_CLASS_INQRY DROP COLUMN INQRY_SJ;</v>
      </c>
      <c r="AG183" s="50" t="str">
        <f t="shared" si="57"/>
        <v/>
      </c>
      <c r="AH183" s="50" t="str">
        <f t="shared" si="51"/>
        <v>COMMENT ON COLUMN TB_CLASS_INQRY.INQRY_SJ IS '문의 제목' ;</v>
      </c>
    </row>
    <row r="184" spans="1:34" ht="20" customHeight="1">
      <c r="A184" s="55">
        <v>180</v>
      </c>
      <c r="B184" s="26" t="s">
        <v>7</v>
      </c>
      <c r="C184" s="25" t="s">
        <v>11</v>
      </c>
      <c r="D184" s="10" t="s">
        <v>248</v>
      </c>
      <c r="E184" s="12" t="s">
        <v>249</v>
      </c>
      <c r="F184" s="97">
        <v>7</v>
      </c>
      <c r="G184" s="102" t="s">
        <v>267</v>
      </c>
      <c r="H184" s="102" t="s">
        <v>264</v>
      </c>
      <c r="I184" s="75"/>
      <c r="J184" s="69"/>
      <c r="K184" s="69"/>
      <c r="L184" s="69"/>
      <c r="M184" s="69"/>
      <c r="N184" s="69"/>
      <c r="O184" s="69"/>
      <c r="P184" s="64" t="s">
        <v>170</v>
      </c>
      <c r="Q184" s="126" t="s">
        <v>552</v>
      </c>
      <c r="R184" s="86"/>
      <c r="S184" s="112" t="s">
        <v>269</v>
      </c>
      <c r="T184" s="83"/>
      <c r="U184" s="83"/>
      <c r="V184" s="106"/>
      <c r="W184" s="45"/>
      <c r="X184" s="83"/>
      <c r="Y184" s="129" t="str">
        <f t="shared" si="48"/>
        <v>TB_CLASS_INQRY</v>
      </c>
      <c r="Z184" s="50" t="str">
        <f t="shared" si="52"/>
        <v>INQRY_CN VARCHAR(2000),</v>
      </c>
      <c r="AA184" s="50" t="str">
        <f t="shared" si="49"/>
        <v/>
      </c>
      <c r="AB184" s="50" t="str">
        <f t="shared" si="50"/>
        <v/>
      </c>
      <c r="AC184" s="50" t="str">
        <f t="shared" si="53"/>
        <v/>
      </c>
      <c r="AD184" s="50" t="str">
        <f t="shared" si="54"/>
        <v>ALTER TABLE TB_CLASS_INQRY ALTER COLUMN INQRY_CN TYPE VARCHAR(2000);</v>
      </c>
      <c r="AE184" s="50" t="str">
        <f t="shared" si="55"/>
        <v>ALTER TABLE TB_CLASS_INQRY ADD COLUMN INQRY_CN VARCHAR(2000);</v>
      </c>
      <c r="AF184" s="50" t="str">
        <f t="shared" si="56"/>
        <v>ALTER TABLE TB_CLASS_INQRY DROP COLUMN INQRY_CN;</v>
      </c>
      <c r="AG184" s="50" t="str">
        <f t="shared" si="57"/>
        <v/>
      </c>
      <c r="AH184" s="50" t="str">
        <f t="shared" si="51"/>
        <v>COMMENT ON COLUMN TB_CLASS_INQRY.INQRY_CN IS '문의 내용' ;</v>
      </c>
    </row>
    <row r="185" spans="1:34" ht="20" customHeight="1">
      <c r="A185" s="55">
        <v>181</v>
      </c>
      <c r="B185" s="26" t="s">
        <v>7</v>
      </c>
      <c r="C185" s="25" t="s">
        <v>11</v>
      </c>
      <c r="D185" s="10" t="s">
        <v>248</v>
      </c>
      <c r="E185" s="12" t="s">
        <v>249</v>
      </c>
      <c r="F185" s="97">
        <v>8</v>
      </c>
      <c r="G185" s="106" t="s">
        <v>335</v>
      </c>
      <c r="H185" s="106" t="s">
        <v>336</v>
      </c>
      <c r="I185" s="75" t="s">
        <v>72</v>
      </c>
      <c r="J185" s="69"/>
      <c r="K185" s="69"/>
      <c r="L185" s="69"/>
      <c r="M185" s="69"/>
      <c r="N185" s="69"/>
      <c r="O185" s="69"/>
      <c r="P185" s="51" t="s">
        <v>106</v>
      </c>
      <c r="Q185" s="126" t="s">
        <v>544</v>
      </c>
      <c r="R185" s="86"/>
      <c r="S185" s="112" t="s">
        <v>348</v>
      </c>
      <c r="T185" s="83"/>
      <c r="U185" s="83"/>
      <c r="V185" s="106"/>
      <c r="W185" s="45"/>
      <c r="X185" s="83"/>
      <c r="Y185" s="129" t="str">
        <f t="shared" ref="Y185" si="63">D185</f>
        <v>TB_CLASS_INQRY</v>
      </c>
      <c r="Z185" s="50" t="str">
        <f t="shared" ref="Z185" si="64">G185&amp;" "&amp;P185&amp;Q185&amp;IF(ISBLANK(J185),""," PRIMARY KEY")&amp;IF(AND(ISBLANK(J185),I185="Y")," NOT NULL","")&amp;","</f>
        <v>OPEN_YN VARCHAR(1) NOT NULL,</v>
      </c>
      <c r="AA185" s="50" t="str">
        <f t="shared" ref="AA185" si="65">IF(ISBLANK(K185),"","ALTER TABLE " &amp; D185 &amp; " ADD CONSTRAINT " &amp; D185 &amp; "_FKEY" &amp; K185 &amp;  " FOREIGN KEY(" &amp;G185 &amp; ") REFERENCES " &amp; L185 &amp; "(" &amp; M185 &amp; ") "&amp;N185&amp;" "&amp;O185&amp;";")</f>
        <v/>
      </c>
      <c r="AB185" s="50" t="str">
        <f t="shared" ref="AB185" si="66">IF(ISBLANK(T185),"","CREATE SEQUENCE "&amp;T185&amp;" START 100000;")</f>
        <v/>
      </c>
      <c r="AC185" s="50" t="str">
        <f t="shared" si="53"/>
        <v/>
      </c>
      <c r="AD185" s="50" t="str">
        <f t="shared" si="54"/>
        <v>ALTER TABLE TB_CLASS_INQRY ALTER COLUMN OPEN_YN TYPE VARCHAR(1);</v>
      </c>
      <c r="AE185" s="50" t="str">
        <f t="shared" si="55"/>
        <v>ALTER TABLE TB_CLASS_INQRY ADD COLUMN OPEN_YN VARCHAR(1) NOT NULL;</v>
      </c>
      <c r="AF185" s="50" t="str">
        <f t="shared" si="56"/>
        <v>ALTER TABLE TB_CLASS_INQRY DROP COLUMN OPEN_YN;</v>
      </c>
      <c r="AG185" s="50" t="str">
        <f t="shared" si="57"/>
        <v/>
      </c>
      <c r="AH185" s="50" t="str">
        <f t="shared" ref="AH185" si="67">"COMMENT ON COLUMN "&amp;D185&amp;"."&amp;G185&amp;" IS '"&amp;S185&amp;"' ;"</f>
        <v>COMMENT ON COLUMN TB_CLASS_INQRY.OPEN_YN IS '공개 여부' ;</v>
      </c>
    </row>
    <row r="186" spans="1:34" ht="20" customHeight="1">
      <c r="A186" s="55">
        <v>182</v>
      </c>
      <c r="B186" s="26" t="s">
        <v>7</v>
      </c>
      <c r="C186" s="25" t="s">
        <v>11</v>
      </c>
      <c r="D186" s="10" t="s">
        <v>248</v>
      </c>
      <c r="E186" s="12" t="s">
        <v>249</v>
      </c>
      <c r="F186" s="97">
        <v>9</v>
      </c>
      <c r="G186" s="102" t="s">
        <v>107</v>
      </c>
      <c r="H186" s="51" t="s">
        <v>76</v>
      </c>
      <c r="I186" s="75" t="s">
        <v>72</v>
      </c>
      <c r="J186" s="67"/>
      <c r="K186" s="67"/>
      <c r="L186" s="82"/>
      <c r="M186" s="82"/>
      <c r="N186" s="82"/>
      <c r="O186" s="82"/>
      <c r="P186" s="105" t="s">
        <v>543</v>
      </c>
      <c r="Q186" s="126" t="s">
        <v>548</v>
      </c>
      <c r="R186" s="85"/>
      <c r="S186" s="112" t="s">
        <v>219</v>
      </c>
      <c r="T186" s="83"/>
      <c r="U186" s="83"/>
      <c r="V186" s="123" t="s">
        <v>518</v>
      </c>
      <c r="W186" s="45"/>
      <c r="X186" s="83"/>
      <c r="Y186" s="129" t="str">
        <f t="shared" si="48"/>
        <v>TB_CLASS_INQRY</v>
      </c>
      <c r="Z186" s="50" t="str">
        <f t="shared" si="52"/>
        <v>REGISTER_ID VARCHAR(50) NOT NULL,</v>
      </c>
      <c r="AA186" s="50" t="str">
        <f t="shared" si="49"/>
        <v/>
      </c>
      <c r="AB186" s="50" t="str">
        <f t="shared" si="50"/>
        <v/>
      </c>
      <c r="AC186" s="50" t="str">
        <f t="shared" si="53"/>
        <v/>
      </c>
      <c r="AD186" s="50" t="str">
        <f t="shared" si="54"/>
        <v>ALTER TABLE TB_CLASS_INQRY ALTER COLUMN REGISTER_ID TYPE VARCHAR(50);</v>
      </c>
      <c r="AE186" s="50" t="str">
        <f t="shared" si="55"/>
        <v>ALTER TABLE TB_CLASS_INQRY ADD COLUMN REGISTER_ID VARCHAR(50) NOT NULL;</v>
      </c>
      <c r="AF186" s="50" t="str">
        <f t="shared" si="56"/>
        <v>ALTER TABLE TB_CLASS_INQRY DROP COLUMN REGISTER_ID;</v>
      </c>
      <c r="AG186" s="50" t="str">
        <f t="shared" si="57"/>
        <v/>
      </c>
      <c r="AH186" s="50" t="str">
        <f t="shared" si="51"/>
        <v>COMMENT ON COLUMN TB_CLASS_INQRY.REGISTER_ID IS '등록자 ID' ;</v>
      </c>
    </row>
    <row r="187" spans="1:34" ht="20" customHeight="1">
      <c r="A187" s="55">
        <v>183</v>
      </c>
      <c r="B187" s="26" t="s">
        <v>7</v>
      </c>
      <c r="C187" s="25" t="s">
        <v>11</v>
      </c>
      <c r="D187" s="10" t="s">
        <v>248</v>
      </c>
      <c r="E187" s="12" t="s">
        <v>249</v>
      </c>
      <c r="F187" s="97">
        <v>10</v>
      </c>
      <c r="G187" s="102" t="s">
        <v>91</v>
      </c>
      <c r="H187" s="51" t="s">
        <v>77</v>
      </c>
      <c r="I187" s="75" t="s">
        <v>72</v>
      </c>
      <c r="J187" s="52"/>
      <c r="K187" s="52"/>
      <c r="L187" s="52"/>
      <c r="M187" s="52"/>
      <c r="N187" s="52"/>
      <c r="O187" s="52"/>
      <c r="P187" s="56" t="s">
        <v>106</v>
      </c>
      <c r="Q187" s="126" t="s">
        <v>549</v>
      </c>
      <c r="R187" s="85"/>
      <c r="S187" s="112" t="s">
        <v>218</v>
      </c>
      <c r="T187" s="83"/>
      <c r="U187" s="83"/>
      <c r="V187" s="106"/>
      <c r="W187" s="45"/>
      <c r="X187" s="83"/>
      <c r="Y187" s="129" t="str">
        <f t="shared" si="48"/>
        <v>TB_CLASS_INQRY</v>
      </c>
      <c r="Z187" s="50" t="str">
        <f t="shared" si="52"/>
        <v>REGISTER_IP VARCHAR(100) NOT NULL,</v>
      </c>
      <c r="AA187" s="50" t="str">
        <f t="shared" si="49"/>
        <v/>
      </c>
      <c r="AB187" s="50" t="str">
        <f t="shared" si="50"/>
        <v/>
      </c>
      <c r="AC187" s="50" t="str">
        <f t="shared" si="53"/>
        <v/>
      </c>
      <c r="AD187" s="50" t="str">
        <f t="shared" si="54"/>
        <v>ALTER TABLE TB_CLASS_INQRY ALTER COLUMN REGISTER_IP TYPE VARCHAR(100);</v>
      </c>
      <c r="AE187" s="50" t="str">
        <f t="shared" si="55"/>
        <v>ALTER TABLE TB_CLASS_INQRY ADD COLUMN REGISTER_IP VARCHAR(100) NOT NULL;</v>
      </c>
      <c r="AF187" s="50" t="str">
        <f t="shared" si="56"/>
        <v>ALTER TABLE TB_CLASS_INQRY DROP COLUMN REGISTER_IP;</v>
      </c>
      <c r="AG187" s="50" t="str">
        <f t="shared" si="57"/>
        <v/>
      </c>
      <c r="AH187" s="50" t="str">
        <f t="shared" si="51"/>
        <v>COMMENT ON COLUMN TB_CLASS_INQRY.REGISTER_IP IS '등록자 IP' ;</v>
      </c>
    </row>
    <row r="188" spans="1:34" ht="20" customHeight="1">
      <c r="A188" s="55">
        <v>184</v>
      </c>
      <c r="B188" s="26" t="s">
        <v>7</v>
      </c>
      <c r="C188" s="25" t="s">
        <v>11</v>
      </c>
      <c r="D188" s="10" t="s">
        <v>248</v>
      </c>
      <c r="E188" s="12" t="s">
        <v>249</v>
      </c>
      <c r="F188" s="97">
        <v>11</v>
      </c>
      <c r="G188" s="102" t="s">
        <v>92</v>
      </c>
      <c r="H188" s="101" t="s">
        <v>78</v>
      </c>
      <c r="I188" s="75" t="s">
        <v>72</v>
      </c>
      <c r="J188" s="52"/>
      <c r="K188" s="52"/>
      <c r="L188" s="52"/>
      <c r="M188" s="52"/>
      <c r="N188" s="52"/>
      <c r="O188" s="52"/>
      <c r="P188" s="51" t="s">
        <v>732</v>
      </c>
      <c r="Q188" s="126"/>
      <c r="R188" s="85"/>
      <c r="S188" s="112" t="s">
        <v>217</v>
      </c>
      <c r="T188" s="83"/>
      <c r="U188" s="83"/>
      <c r="V188" s="106"/>
      <c r="W188" s="45"/>
      <c r="X188" s="83"/>
      <c r="Y188" s="129" t="str">
        <f t="shared" si="48"/>
        <v>TB_CLASS_INQRY</v>
      </c>
      <c r="Z188" s="50" t="str">
        <f t="shared" si="52"/>
        <v>REG_DT TIMESTAMP NOT NULL,</v>
      </c>
      <c r="AA188" s="50" t="str">
        <f t="shared" si="49"/>
        <v/>
      </c>
      <c r="AB188" s="50" t="str">
        <f t="shared" si="50"/>
        <v/>
      </c>
      <c r="AC188" s="50" t="str">
        <f t="shared" si="53"/>
        <v/>
      </c>
      <c r="AD188" s="50" t="str">
        <f t="shared" si="54"/>
        <v>ALTER TABLE TB_CLASS_INQRY ALTER COLUMN REG_DT TYPE TIMESTAMP;</v>
      </c>
      <c r="AE188" s="50" t="str">
        <f t="shared" si="55"/>
        <v>ALTER TABLE TB_CLASS_INQRY ADD COLUMN REG_DT TIMESTAMP NOT NULL;</v>
      </c>
      <c r="AF188" s="50" t="str">
        <f t="shared" si="56"/>
        <v>ALTER TABLE TB_CLASS_INQRY DROP COLUMN REG_DT;</v>
      </c>
      <c r="AG188" s="50" t="str">
        <f t="shared" si="57"/>
        <v/>
      </c>
      <c r="AH188" s="50" t="str">
        <f t="shared" si="51"/>
        <v>COMMENT ON COLUMN TB_CLASS_INQRY.REG_DT IS '등록 일시' ;</v>
      </c>
    </row>
    <row r="189" spans="1:34" ht="20" customHeight="1">
      <c r="A189" s="55">
        <v>185</v>
      </c>
      <c r="B189" s="26" t="s">
        <v>7</v>
      </c>
      <c r="C189" s="25" t="s">
        <v>11</v>
      </c>
      <c r="D189" s="10" t="s">
        <v>248</v>
      </c>
      <c r="E189" s="12" t="s">
        <v>249</v>
      </c>
      <c r="F189" s="97">
        <v>12</v>
      </c>
      <c r="G189" s="102" t="s">
        <v>93</v>
      </c>
      <c r="H189" s="101" t="s">
        <v>80</v>
      </c>
      <c r="I189" s="52"/>
      <c r="J189" s="52"/>
      <c r="K189" s="52"/>
      <c r="L189" s="84"/>
      <c r="M189" s="84"/>
      <c r="N189" s="84"/>
      <c r="O189" s="84"/>
      <c r="P189" s="105" t="s">
        <v>543</v>
      </c>
      <c r="Q189" s="126" t="s">
        <v>548</v>
      </c>
      <c r="R189" s="85"/>
      <c r="S189" s="112" t="s">
        <v>216</v>
      </c>
      <c r="T189" s="83"/>
      <c r="U189" s="83"/>
      <c r="V189" s="123" t="s">
        <v>518</v>
      </c>
      <c r="W189" s="45"/>
      <c r="X189" s="83"/>
      <c r="Y189" s="129" t="str">
        <f t="shared" si="48"/>
        <v>TB_CLASS_INQRY</v>
      </c>
      <c r="Z189" s="50" t="str">
        <f t="shared" si="52"/>
        <v>UPDUSR_ID VARCHAR(50),</v>
      </c>
      <c r="AA189" s="50" t="str">
        <f t="shared" si="49"/>
        <v/>
      </c>
      <c r="AB189" s="50" t="str">
        <f t="shared" si="50"/>
        <v/>
      </c>
      <c r="AC189" s="50" t="str">
        <f t="shared" si="53"/>
        <v/>
      </c>
      <c r="AD189" s="50" t="str">
        <f t="shared" si="54"/>
        <v>ALTER TABLE TB_CLASS_INQRY ALTER COLUMN UPDUSR_ID TYPE VARCHAR(50);</v>
      </c>
      <c r="AE189" s="50" t="str">
        <f t="shared" si="55"/>
        <v>ALTER TABLE TB_CLASS_INQRY ADD COLUMN UPDUSR_ID VARCHAR(50);</v>
      </c>
      <c r="AF189" s="50" t="str">
        <f t="shared" si="56"/>
        <v>ALTER TABLE TB_CLASS_INQRY DROP COLUMN UPDUSR_ID;</v>
      </c>
      <c r="AG189" s="50" t="str">
        <f t="shared" si="57"/>
        <v/>
      </c>
      <c r="AH189" s="50" t="str">
        <f t="shared" si="51"/>
        <v>COMMENT ON COLUMN TB_CLASS_INQRY.UPDUSR_ID IS '수정자 ID' ;</v>
      </c>
    </row>
    <row r="190" spans="1:34" ht="20" customHeight="1">
      <c r="A190" s="55">
        <v>186</v>
      </c>
      <c r="B190" s="26" t="s">
        <v>7</v>
      </c>
      <c r="C190" s="25" t="s">
        <v>11</v>
      </c>
      <c r="D190" s="10" t="s">
        <v>248</v>
      </c>
      <c r="E190" s="12" t="s">
        <v>249</v>
      </c>
      <c r="F190" s="97">
        <v>13</v>
      </c>
      <c r="G190" s="102" t="s">
        <v>94</v>
      </c>
      <c r="H190" s="101" t="s">
        <v>79</v>
      </c>
      <c r="I190" s="52"/>
      <c r="J190" s="52"/>
      <c r="K190" s="52"/>
      <c r="L190" s="52"/>
      <c r="M190" s="52"/>
      <c r="N190" s="52"/>
      <c r="O190" s="52"/>
      <c r="P190" s="56" t="s">
        <v>106</v>
      </c>
      <c r="Q190" s="126" t="s">
        <v>549</v>
      </c>
      <c r="R190" s="85"/>
      <c r="S190" s="112" t="s">
        <v>215</v>
      </c>
      <c r="T190" s="83"/>
      <c r="U190" s="83"/>
      <c r="V190" s="106"/>
      <c r="W190" s="45"/>
      <c r="X190" s="83"/>
      <c r="Y190" s="129" t="str">
        <f t="shared" si="48"/>
        <v>TB_CLASS_INQRY</v>
      </c>
      <c r="Z190" s="50" t="str">
        <f t="shared" si="52"/>
        <v>UPDUSR_IP VARCHAR(100),</v>
      </c>
      <c r="AA190" s="50" t="str">
        <f t="shared" si="49"/>
        <v/>
      </c>
      <c r="AB190" s="50" t="str">
        <f t="shared" si="50"/>
        <v/>
      </c>
      <c r="AC190" s="50" t="str">
        <f t="shared" si="53"/>
        <v/>
      </c>
      <c r="AD190" s="50" t="str">
        <f t="shared" si="54"/>
        <v>ALTER TABLE TB_CLASS_INQRY ALTER COLUMN UPDUSR_IP TYPE VARCHAR(100);</v>
      </c>
      <c r="AE190" s="50" t="str">
        <f t="shared" si="55"/>
        <v>ALTER TABLE TB_CLASS_INQRY ADD COLUMN UPDUSR_IP VARCHAR(100);</v>
      </c>
      <c r="AF190" s="50" t="str">
        <f t="shared" si="56"/>
        <v>ALTER TABLE TB_CLASS_INQRY DROP COLUMN UPDUSR_IP;</v>
      </c>
      <c r="AG190" s="50" t="str">
        <f t="shared" si="57"/>
        <v/>
      </c>
      <c r="AH190" s="50" t="str">
        <f t="shared" si="51"/>
        <v>COMMENT ON COLUMN TB_CLASS_INQRY.UPDUSR_IP IS '수정자 IP' ;</v>
      </c>
    </row>
    <row r="191" spans="1:34" ht="20" customHeight="1">
      <c r="A191" s="55">
        <v>187</v>
      </c>
      <c r="B191" s="26" t="s">
        <v>7</v>
      </c>
      <c r="C191" s="25" t="s">
        <v>11</v>
      </c>
      <c r="D191" s="10" t="s">
        <v>248</v>
      </c>
      <c r="E191" s="12" t="s">
        <v>249</v>
      </c>
      <c r="F191" s="97">
        <v>14</v>
      </c>
      <c r="G191" s="103" t="s">
        <v>95</v>
      </c>
      <c r="H191" s="102" t="s">
        <v>81</v>
      </c>
      <c r="I191" s="61"/>
      <c r="J191" s="61"/>
      <c r="K191" s="61"/>
      <c r="L191" s="61"/>
      <c r="M191" s="61"/>
      <c r="N191" s="61"/>
      <c r="O191" s="61"/>
      <c r="P191" s="51" t="s">
        <v>732</v>
      </c>
      <c r="Q191" s="126"/>
      <c r="R191" s="82"/>
      <c r="S191" s="112" t="s">
        <v>214</v>
      </c>
      <c r="T191" s="83"/>
      <c r="U191" s="83"/>
      <c r="V191" s="106"/>
      <c r="W191" s="45"/>
      <c r="X191" s="83"/>
      <c r="Y191" s="129" t="str">
        <f t="shared" si="48"/>
        <v>TB_CLASS_INQRY</v>
      </c>
      <c r="Z191" s="50" t="str">
        <f t="shared" si="52"/>
        <v>UPDT_DT TIMESTAMP,</v>
      </c>
      <c r="AA191" s="50" t="str">
        <f t="shared" si="49"/>
        <v/>
      </c>
      <c r="AB191" s="50" t="str">
        <f t="shared" si="50"/>
        <v/>
      </c>
      <c r="AC191" s="50" t="str">
        <f t="shared" si="53"/>
        <v/>
      </c>
      <c r="AD191" s="50" t="str">
        <f t="shared" si="54"/>
        <v>ALTER TABLE TB_CLASS_INQRY ALTER COLUMN UPDT_DT TYPE TIMESTAMP;</v>
      </c>
      <c r="AE191" s="50" t="str">
        <f t="shared" si="55"/>
        <v>ALTER TABLE TB_CLASS_INQRY ADD COLUMN UPDT_DT TIMESTAMP;</v>
      </c>
      <c r="AF191" s="50" t="str">
        <f t="shared" si="56"/>
        <v>ALTER TABLE TB_CLASS_INQRY DROP COLUMN UPDT_DT;</v>
      </c>
      <c r="AG191" s="50" t="str">
        <f t="shared" si="57"/>
        <v/>
      </c>
      <c r="AH191" s="50" t="str">
        <f t="shared" si="51"/>
        <v>COMMENT ON COLUMN TB_CLASS_INQRY.UPDT_DT IS '수정 일시' ;</v>
      </c>
    </row>
    <row r="192" spans="1:34" ht="20" customHeight="1">
      <c r="A192" s="55">
        <v>188</v>
      </c>
      <c r="B192" s="26" t="s">
        <v>7</v>
      </c>
      <c r="C192" s="25" t="s">
        <v>11</v>
      </c>
      <c r="D192" s="10" t="s">
        <v>248</v>
      </c>
      <c r="E192" s="12" t="s">
        <v>249</v>
      </c>
      <c r="F192" s="97">
        <v>15</v>
      </c>
      <c r="G192" s="102" t="s">
        <v>96</v>
      </c>
      <c r="H192" s="102" t="s">
        <v>82</v>
      </c>
      <c r="I192" s="75" t="s">
        <v>72</v>
      </c>
      <c r="J192" s="61"/>
      <c r="K192" s="61"/>
      <c r="L192" s="61"/>
      <c r="M192" s="61"/>
      <c r="N192" s="61"/>
      <c r="O192" s="61"/>
      <c r="P192" s="51" t="s">
        <v>106</v>
      </c>
      <c r="Q192" s="126" t="s">
        <v>544</v>
      </c>
      <c r="R192" s="87" t="s">
        <v>592</v>
      </c>
      <c r="S192" s="112" t="s">
        <v>213</v>
      </c>
      <c r="T192" s="83"/>
      <c r="U192" s="83"/>
      <c r="V192" s="106"/>
      <c r="W192" s="45"/>
      <c r="X192" s="83"/>
      <c r="Y192" s="129" t="str">
        <f t="shared" si="48"/>
        <v>TB_CLASS_INQRY</v>
      </c>
      <c r="Z192" s="50" t="str">
        <f t="shared" si="52"/>
        <v>DEL_YN VARCHAR(1) NOT NULL,</v>
      </c>
      <c r="AA192" s="50" t="str">
        <f t="shared" si="49"/>
        <v/>
      </c>
      <c r="AB192" s="50" t="str">
        <f t="shared" si="50"/>
        <v/>
      </c>
      <c r="AC192" s="50" t="str">
        <f t="shared" si="53"/>
        <v/>
      </c>
      <c r="AD192" s="50" t="str">
        <f t="shared" si="54"/>
        <v>ALTER TABLE TB_CLASS_INQRY ALTER COLUMN DEL_YN TYPE VARCHAR(1);</v>
      </c>
      <c r="AE192" s="50" t="str">
        <f t="shared" si="55"/>
        <v>ALTER TABLE TB_CLASS_INQRY ADD COLUMN DEL_YN VARCHAR(1) NOT NULL DEFAULT ''N'';</v>
      </c>
      <c r="AF192" s="50" t="str">
        <f t="shared" si="56"/>
        <v>ALTER TABLE TB_CLASS_INQRY DROP COLUMN DEL_YN;</v>
      </c>
      <c r="AG192" s="50" t="str">
        <f t="shared" si="57"/>
        <v>ALTER TABLE TB_CLASS_INQRY ALTER COLUMN DEL_YN SET DEFAULT 'N';</v>
      </c>
      <c r="AH192" s="50" t="str">
        <f t="shared" si="51"/>
        <v>COMMENT ON COLUMN TB_CLASS_INQRY.DEL_YN IS '삭제 여부' ;</v>
      </c>
    </row>
    <row r="193" spans="1:34" ht="20" customHeight="1">
      <c r="A193" s="55">
        <v>189</v>
      </c>
      <c r="B193" s="26" t="s">
        <v>7</v>
      </c>
      <c r="C193" s="25" t="s">
        <v>11</v>
      </c>
      <c r="D193" s="13" t="s">
        <v>254</v>
      </c>
      <c r="E193" s="13" t="s">
        <v>255</v>
      </c>
      <c r="F193" s="97">
        <v>1</v>
      </c>
      <c r="G193" s="102" t="s">
        <v>253</v>
      </c>
      <c r="H193" s="102" t="s">
        <v>257</v>
      </c>
      <c r="I193" s="75" t="s">
        <v>191</v>
      </c>
      <c r="J193" s="69">
        <v>1</v>
      </c>
      <c r="K193" s="69"/>
      <c r="L193" s="69"/>
      <c r="M193" s="69"/>
      <c r="N193" s="69"/>
      <c r="O193" s="69"/>
      <c r="P193" s="106" t="s">
        <v>172</v>
      </c>
      <c r="Q193" s="88"/>
      <c r="R193" s="86"/>
      <c r="S193" s="112" t="s">
        <v>256</v>
      </c>
      <c r="T193" s="132" t="str">
        <f>"SEQ_"&amp;D193&amp;"_SN"</f>
        <v>SEQ_TB_LCTRE_SN</v>
      </c>
      <c r="U193" s="132"/>
      <c r="V193" s="106"/>
      <c r="W193" s="45"/>
      <c r="X193" s="83"/>
      <c r="Y193" s="129" t="str">
        <f t="shared" si="48"/>
        <v>TB_LCTRE</v>
      </c>
      <c r="Z193" s="50" t="str">
        <f t="shared" si="52"/>
        <v>LCTRE_SN INTEGER PRIMARY KEY,</v>
      </c>
      <c r="AA193" s="50" t="str">
        <f t="shared" si="49"/>
        <v/>
      </c>
      <c r="AB193" s="50" t="str">
        <f t="shared" si="50"/>
        <v>CREATE SEQUENCE SEQ_TB_LCTRE_SN START 100000;</v>
      </c>
      <c r="AC193" s="50" t="str">
        <f t="shared" si="53"/>
        <v>ALTER TABLE TB_LCTRE ALTER COLUMN LCTRE_SN SET DEFAULT NEXTVAL('SEQ_TB_LCTRE_SN');</v>
      </c>
      <c r="AD193" s="50" t="str">
        <f t="shared" si="54"/>
        <v>ALTER TABLE TB_LCTRE ALTER COLUMN LCTRE_SN TYPE INTEGER;</v>
      </c>
      <c r="AE193" s="50" t="str">
        <f t="shared" si="55"/>
        <v>ALTER TABLE TB_LCTRE ADD COLUMN LCTRE_SN INTEGER NOT NULL;</v>
      </c>
      <c r="AF193" s="50" t="str">
        <f t="shared" si="56"/>
        <v>ALTER TABLE TB_LCTRE DROP COLUMN LCTRE_SN;</v>
      </c>
      <c r="AG193" s="50" t="str">
        <f t="shared" si="57"/>
        <v/>
      </c>
      <c r="AH193" s="50" t="str">
        <f t="shared" si="51"/>
        <v>COMMENT ON COLUMN TB_LCTRE.LCTRE_SN IS '수업 일련번호' ;</v>
      </c>
    </row>
    <row r="194" spans="1:34" ht="20" customHeight="1">
      <c r="A194" s="55">
        <v>190</v>
      </c>
      <c r="B194" s="26" t="s">
        <v>7</v>
      </c>
      <c r="C194" s="25" t="s">
        <v>11</v>
      </c>
      <c r="D194" s="13" t="s">
        <v>254</v>
      </c>
      <c r="E194" s="13" t="s">
        <v>255</v>
      </c>
      <c r="F194" s="97">
        <v>2</v>
      </c>
      <c r="G194" s="106" t="s">
        <v>162</v>
      </c>
      <c r="H194" s="102" t="s">
        <v>187</v>
      </c>
      <c r="I194" s="75" t="s">
        <v>191</v>
      </c>
      <c r="J194" s="69"/>
      <c r="K194" s="69">
        <v>1</v>
      </c>
      <c r="L194" s="13" t="s">
        <v>22</v>
      </c>
      <c r="M194" s="106" t="s">
        <v>162</v>
      </c>
      <c r="N194" s="100" t="s">
        <v>562</v>
      </c>
      <c r="O194" s="100" t="s">
        <v>564</v>
      </c>
      <c r="P194" s="106" t="s">
        <v>172</v>
      </c>
      <c r="Q194" s="88"/>
      <c r="R194" s="86"/>
      <c r="S194" s="112" t="s">
        <v>175</v>
      </c>
      <c r="T194" s="83"/>
      <c r="U194" s="83"/>
      <c r="V194" s="106"/>
      <c r="W194" s="45"/>
      <c r="X194" s="83"/>
      <c r="Y194" s="129" t="str">
        <f t="shared" si="48"/>
        <v>TB_LCTRE</v>
      </c>
      <c r="Z194" s="50" t="str">
        <f t="shared" si="52"/>
        <v>CLASS_SN INTEGER NOT NULL,</v>
      </c>
      <c r="AA194" s="50" t="str">
        <f t="shared" si="49"/>
        <v>ALTER TABLE TB_LCTRE ADD CONSTRAINT TB_LCTRE_FKEY1 FOREIGN KEY(CLASS_SN) REFERENCES TB_CLASS(CLASS_SN) ON UPDATE CASCADE ON DELETE CASCADE;</v>
      </c>
      <c r="AB194" s="50" t="str">
        <f t="shared" si="50"/>
        <v/>
      </c>
      <c r="AC194" s="50" t="str">
        <f t="shared" si="53"/>
        <v/>
      </c>
      <c r="AD194" s="50" t="str">
        <f t="shared" si="54"/>
        <v>ALTER TABLE TB_LCTRE ALTER COLUMN CLASS_SN TYPE INTEGER;</v>
      </c>
      <c r="AE194" s="50" t="str">
        <f t="shared" si="55"/>
        <v>ALTER TABLE TB_LCTRE ADD COLUMN CLASS_SN INTEGER NOT NULL;</v>
      </c>
      <c r="AF194" s="50" t="str">
        <f t="shared" si="56"/>
        <v>ALTER TABLE TB_LCTRE DROP COLUMN CLASS_SN;</v>
      </c>
      <c r="AG194" s="50" t="str">
        <f t="shared" si="57"/>
        <v/>
      </c>
      <c r="AH194" s="50" t="str">
        <f t="shared" si="51"/>
        <v>COMMENT ON COLUMN TB_LCTRE.CLASS_SN IS '클래스 일련번호' ;</v>
      </c>
    </row>
    <row r="195" spans="1:34" ht="20" customHeight="1">
      <c r="A195" s="55">
        <v>191</v>
      </c>
      <c r="B195" s="26" t="s">
        <v>7</v>
      </c>
      <c r="C195" s="25" t="s">
        <v>11</v>
      </c>
      <c r="D195" s="13" t="s">
        <v>254</v>
      </c>
      <c r="E195" s="13" t="s">
        <v>255</v>
      </c>
      <c r="F195" s="97">
        <v>3</v>
      </c>
      <c r="G195" s="106" t="s">
        <v>204</v>
      </c>
      <c r="H195" s="102" t="s">
        <v>205</v>
      </c>
      <c r="I195" s="75" t="s">
        <v>191</v>
      </c>
      <c r="J195" s="69"/>
      <c r="K195" s="69"/>
      <c r="L195" s="13"/>
      <c r="M195" s="106"/>
      <c r="N195" s="100"/>
      <c r="O195" s="100"/>
      <c r="P195" s="106" t="s">
        <v>106</v>
      </c>
      <c r="Q195" s="126" t="s">
        <v>548</v>
      </c>
      <c r="R195" s="86"/>
      <c r="S195" s="112" t="s">
        <v>207</v>
      </c>
      <c r="T195" s="83"/>
      <c r="U195" s="83"/>
      <c r="V195" s="106"/>
      <c r="W195" s="45"/>
      <c r="X195" s="83"/>
      <c r="Y195" s="129" t="str">
        <f t="shared" si="48"/>
        <v>TB_LCTRE</v>
      </c>
      <c r="Z195" s="50" t="str">
        <f t="shared" si="52"/>
        <v>CLASS_DAY_CD VARCHAR(50) NOT NULL,</v>
      </c>
      <c r="AA195" s="50" t="str">
        <f t="shared" si="49"/>
        <v/>
      </c>
      <c r="AB195" s="50" t="str">
        <f t="shared" si="50"/>
        <v/>
      </c>
      <c r="AC195" s="50" t="str">
        <f t="shared" si="53"/>
        <v/>
      </c>
      <c r="AD195" s="50" t="str">
        <f t="shared" si="54"/>
        <v>ALTER TABLE TB_LCTRE ALTER COLUMN CLASS_DAY_CD TYPE VARCHAR(50);</v>
      </c>
      <c r="AE195" s="50" t="str">
        <f t="shared" si="55"/>
        <v>ALTER TABLE TB_LCTRE ADD COLUMN CLASS_DAY_CD VARCHAR(50) NOT NULL;</v>
      </c>
      <c r="AF195" s="50" t="str">
        <f t="shared" si="56"/>
        <v>ALTER TABLE TB_LCTRE DROP COLUMN CLASS_DAY_CD;</v>
      </c>
      <c r="AG195" s="50" t="str">
        <f t="shared" si="57"/>
        <v/>
      </c>
      <c r="AH195" s="50" t="str">
        <f t="shared" si="51"/>
        <v>COMMENT ON COLUMN TB_LCTRE.CLASS_DAY_CD IS '클래스 요일 코드' ;</v>
      </c>
    </row>
    <row r="196" spans="1:34" ht="20" customHeight="1">
      <c r="A196" s="55">
        <v>192</v>
      </c>
      <c r="B196" s="26" t="s">
        <v>7</v>
      </c>
      <c r="C196" s="25" t="s">
        <v>11</v>
      </c>
      <c r="D196" s="13" t="s">
        <v>254</v>
      </c>
      <c r="E196" s="13" t="s">
        <v>255</v>
      </c>
      <c r="F196" s="97">
        <v>4</v>
      </c>
      <c r="G196" s="102" t="s">
        <v>211</v>
      </c>
      <c r="H196" s="102" t="s">
        <v>210</v>
      </c>
      <c r="I196" s="75" t="s">
        <v>191</v>
      </c>
      <c r="J196" s="69"/>
      <c r="K196" s="69"/>
      <c r="L196" s="69"/>
      <c r="M196" s="69"/>
      <c r="N196" s="69"/>
      <c r="O196" s="69"/>
      <c r="P196" s="109" t="s">
        <v>229</v>
      </c>
      <c r="Q196" s="47"/>
      <c r="R196" s="86"/>
      <c r="S196" s="112" t="s">
        <v>220</v>
      </c>
      <c r="T196" s="132"/>
      <c r="U196" s="132"/>
      <c r="V196" s="106"/>
      <c r="W196" s="45"/>
      <c r="X196" s="83"/>
      <c r="Y196" s="129" t="str">
        <f t="shared" si="48"/>
        <v>TB_LCTRE</v>
      </c>
      <c r="Z196" s="50" t="str">
        <f t="shared" si="52"/>
        <v>LCTRE_SEQ INTEGER NOT NULL,</v>
      </c>
      <c r="AA196" s="50" t="str">
        <f t="shared" si="49"/>
        <v/>
      </c>
      <c r="AB196" s="50" t="str">
        <f t="shared" si="50"/>
        <v/>
      </c>
      <c r="AC196" s="50" t="str">
        <f t="shared" si="53"/>
        <v/>
      </c>
      <c r="AD196" s="50" t="str">
        <f t="shared" si="54"/>
        <v>ALTER TABLE TB_LCTRE ALTER COLUMN LCTRE_SEQ TYPE INTEGER;</v>
      </c>
      <c r="AE196" s="50" t="str">
        <f t="shared" si="55"/>
        <v>ALTER TABLE TB_LCTRE ADD COLUMN LCTRE_SEQ INTEGER NOT NULL;</v>
      </c>
      <c r="AF196" s="50" t="str">
        <f t="shared" si="56"/>
        <v>ALTER TABLE TB_LCTRE DROP COLUMN LCTRE_SEQ;</v>
      </c>
      <c r="AG196" s="50" t="str">
        <f t="shared" si="57"/>
        <v/>
      </c>
      <c r="AH196" s="50" t="str">
        <f t="shared" si="51"/>
        <v>COMMENT ON COLUMN TB_LCTRE.LCTRE_SEQ IS '수업 순번' ;</v>
      </c>
    </row>
    <row r="197" spans="1:34" ht="20" customHeight="1">
      <c r="A197" s="55">
        <v>193</v>
      </c>
      <c r="B197" s="26" t="s">
        <v>7</v>
      </c>
      <c r="C197" s="25" t="s">
        <v>11</v>
      </c>
      <c r="D197" s="13" t="s">
        <v>254</v>
      </c>
      <c r="E197" s="13" t="s">
        <v>255</v>
      </c>
      <c r="F197" s="97">
        <v>5</v>
      </c>
      <c r="G197" s="102" t="s">
        <v>643</v>
      </c>
      <c r="H197" s="102" t="s">
        <v>644</v>
      </c>
      <c r="I197" s="75"/>
      <c r="J197" s="69"/>
      <c r="K197" s="69"/>
      <c r="L197" s="69"/>
      <c r="M197" s="69"/>
      <c r="N197" s="69"/>
      <c r="O197" s="69"/>
      <c r="P197" s="64" t="s">
        <v>170</v>
      </c>
      <c r="Q197" s="126" t="s">
        <v>550</v>
      </c>
      <c r="R197" s="86"/>
      <c r="S197" s="112" t="s">
        <v>645</v>
      </c>
      <c r="T197" s="83"/>
      <c r="U197" s="83"/>
      <c r="V197" s="106"/>
      <c r="W197" s="45"/>
      <c r="X197" s="83"/>
      <c r="Y197" s="129" t="str">
        <f t="shared" si="48"/>
        <v>TB_LCTRE</v>
      </c>
      <c r="Z197" s="50" t="str">
        <f t="shared" si="52"/>
        <v>LCTRE_SJ VARCHAR(255),</v>
      </c>
      <c r="AA197" s="50" t="str">
        <f t="shared" si="49"/>
        <v/>
      </c>
      <c r="AB197" s="50" t="str">
        <f t="shared" si="50"/>
        <v/>
      </c>
      <c r="AC197" s="50" t="str">
        <f t="shared" si="53"/>
        <v/>
      </c>
      <c r="AD197" s="50" t="str">
        <f t="shared" si="54"/>
        <v>ALTER TABLE TB_LCTRE ALTER COLUMN LCTRE_SJ TYPE VARCHAR(255);</v>
      </c>
      <c r="AE197" s="50" t="str">
        <f t="shared" si="55"/>
        <v>ALTER TABLE TB_LCTRE ADD COLUMN LCTRE_SJ VARCHAR(255);</v>
      </c>
      <c r="AF197" s="50" t="str">
        <f t="shared" si="56"/>
        <v>ALTER TABLE TB_LCTRE DROP COLUMN LCTRE_SJ;</v>
      </c>
      <c r="AG197" s="50" t="str">
        <f t="shared" si="57"/>
        <v/>
      </c>
      <c r="AH197" s="50" t="str">
        <f t="shared" si="51"/>
        <v>COMMENT ON COLUMN TB_LCTRE.LCTRE_SJ IS '수업 제목' ;</v>
      </c>
    </row>
    <row r="198" spans="1:34" ht="20" customHeight="1">
      <c r="A198" s="55">
        <v>194</v>
      </c>
      <c r="B198" s="26" t="s">
        <v>7</v>
      </c>
      <c r="C198" s="25" t="s">
        <v>11</v>
      </c>
      <c r="D198" s="13" t="s">
        <v>254</v>
      </c>
      <c r="E198" s="13" t="s">
        <v>255</v>
      </c>
      <c r="F198" s="97">
        <v>6</v>
      </c>
      <c r="G198" s="102" t="s">
        <v>212</v>
      </c>
      <c r="H198" s="102" t="s">
        <v>209</v>
      </c>
      <c r="I198" s="75"/>
      <c r="J198" s="69"/>
      <c r="K198" s="69"/>
      <c r="L198" s="69"/>
      <c r="M198" s="69"/>
      <c r="N198" s="69"/>
      <c r="O198" s="69"/>
      <c r="P198" s="64" t="s">
        <v>170</v>
      </c>
      <c r="Q198" s="126" t="s">
        <v>550</v>
      </c>
      <c r="R198" s="86"/>
      <c r="S198" s="112" t="s">
        <v>221</v>
      </c>
      <c r="T198" s="83"/>
      <c r="U198" s="83"/>
      <c r="V198" s="106"/>
      <c r="W198" s="45"/>
      <c r="X198" s="83"/>
      <c r="Y198" s="129" t="str">
        <f t="shared" si="48"/>
        <v>TB_LCTRE</v>
      </c>
      <c r="Z198" s="50" t="str">
        <f t="shared" si="52"/>
        <v>LCTRE_DC VARCHAR(255),</v>
      </c>
      <c r="AA198" s="50" t="str">
        <f t="shared" si="49"/>
        <v/>
      </c>
      <c r="AB198" s="50" t="str">
        <f t="shared" si="50"/>
        <v/>
      </c>
      <c r="AC198" s="50" t="str">
        <f t="shared" si="53"/>
        <v/>
      </c>
      <c r="AD198" s="50" t="str">
        <f t="shared" si="54"/>
        <v>ALTER TABLE TB_LCTRE ALTER COLUMN LCTRE_DC TYPE VARCHAR(255);</v>
      </c>
      <c r="AE198" s="50" t="str">
        <f t="shared" si="55"/>
        <v>ALTER TABLE TB_LCTRE ADD COLUMN LCTRE_DC VARCHAR(255);</v>
      </c>
      <c r="AF198" s="50" t="str">
        <f t="shared" si="56"/>
        <v>ALTER TABLE TB_LCTRE DROP COLUMN LCTRE_DC;</v>
      </c>
      <c r="AG198" s="50" t="str">
        <f t="shared" si="57"/>
        <v/>
      </c>
      <c r="AH198" s="50" t="str">
        <f t="shared" si="51"/>
        <v>COMMENT ON COLUMN TB_LCTRE.LCTRE_DC IS '수업 설명' ;</v>
      </c>
    </row>
    <row r="199" spans="1:34" ht="20" customHeight="1">
      <c r="A199" s="55">
        <v>195</v>
      </c>
      <c r="B199" s="26" t="s">
        <v>7</v>
      </c>
      <c r="C199" s="25" t="s">
        <v>11</v>
      </c>
      <c r="D199" s="13" t="s">
        <v>254</v>
      </c>
      <c r="E199" s="13" t="s">
        <v>255</v>
      </c>
      <c r="F199" s="97">
        <v>7</v>
      </c>
      <c r="G199" s="102" t="s">
        <v>649</v>
      </c>
      <c r="H199" s="102" t="s">
        <v>650</v>
      </c>
      <c r="I199" s="75"/>
      <c r="J199" s="69"/>
      <c r="K199" s="69"/>
      <c r="L199" s="69"/>
      <c r="M199" s="69"/>
      <c r="N199" s="69"/>
      <c r="O199" s="69"/>
      <c r="P199" s="106" t="s">
        <v>171</v>
      </c>
      <c r="Q199" s="126"/>
      <c r="R199" s="86"/>
      <c r="S199" s="112" t="s">
        <v>651</v>
      </c>
      <c r="T199" s="83"/>
      <c r="U199" s="83"/>
      <c r="V199" s="106" t="s">
        <v>652</v>
      </c>
      <c r="W199" s="45"/>
      <c r="X199" s="83"/>
      <c r="Y199" s="129" t="str">
        <f t="shared" ref="Y199" si="68">D199</f>
        <v>TB_LCTRE</v>
      </c>
      <c r="Z199" s="50" t="str">
        <f t="shared" ref="Z199" si="69">G199&amp;" "&amp;P199&amp;Q199&amp;IF(ISBLANK(J199),""," PRIMARY KEY")&amp;IF(AND(ISBLANK(J199),I199="Y")," NOT NULL","")&amp;","</f>
        <v>LCTRE_APPLCNT_GUIDANCE TEXT,</v>
      </c>
      <c r="AA199" s="50" t="str">
        <f t="shared" ref="AA199" si="70">IF(ISBLANK(K199),"","ALTER TABLE " &amp; D199 &amp; " ADD CONSTRAINT " &amp; D199 &amp; "_FKEY" &amp; K199 &amp;  " FOREIGN KEY(" &amp;G199 &amp; ") REFERENCES " &amp; L199 &amp; "(" &amp; M199 &amp; ") "&amp;N199&amp;" "&amp;O199&amp;";")</f>
        <v/>
      </c>
      <c r="AB199" s="50" t="str">
        <f t="shared" ref="AB199" si="71">IF(ISBLANK(T199),"","CREATE SEQUENCE "&amp;T199&amp;" START 100000;")</f>
        <v/>
      </c>
      <c r="AC199" s="50" t="str">
        <f t="shared" si="53"/>
        <v/>
      </c>
      <c r="AD199" s="50" t="str">
        <f t="shared" si="54"/>
        <v>ALTER TABLE TB_LCTRE ALTER COLUMN LCTRE_APPLCNT_GUIDANCE TYPE TEXT;</v>
      </c>
      <c r="AE199" s="50" t="str">
        <f t="shared" si="55"/>
        <v>ALTER TABLE TB_LCTRE ADD COLUMN LCTRE_APPLCNT_GUIDANCE TEXT;</v>
      </c>
      <c r="AF199" s="50" t="str">
        <f t="shared" si="56"/>
        <v>ALTER TABLE TB_LCTRE DROP COLUMN LCTRE_APPLCNT_GUIDANCE;</v>
      </c>
      <c r="AG199" s="50" t="str">
        <f t="shared" si="57"/>
        <v/>
      </c>
      <c r="AH199" s="50" t="str">
        <f t="shared" ref="AH199" si="72">"COMMENT ON COLUMN "&amp;D199&amp;"."&amp;G199&amp;" IS '"&amp;S199&amp;"' ;"</f>
        <v>COMMENT ON COLUMN TB_LCTRE.LCTRE_APPLCNT_GUIDANCE IS '수업 신청자 안내' ;</v>
      </c>
    </row>
    <row r="200" spans="1:34" ht="20" customHeight="1">
      <c r="A200" s="55">
        <v>196</v>
      </c>
      <c r="B200" s="26" t="s">
        <v>7</v>
      </c>
      <c r="C200" s="25" t="s">
        <v>11</v>
      </c>
      <c r="D200" s="13" t="s">
        <v>254</v>
      </c>
      <c r="E200" s="13" t="s">
        <v>255</v>
      </c>
      <c r="F200" s="97">
        <v>8</v>
      </c>
      <c r="G200" s="108" t="s">
        <v>202</v>
      </c>
      <c r="H200" s="102" t="s">
        <v>203</v>
      </c>
      <c r="I200" s="75" t="s">
        <v>191</v>
      </c>
      <c r="J200" s="69"/>
      <c r="K200" s="69"/>
      <c r="L200" s="69"/>
      <c r="M200" s="69"/>
      <c r="N200" s="69"/>
      <c r="O200" s="69"/>
      <c r="P200" s="51" t="s">
        <v>106</v>
      </c>
      <c r="Q200" s="126" t="s">
        <v>544</v>
      </c>
      <c r="R200" s="86"/>
      <c r="S200" s="112" t="s">
        <v>242</v>
      </c>
      <c r="T200" s="83"/>
      <c r="U200" s="83"/>
      <c r="V200" s="106"/>
      <c r="W200" s="45"/>
      <c r="X200" s="83"/>
      <c r="Y200" s="129" t="str">
        <f t="shared" si="48"/>
        <v>TB_LCTRE</v>
      </c>
      <c r="Z200" s="50" t="str">
        <f t="shared" si="52"/>
        <v>RCRIT_NMPR_SET_YN VARCHAR(1) NOT NULL,</v>
      </c>
      <c r="AA200" s="50" t="str">
        <f t="shared" si="49"/>
        <v/>
      </c>
      <c r="AB200" s="50" t="str">
        <f t="shared" si="50"/>
        <v/>
      </c>
      <c r="AC200" s="50" t="str">
        <f t="shared" si="53"/>
        <v/>
      </c>
      <c r="AD200" s="50" t="str">
        <f t="shared" si="54"/>
        <v>ALTER TABLE TB_LCTRE ALTER COLUMN RCRIT_NMPR_SET_YN TYPE VARCHAR(1);</v>
      </c>
      <c r="AE200" s="50" t="str">
        <f t="shared" si="55"/>
        <v>ALTER TABLE TB_LCTRE ADD COLUMN RCRIT_NMPR_SET_YN VARCHAR(1) NOT NULL;</v>
      </c>
      <c r="AF200" s="50" t="str">
        <f t="shared" si="56"/>
        <v>ALTER TABLE TB_LCTRE DROP COLUMN RCRIT_NMPR_SET_YN;</v>
      </c>
      <c r="AG200" s="50" t="str">
        <f t="shared" si="57"/>
        <v/>
      </c>
      <c r="AH200" s="50" t="str">
        <f t="shared" si="51"/>
        <v>COMMENT ON COLUMN TB_LCTRE.RCRIT_NMPR_SET_YN IS '모집 인원 설정 여부' ;</v>
      </c>
    </row>
    <row r="201" spans="1:34" ht="20" customHeight="1">
      <c r="A201" s="55">
        <v>197</v>
      </c>
      <c r="B201" s="26" t="s">
        <v>7</v>
      </c>
      <c r="C201" s="25" t="s">
        <v>11</v>
      </c>
      <c r="D201" s="13" t="s">
        <v>254</v>
      </c>
      <c r="E201" s="13" t="s">
        <v>255</v>
      </c>
      <c r="F201" s="97">
        <v>9</v>
      </c>
      <c r="G201" s="108" t="s">
        <v>236</v>
      </c>
      <c r="H201" s="102" t="s">
        <v>237</v>
      </c>
      <c r="I201" s="75"/>
      <c r="J201" s="69"/>
      <c r="K201" s="69"/>
      <c r="L201" s="69"/>
      <c r="M201" s="69"/>
      <c r="N201" s="69"/>
      <c r="O201" s="69"/>
      <c r="P201" s="109" t="s">
        <v>229</v>
      </c>
      <c r="Q201" s="47"/>
      <c r="R201" s="86"/>
      <c r="S201" s="112" t="s">
        <v>243</v>
      </c>
      <c r="T201" s="83"/>
      <c r="U201" s="83"/>
      <c r="V201" s="106"/>
      <c r="W201" s="45"/>
      <c r="X201" s="83"/>
      <c r="Y201" s="129" t="str">
        <f t="shared" si="48"/>
        <v>TB_LCTRE</v>
      </c>
      <c r="Z201" s="50" t="str">
        <f t="shared" si="52"/>
        <v>RCRIT_NMPR_CO INTEGER,</v>
      </c>
      <c r="AA201" s="50" t="str">
        <f t="shared" si="49"/>
        <v/>
      </c>
      <c r="AB201" s="50" t="str">
        <f t="shared" si="50"/>
        <v/>
      </c>
      <c r="AC201" s="50" t="str">
        <f t="shared" si="53"/>
        <v/>
      </c>
      <c r="AD201" s="50" t="str">
        <f t="shared" si="54"/>
        <v>ALTER TABLE TB_LCTRE ALTER COLUMN RCRIT_NMPR_CO TYPE INTEGER;</v>
      </c>
      <c r="AE201" s="50" t="str">
        <f t="shared" si="55"/>
        <v>ALTER TABLE TB_LCTRE ADD COLUMN RCRIT_NMPR_CO INTEGER;</v>
      </c>
      <c r="AF201" s="50" t="str">
        <f t="shared" si="56"/>
        <v>ALTER TABLE TB_LCTRE DROP COLUMN RCRIT_NMPR_CO;</v>
      </c>
      <c r="AG201" s="50" t="str">
        <f t="shared" si="57"/>
        <v/>
      </c>
      <c r="AH201" s="50" t="str">
        <f t="shared" si="51"/>
        <v>COMMENT ON COLUMN TB_LCTRE.RCRIT_NMPR_CO IS '모집 인원 수' ;</v>
      </c>
    </row>
    <row r="202" spans="1:34" ht="20" customHeight="1">
      <c r="A202" s="55">
        <v>198</v>
      </c>
      <c r="B202" s="26" t="s">
        <v>7</v>
      </c>
      <c r="C202" s="25" t="s">
        <v>11</v>
      </c>
      <c r="D202" s="13" t="s">
        <v>254</v>
      </c>
      <c r="E202" s="13" t="s">
        <v>255</v>
      </c>
      <c r="F202" s="97">
        <v>10</v>
      </c>
      <c r="G202" s="102" t="s">
        <v>239</v>
      </c>
      <c r="H202" s="102" t="s">
        <v>238</v>
      </c>
      <c r="I202" s="75" t="s">
        <v>191</v>
      </c>
      <c r="J202" s="69"/>
      <c r="K202" s="69"/>
      <c r="L202" s="69"/>
      <c r="M202" s="69"/>
      <c r="N202" s="69"/>
      <c r="O202" s="69"/>
      <c r="P202" s="51" t="s">
        <v>106</v>
      </c>
      <c r="Q202" s="126" t="s">
        <v>544</v>
      </c>
      <c r="R202" s="86"/>
      <c r="S202" s="112" t="s">
        <v>244</v>
      </c>
      <c r="T202" s="83"/>
      <c r="U202" s="83"/>
      <c r="V202" s="106"/>
      <c r="W202" s="45"/>
      <c r="X202" s="83"/>
      <c r="Y202" s="129" t="str">
        <f t="shared" si="48"/>
        <v>TB_LCTRE</v>
      </c>
      <c r="Z202" s="50" t="str">
        <f t="shared" si="52"/>
        <v>PREPAR_RCRIT_NMPR_SET_YN VARCHAR(1) NOT NULL,</v>
      </c>
      <c r="AA202" s="50" t="str">
        <f t="shared" si="49"/>
        <v/>
      </c>
      <c r="AB202" s="50" t="str">
        <f t="shared" si="50"/>
        <v/>
      </c>
      <c r="AC202" s="50" t="str">
        <f t="shared" si="53"/>
        <v/>
      </c>
      <c r="AD202" s="50" t="str">
        <f t="shared" si="54"/>
        <v>ALTER TABLE TB_LCTRE ALTER COLUMN PREPAR_RCRIT_NMPR_SET_YN TYPE VARCHAR(1);</v>
      </c>
      <c r="AE202" s="50" t="str">
        <f t="shared" si="55"/>
        <v>ALTER TABLE TB_LCTRE ADD COLUMN PREPAR_RCRIT_NMPR_SET_YN VARCHAR(1) NOT NULL;</v>
      </c>
      <c r="AF202" s="50" t="str">
        <f t="shared" si="56"/>
        <v>ALTER TABLE TB_LCTRE DROP COLUMN PREPAR_RCRIT_NMPR_SET_YN;</v>
      </c>
      <c r="AG202" s="50" t="str">
        <f t="shared" si="57"/>
        <v/>
      </c>
      <c r="AH202" s="50" t="str">
        <f t="shared" si="51"/>
        <v>COMMENT ON COLUMN TB_LCTRE.PREPAR_RCRIT_NMPR_SET_YN IS '예비 모집 인원 설정 여부' ;</v>
      </c>
    </row>
    <row r="203" spans="1:34" ht="20" customHeight="1">
      <c r="A203" s="55">
        <v>199</v>
      </c>
      <c r="B203" s="26" t="s">
        <v>7</v>
      </c>
      <c r="C203" s="25" t="s">
        <v>11</v>
      </c>
      <c r="D203" s="13" t="s">
        <v>254</v>
      </c>
      <c r="E203" s="13" t="s">
        <v>255</v>
      </c>
      <c r="F203" s="97">
        <v>11</v>
      </c>
      <c r="G203" s="102" t="s">
        <v>240</v>
      </c>
      <c r="H203" s="102" t="s">
        <v>241</v>
      </c>
      <c r="I203" s="75"/>
      <c r="J203" s="69"/>
      <c r="K203" s="69"/>
      <c r="L203" s="69"/>
      <c r="M203" s="69"/>
      <c r="N203" s="69"/>
      <c r="O203" s="69"/>
      <c r="P203" s="109" t="s">
        <v>229</v>
      </c>
      <c r="Q203" s="47"/>
      <c r="R203" s="86"/>
      <c r="S203" s="112" t="s">
        <v>245</v>
      </c>
      <c r="T203" s="83"/>
      <c r="U203" s="83"/>
      <c r="V203" s="106"/>
      <c r="W203" s="45"/>
      <c r="X203" s="83"/>
      <c r="Y203" s="129" t="str">
        <f t="shared" si="48"/>
        <v>TB_LCTRE</v>
      </c>
      <c r="Z203" s="50" t="str">
        <f t="shared" si="52"/>
        <v>PREPAR_RCRIT_NMPR_CO INTEGER,</v>
      </c>
      <c r="AA203" s="50" t="str">
        <f t="shared" si="49"/>
        <v/>
      </c>
      <c r="AB203" s="50" t="str">
        <f t="shared" si="50"/>
        <v/>
      </c>
      <c r="AC203" s="50" t="str">
        <f t="shared" si="53"/>
        <v/>
      </c>
      <c r="AD203" s="50" t="str">
        <f t="shared" si="54"/>
        <v>ALTER TABLE TB_LCTRE ALTER COLUMN PREPAR_RCRIT_NMPR_CO TYPE INTEGER;</v>
      </c>
      <c r="AE203" s="50" t="str">
        <f t="shared" si="55"/>
        <v>ALTER TABLE TB_LCTRE ADD COLUMN PREPAR_RCRIT_NMPR_CO INTEGER;</v>
      </c>
      <c r="AF203" s="50" t="str">
        <f t="shared" si="56"/>
        <v>ALTER TABLE TB_LCTRE DROP COLUMN PREPAR_RCRIT_NMPR_CO;</v>
      </c>
      <c r="AG203" s="50" t="str">
        <f t="shared" si="57"/>
        <v/>
      </c>
      <c r="AH203" s="50" t="str">
        <f t="shared" si="51"/>
        <v>COMMENT ON COLUMN TB_LCTRE.PREPAR_RCRIT_NMPR_CO IS '예비 모집 인원 수' ;</v>
      </c>
    </row>
    <row r="204" spans="1:34" ht="20" customHeight="1">
      <c r="A204" s="55">
        <v>200</v>
      </c>
      <c r="B204" s="26" t="s">
        <v>7</v>
      </c>
      <c r="C204" s="25" t="s">
        <v>11</v>
      </c>
      <c r="D204" s="13" t="s">
        <v>254</v>
      </c>
      <c r="E204" s="13" t="s">
        <v>255</v>
      </c>
      <c r="F204" s="97">
        <v>12</v>
      </c>
      <c r="G204" s="102" t="s">
        <v>107</v>
      </c>
      <c r="H204" s="51" t="s">
        <v>76</v>
      </c>
      <c r="I204" s="75" t="s">
        <v>72</v>
      </c>
      <c r="J204" s="67"/>
      <c r="K204" s="67"/>
      <c r="L204" s="82"/>
      <c r="M204" s="82"/>
      <c r="N204" s="82"/>
      <c r="O204" s="82"/>
      <c r="P204" s="105" t="s">
        <v>543</v>
      </c>
      <c r="Q204" s="126" t="s">
        <v>548</v>
      </c>
      <c r="R204" s="85"/>
      <c r="S204" s="112" t="s">
        <v>219</v>
      </c>
      <c r="T204" s="83"/>
      <c r="U204" s="83"/>
      <c r="V204" s="123" t="s">
        <v>518</v>
      </c>
      <c r="W204" s="45"/>
      <c r="X204" s="83"/>
      <c r="Y204" s="129" t="str">
        <f t="shared" si="48"/>
        <v>TB_LCTRE</v>
      </c>
      <c r="Z204" s="50" t="str">
        <f t="shared" si="52"/>
        <v>REGISTER_ID VARCHAR(50) NOT NULL,</v>
      </c>
      <c r="AA204" s="50" t="str">
        <f t="shared" si="49"/>
        <v/>
      </c>
      <c r="AB204" s="50" t="str">
        <f t="shared" si="50"/>
        <v/>
      </c>
      <c r="AC204" s="50" t="str">
        <f t="shared" si="53"/>
        <v/>
      </c>
      <c r="AD204" s="50" t="str">
        <f t="shared" si="54"/>
        <v>ALTER TABLE TB_LCTRE ALTER COLUMN REGISTER_ID TYPE VARCHAR(50);</v>
      </c>
      <c r="AE204" s="50" t="str">
        <f t="shared" si="55"/>
        <v>ALTER TABLE TB_LCTRE ADD COLUMN REGISTER_ID VARCHAR(50) NOT NULL;</v>
      </c>
      <c r="AF204" s="50" t="str">
        <f t="shared" si="56"/>
        <v>ALTER TABLE TB_LCTRE DROP COLUMN REGISTER_ID;</v>
      </c>
      <c r="AG204" s="50" t="str">
        <f t="shared" si="57"/>
        <v/>
      </c>
      <c r="AH204" s="50" t="str">
        <f t="shared" si="51"/>
        <v>COMMENT ON COLUMN TB_LCTRE.REGISTER_ID IS '등록자 ID' ;</v>
      </c>
    </row>
    <row r="205" spans="1:34" ht="20" customHeight="1">
      <c r="A205" s="55">
        <v>201</v>
      </c>
      <c r="B205" s="26" t="s">
        <v>7</v>
      </c>
      <c r="C205" s="25" t="s">
        <v>11</v>
      </c>
      <c r="D205" s="13" t="s">
        <v>254</v>
      </c>
      <c r="E205" s="13" t="s">
        <v>255</v>
      </c>
      <c r="F205" s="97">
        <v>13</v>
      </c>
      <c r="G205" s="102" t="s">
        <v>91</v>
      </c>
      <c r="H205" s="51" t="s">
        <v>77</v>
      </c>
      <c r="I205" s="75" t="s">
        <v>72</v>
      </c>
      <c r="J205" s="52"/>
      <c r="K205" s="52"/>
      <c r="L205" s="52"/>
      <c r="M205" s="52"/>
      <c r="N205" s="52"/>
      <c r="O205" s="52"/>
      <c r="P205" s="56" t="s">
        <v>106</v>
      </c>
      <c r="Q205" s="126" t="s">
        <v>549</v>
      </c>
      <c r="R205" s="85"/>
      <c r="S205" s="112" t="s">
        <v>218</v>
      </c>
      <c r="T205" s="83"/>
      <c r="U205" s="83"/>
      <c r="V205" s="106"/>
      <c r="W205" s="45"/>
      <c r="X205" s="83"/>
      <c r="Y205" s="129" t="str">
        <f t="shared" si="48"/>
        <v>TB_LCTRE</v>
      </c>
      <c r="Z205" s="50" t="str">
        <f t="shared" si="52"/>
        <v>REGISTER_IP VARCHAR(100) NOT NULL,</v>
      </c>
      <c r="AA205" s="50" t="str">
        <f t="shared" si="49"/>
        <v/>
      </c>
      <c r="AB205" s="50" t="str">
        <f t="shared" si="50"/>
        <v/>
      </c>
      <c r="AC205" s="50" t="str">
        <f t="shared" si="53"/>
        <v/>
      </c>
      <c r="AD205" s="50" t="str">
        <f t="shared" si="54"/>
        <v>ALTER TABLE TB_LCTRE ALTER COLUMN REGISTER_IP TYPE VARCHAR(100);</v>
      </c>
      <c r="AE205" s="50" t="str">
        <f t="shared" si="55"/>
        <v>ALTER TABLE TB_LCTRE ADD COLUMN REGISTER_IP VARCHAR(100) NOT NULL;</v>
      </c>
      <c r="AF205" s="50" t="str">
        <f t="shared" si="56"/>
        <v>ALTER TABLE TB_LCTRE DROP COLUMN REGISTER_IP;</v>
      </c>
      <c r="AG205" s="50" t="str">
        <f t="shared" si="57"/>
        <v/>
      </c>
      <c r="AH205" s="50" t="str">
        <f t="shared" si="51"/>
        <v>COMMENT ON COLUMN TB_LCTRE.REGISTER_IP IS '등록자 IP' ;</v>
      </c>
    </row>
    <row r="206" spans="1:34" ht="20" customHeight="1">
      <c r="A206" s="55">
        <v>202</v>
      </c>
      <c r="B206" s="26" t="s">
        <v>7</v>
      </c>
      <c r="C206" s="25" t="s">
        <v>11</v>
      </c>
      <c r="D206" s="13" t="s">
        <v>254</v>
      </c>
      <c r="E206" s="13" t="s">
        <v>255</v>
      </c>
      <c r="F206" s="97">
        <v>14</v>
      </c>
      <c r="G206" s="102" t="s">
        <v>92</v>
      </c>
      <c r="H206" s="101" t="s">
        <v>78</v>
      </c>
      <c r="I206" s="75" t="s">
        <v>72</v>
      </c>
      <c r="J206" s="52"/>
      <c r="K206" s="52"/>
      <c r="L206" s="52"/>
      <c r="M206" s="52"/>
      <c r="N206" s="52"/>
      <c r="O206" s="52"/>
      <c r="P206" s="51" t="s">
        <v>732</v>
      </c>
      <c r="Q206" s="127"/>
      <c r="R206" s="85"/>
      <c r="S206" s="112" t="s">
        <v>217</v>
      </c>
      <c r="T206" s="83"/>
      <c r="U206" s="83"/>
      <c r="V206" s="106"/>
      <c r="W206" s="45"/>
      <c r="X206" s="83"/>
      <c r="Y206" s="129" t="str">
        <f t="shared" si="48"/>
        <v>TB_LCTRE</v>
      </c>
      <c r="Z206" s="50" t="str">
        <f t="shared" si="52"/>
        <v>REG_DT TIMESTAMP NOT NULL,</v>
      </c>
      <c r="AA206" s="50" t="str">
        <f t="shared" si="49"/>
        <v/>
      </c>
      <c r="AB206" s="50" t="str">
        <f t="shared" si="50"/>
        <v/>
      </c>
      <c r="AC206" s="50" t="str">
        <f t="shared" si="53"/>
        <v/>
      </c>
      <c r="AD206" s="50" t="str">
        <f t="shared" si="54"/>
        <v>ALTER TABLE TB_LCTRE ALTER COLUMN REG_DT TYPE TIMESTAMP;</v>
      </c>
      <c r="AE206" s="50" t="str">
        <f t="shared" si="55"/>
        <v>ALTER TABLE TB_LCTRE ADD COLUMN REG_DT TIMESTAMP NOT NULL;</v>
      </c>
      <c r="AF206" s="50" t="str">
        <f t="shared" si="56"/>
        <v>ALTER TABLE TB_LCTRE DROP COLUMN REG_DT;</v>
      </c>
      <c r="AG206" s="50" t="str">
        <f t="shared" si="57"/>
        <v/>
      </c>
      <c r="AH206" s="50" t="str">
        <f t="shared" si="51"/>
        <v>COMMENT ON COLUMN TB_LCTRE.REG_DT IS '등록 일시' ;</v>
      </c>
    </row>
    <row r="207" spans="1:34" ht="20" customHeight="1">
      <c r="A207" s="55">
        <v>203</v>
      </c>
      <c r="B207" s="26" t="s">
        <v>7</v>
      </c>
      <c r="C207" s="25" t="s">
        <v>11</v>
      </c>
      <c r="D207" s="13" t="s">
        <v>254</v>
      </c>
      <c r="E207" s="13" t="s">
        <v>255</v>
      </c>
      <c r="F207" s="97">
        <v>15</v>
      </c>
      <c r="G207" s="102" t="s">
        <v>93</v>
      </c>
      <c r="H207" s="101" t="s">
        <v>80</v>
      </c>
      <c r="I207" s="52"/>
      <c r="J207" s="52"/>
      <c r="K207" s="52"/>
      <c r="L207" s="84"/>
      <c r="M207" s="84"/>
      <c r="N207" s="84"/>
      <c r="O207" s="84"/>
      <c r="P207" s="105" t="s">
        <v>543</v>
      </c>
      <c r="Q207" s="126" t="s">
        <v>548</v>
      </c>
      <c r="R207" s="85"/>
      <c r="S207" s="112" t="s">
        <v>216</v>
      </c>
      <c r="T207" s="83"/>
      <c r="U207" s="83"/>
      <c r="V207" s="123" t="s">
        <v>518</v>
      </c>
      <c r="W207" s="45"/>
      <c r="X207" s="83"/>
      <c r="Y207" s="129" t="str">
        <f t="shared" si="48"/>
        <v>TB_LCTRE</v>
      </c>
      <c r="Z207" s="50" t="str">
        <f t="shared" si="52"/>
        <v>UPDUSR_ID VARCHAR(50),</v>
      </c>
      <c r="AA207" s="50" t="str">
        <f t="shared" si="49"/>
        <v/>
      </c>
      <c r="AB207" s="50" t="str">
        <f t="shared" si="50"/>
        <v/>
      </c>
      <c r="AC207" s="50" t="str">
        <f t="shared" si="53"/>
        <v/>
      </c>
      <c r="AD207" s="50" t="str">
        <f t="shared" si="54"/>
        <v>ALTER TABLE TB_LCTRE ALTER COLUMN UPDUSR_ID TYPE VARCHAR(50);</v>
      </c>
      <c r="AE207" s="50" t="str">
        <f t="shared" si="55"/>
        <v>ALTER TABLE TB_LCTRE ADD COLUMN UPDUSR_ID VARCHAR(50);</v>
      </c>
      <c r="AF207" s="50" t="str">
        <f t="shared" si="56"/>
        <v>ALTER TABLE TB_LCTRE DROP COLUMN UPDUSR_ID;</v>
      </c>
      <c r="AG207" s="50" t="str">
        <f t="shared" si="57"/>
        <v/>
      </c>
      <c r="AH207" s="50" t="str">
        <f t="shared" si="51"/>
        <v>COMMENT ON COLUMN TB_LCTRE.UPDUSR_ID IS '수정자 ID' ;</v>
      </c>
    </row>
    <row r="208" spans="1:34" ht="20" customHeight="1">
      <c r="A208" s="55">
        <v>204</v>
      </c>
      <c r="B208" s="26" t="s">
        <v>7</v>
      </c>
      <c r="C208" s="25" t="s">
        <v>11</v>
      </c>
      <c r="D208" s="13" t="s">
        <v>254</v>
      </c>
      <c r="E208" s="13" t="s">
        <v>255</v>
      </c>
      <c r="F208" s="97">
        <v>16</v>
      </c>
      <c r="G208" s="102" t="s">
        <v>94</v>
      </c>
      <c r="H208" s="101" t="s">
        <v>79</v>
      </c>
      <c r="I208" s="52"/>
      <c r="J208" s="52"/>
      <c r="K208" s="52"/>
      <c r="L208" s="52"/>
      <c r="M208" s="52"/>
      <c r="N208" s="52"/>
      <c r="O208" s="52"/>
      <c r="P208" s="56" t="s">
        <v>106</v>
      </c>
      <c r="Q208" s="126" t="s">
        <v>549</v>
      </c>
      <c r="R208" s="85"/>
      <c r="S208" s="112" t="s">
        <v>215</v>
      </c>
      <c r="T208" s="83"/>
      <c r="U208" s="83"/>
      <c r="V208" s="106"/>
      <c r="W208" s="45"/>
      <c r="X208" s="83"/>
      <c r="Y208" s="129" t="str">
        <f t="shared" si="48"/>
        <v>TB_LCTRE</v>
      </c>
      <c r="Z208" s="50" t="str">
        <f t="shared" si="52"/>
        <v>UPDUSR_IP VARCHAR(100),</v>
      </c>
      <c r="AA208" s="50" t="str">
        <f t="shared" si="49"/>
        <v/>
      </c>
      <c r="AB208" s="50" t="str">
        <f t="shared" si="50"/>
        <v/>
      </c>
      <c r="AC208" s="50" t="str">
        <f t="shared" si="53"/>
        <v/>
      </c>
      <c r="AD208" s="50" t="str">
        <f t="shared" si="54"/>
        <v>ALTER TABLE TB_LCTRE ALTER COLUMN UPDUSR_IP TYPE VARCHAR(100);</v>
      </c>
      <c r="AE208" s="50" t="str">
        <f t="shared" si="55"/>
        <v>ALTER TABLE TB_LCTRE ADD COLUMN UPDUSR_IP VARCHAR(100);</v>
      </c>
      <c r="AF208" s="50" t="str">
        <f t="shared" si="56"/>
        <v>ALTER TABLE TB_LCTRE DROP COLUMN UPDUSR_IP;</v>
      </c>
      <c r="AG208" s="50" t="str">
        <f t="shared" si="57"/>
        <v/>
      </c>
      <c r="AH208" s="50" t="str">
        <f t="shared" si="51"/>
        <v>COMMENT ON COLUMN TB_LCTRE.UPDUSR_IP IS '수정자 IP' ;</v>
      </c>
    </row>
    <row r="209" spans="1:34" ht="20" customHeight="1">
      <c r="A209" s="55">
        <v>205</v>
      </c>
      <c r="B209" s="26" t="s">
        <v>7</v>
      </c>
      <c r="C209" s="25" t="s">
        <v>11</v>
      </c>
      <c r="D209" s="13" t="s">
        <v>254</v>
      </c>
      <c r="E209" s="13" t="s">
        <v>255</v>
      </c>
      <c r="F209" s="97">
        <v>17</v>
      </c>
      <c r="G209" s="103" t="s">
        <v>95</v>
      </c>
      <c r="H209" s="102" t="s">
        <v>81</v>
      </c>
      <c r="I209" s="61"/>
      <c r="J209" s="61"/>
      <c r="K209" s="61"/>
      <c r="L209" s="61"/>
      <c r="M209" s="61"/>
      <c r="N209" s="61"/>
      <c r="O209" s="61"/>
      <c r="P209" s="51" t="s">
        <v>732</v>
      </c>
      <c r="Q209" s="127"/>
      <c r="R209" s="82"/>
      <c r="S209" s="112" t="s">
        <v>214</v>
      </c>
      <c r="T209" s="83"/>
      <c r="U209" s="83"/>
      <c r="V209" s="106"/>
      <c r="W209" s="45"/>
      <c r="X209" s="83"/>
      <c r="Y209" s="129" t="str">
        <f t="shared" si="48"/>
        <v>TB_LCTRE</v>
      </c>
      <c r="Z209" s="50" t="str">
        <f t="shared" si="52"/>
        <v>UPDT_DT TIMESTAMP,</v>
      </c>
      <c r="AA209" s="50" t="str">
        <f t="shared" si="49"/>
        <v/>
      </c>
      <c r="AB209" s="50" t="str">
        <f t="shared" si="50"/>
        <v/>
      </c>
      <c r="AC209" s="50" t="str">
        <f t="shared" si="53"/>
        <v/>
      </c>
      <c r="AD209" s="50" t="str">
        <f t="shared" si="54"/>
        <v>ALTER TABLE TB_LCTRE ALTER COLUMN UPDT_DT TYPE TIMESTAMP;</v>
      </c>
      <c r="AE209" s="50" t="str">
        <f t="shared" si="55"/>
        <v>ALTER TABLE TB_LCTRE ADD COLUMN UPDT_DT TIMESTAMP;</v>
      </c>
      <c r="AF209" s="50" t="str">
        <f t="shared" si="56"/>
        <v>ALTER TABLE TB_LCTRE DROP COLUMN UPDT_DT;</v>
      </c>
      <c r="AG209" s="50" t="str">
        <f t="shared" si="57"/>
        <v/>
      </c>
      <c r="AH209" s="50" t="str">
        <f t="shared" si="51"/>
        <v>COMMENT ON COLUMN TB_LCTRE.UPDT_DT IS '수정 일시' ;</v>
      </c>
    </row>
    <row r="210" spans="1:34" ht="20" customHeight="1">
      <c r="A210" s="55">
        <v>206</v>
      </c>
      <c r="B210" s="26" t="s">
        <v>7</v>
      </c>
      <c r="C210" s="25" t="s">
        <v>11</v>
      </c>
      <c r="D210" s="13" t="s">
        <v>254</v>
      </c>
      <c r="E210" s="13" t="s">
        <v>255</v>
      </c>
      <c r="F210" s="97">
        <v>18</v>
      </c>
      <c r="G210" s="102" t="s">
        <v>96</v>
      </c>
      <c r="H210" s="102" t="s">
        <v>82</v>
      </c>
      <c r="I210" s="75" t="s">
        <v>72</v>
      </c>
      <c r="J210" s="61"/>
      <c r="K210" s="61"/>
      <c r="L210" s="61"/>
      <c r="M210" s="61"/>
      <c r="N210" s="61"/>
      <c r="O210" s="61"/>
      <c r="P210" s="51" t="s">
        <v>106</v>
      </c>
      <c r="Q210" s="126" t="s">
        <v>544</v>
      </c>
      <c r="R210" s="87" t="s">
        <v>592</v>
      </c>
      <c r="S210" s="112" t="s">
        <v>213</v>
      </c>
      <c r="T210" s="83"/>
      <c r="U210" s="83"/>
      <c r="V210" s="106"/>
      <c r="W210" s="45"/>
      <c r="X210" s="83"/>
      <c r="Y210" s="129" t="str">
        <f t="shared" si="48"/>
        <v>TB_LCTRE</v>
      </c>
      <c r="Z210" s="50" t="str">
        <f t="shared" si="52"/>
        <v>DEL_YN VARCHAR(1) NOT NULL,</v>
      </c>
      <c r="AA210" s="50" t="str">
        <f t="shared" si="49"/>
        <v/>
      </c>
      <c r="AB210" s="50" t="str">
        <f t="shared" si="50"/>
        <v/>
      </c>
      <c r="AC210" s="50" t="str">
        <f t="shared" si="53"/>
        <v/>
      </c>
      <c r="AD210" s="50" t="str">
        <f t="shared" si="54"/>
        <v>ALTER TABLE TB_LCTRE ALTER COLUMN DEL_YN TYPE VARCHAR(1);</v>
      </c>
      <c r="AE210" s="50" t="str">
        <f t="shared" si="55"/>
        <v>ALTER TABLE TB_LCTRE ADD COLUMN DEL_YN VARCHAR(1) NOT NULL DEFAULT ''N'';</v>
      </c>
      <c r="AF210" s="50" t="str">
        <f t="shared" si="56"/>
        <v>ALTER TABLE TB_LCTRE DROP COLUMN DEL_YN;</v>
      </c>
      <c r="AG210" s="50" t="str">
        <f t="shared" si="57"/>
        <v>ALTER TABLE TB_LCTRE ALTER COLUMN DEL_YN SET DEFAULT 'N';</v>
      </c>
      <c r="AH210" s="50" t="str">
        <f t="shared" si="51"/>
        <v>COMMENT ON COLUMN TB_LCTRE.DEL_YN IS '삭제 여부' ;</v>
      </c>
    </row>
    <row r="211" spans="1:34" ht="20" customHeight="1">
      <c r="A211" s="55">
        <v>207</v>
      </c>
      <c r="B211" s="26" t="s">
        <v>7</v>
      </c>
      <c r="C211" s="25" t="s">
        <v>11</v>
      </c>
      <c r="D211" s="10" t="s">
        <v>258</v>
      </c>
      <c r="E211" s="10" t="s">
        <v>247</v>
      </c>
      <c r="F211" s="97">
        <v>1</v>
      </c>
      <c r="G211" s="106" t="s">
        <v>273</v>
      </c>
      <c r="H211" s="106" t="s">
        <v>272</v>
      </c>
      <c r="I211" s="75" t="s">
        <v>72</v>
      </c>
      <c r="J211" s="45">
        <v>1</v>
      </c>
      <c r="K211" s="45"/>
      <c r="L211" s="45"/>
      <c r="M211" s="45"/>
      <c r="N211" s="45"/>
      <c r="O211" s="45"/>
      <c r="P211" s="106" t="s">
        <v>172</v>
      </c>
      <c r="Q211" s="97"/>
      <c r="R211" s="45"/>
      <c r="S211" s="106" t="s">
        <v>326</v>
      </c>
      <c r="T211" s="132" t="str">
        <f>"SEQ_"&amp;D211&amp;"_SN"</f>
        <v>SEQ_TB_LCTRE_REQST_SN</v>
      </c>
      <c r="U211" s="132"/>
      <c r="V211" s="106"/>
      <c r="W211" s="45"/>
      <c r="X211" s="83"/>
      <c r="Y211" s="129" t="str">
        <f t="shared" si="48"/>
        <v>TB_LCTRE_REQST</v>
      </c>
      <c r="Z211" s="50" t="str">
        <f t="shared" si="52"/>
        <v>LCTRE_REQST_SN INTEGER PRIMARY KEY,</v>
      </c>
      <c r="AA211" s="50" t="str">
        <f t="shared" si="49"/>
        <v/>
      </c>
      <c r="AB211" s="50" t="str">
        <f t="shared" si="50"/>
        <v>CREATE SEQUENCE SEQ_TB_LCTRE_REQST_SN START 100000;</v>
      </c>
      <c r="AC211" s="50" t="str">
        <f t="shared" si="53"/>
        <v>ALTER TABLE TB_LCTRE_REQST ALTER COLUMN LCTRE_REQST_SN SET DEFAULT NEXTVAL('SEQ_TB_LCTRE_REQST_SN');</v>
      </c>
      <c r="AD211" s="50" t="str">
        <f t="shared" si="54"/>
        <v>ALTER TABLE TB_LCTRE_REQST ALTER COLUMN LCTRE_REQST_SN TYPE INTEGER;</v>
      </c>
      <c r="AE211" s="50" t="str">
        <f t="shared" si="55"/>
        <v>ALTER TABLE TB_LCTRE_REQST ADD COLUMN LCTRE_REQST_SN INTEGER NOT NULL;</v>
      </c>
      <c r="AF211" s="50" t="str">
        <f t="shared" si="56"/>
        <v>ALTER TABLE TB_LCTRE_REQST DROP COLUMN LCTRE_REQST_SN;</v>
      </c>
      <c r="AG211" s="50" t="str">
        <f t="shared" si="57"/>
        <v/>
      </c>
      <c r="AH211" s="50" t="str">
        <f t="shared" si="51"/>
        <v>COMMENT ON COLUMN TB_LCTRE_REQST.LCTRE_REQST_SN IS '수업 신청 일련번호' ;</v>
      </c>
    </row>
    <row r="212" spans="1:34" ht="20" customHeight="1">
      <c r="A212" s="55">
        <v>208</v>
      </c>
      <c r="B212" s="26" t="s">
        <v>7</v>
      </c>
      <c r="C212" s="25" t="s">
        <v>11</v>
      </c>
      <c r="D212" s="10" t="s">
        <v>258</v>
      </c>
      <c r="E212" s="10" t="s">
        <v>247</v>
      </c>
      <c r="F212" s="97">
        <v>2</v>
      </c>
      <c r="G212" s="102" t="s">
        <v>253</v>
      </c>
      <c r="H212" s="102" t="s">
        <v>257</v>
      </c>
      <c r="I212" s="75" t="s">
        <v>191</v>
      </c>
      <c r="J212" s="69"/>
      <c r="K212" s="69">
        <v>1</v>
      </c>
      <c r="L212" s="13" t="s">
        <v>254</v>
      </c>
      <c r="M212" s="102" t="s">
        <v>253</v>
      </c>
      <c r="N212" s="100" t="s">
        <v>562</v>
      </c>
      <c r="O212" s="100" t="s">
        <v>564</v>
      </c>
      <c r="P212" s="106" t="s">
        <v>172</v>
      </c>
      <c r="Q212" s="88"/>
      <c r="R212" s="86"/>
      <c r="S212" s="112" t="s">
        <v>256</v>
      </c>
      <c r="T212" s="83"/>
      <c r="U212" s="83"/>
      <c r="V212" s="106"/>
      <c r="W212" s="45"/>
      <c r="X212" s="83"/>
      <c r="Y212" s="129" t="str">
        <f t="shared" si="48"/>
        <v>TB_LCTRE_REQST</v>
      </c>
      <c r="Z212" s="50" t="str">
        <f t="shared" si="52"/>
        <v>LCTRE_SN INTEGER NOT NULL,</v>
      </c>
      <c r="AA212" s="50" t="str">
        <f t="shared" si="49"/>
        <v>ALTER TABLE TB_LCTRE_REQST ADD CONSTRAINT TB_LCTRE_REQST_FKEY1 FOREIGN KEY(LCTRE_SN) REFERENCES TB_LCTRE(LCTRE_SN) ON UPDATE CASCADE ON DELETE CASCADE;</v>
      </c>
      <c r="AB212" s="50" t="str">
        <f t="shared" si="50"/>
        <v/>
      </c>
      <c r="AC212" s="50" t="str">
        <f t="shared" si="53"/>
        <v/>
      </c>
      <c r="AD212" s="50" t="str">
        <f t="shared" si="54"/>
        <v>ALTER TABLE TB_LCTRE_REQST ALTER COLUMN LCTRE_SN TYPE INTEGER;</v>
      </c>
      <c r="AE212" s="50" t="str">
        <f t="shared" si="55"/>
        <v>ALTER TABLE TB_LCTRE_REQST ADD COLUMN LCTRE_SN INTEGER NOT NULL;</v>
      </c>
      <c r="AF212" s="50" t="str">
        <f t="shared" si="56"/>
        <v>ALTER TABLE TB_LCTRE_REQST DROP COLUMN LCTRE_SN;</v>
      </c>
      <c r="AG212" s="50" t="str">
        <f t="shared" si="57"/>
        <v/>
      </c>
      <c r="AH212" s="50" t="str">
        <f t="shared" si="51"/>
        <v>COMMENT ON COLUMN TB_LCTRE_REQST.LCTRE_SN IS '수업 일련번호' ;</v>
      </c>
    </row>
    <row r="213" spans="1:34" ht="20" customHeight="1">
      <c r="A213" s="55">
        <v>209</v>
      </c>
      <c r="B213" s="26" t="s">
        <v>7</v>
      </c>
      <c r="C213" s="25" t="s">
        <v>11</v>
      </c>
      <c r="D213" s="10" t="s">
        <v>258</v>
      </c>
      <c r="E213" s="10" t="s">
        <v>247</v>
      </c>
      <c r="F213" s="97">
        <v>3</v>
      </c>
      <c r="G213" s="100" t="s">
        <v>744</v>
      </c>
      <c r="H213" s="100" t="s">
        <v>745</v>
      </c>
      <c r="I213" s="75" t="s">
        <v>191</v>
      </c>
      <c r="J213" s="45"/>
      <c r="K213" s="45">
        <v>2</v>
      </c>
      <c r="L213" s="83" t="s">
        <v>9</v>
      </c>
      <c r="M213" s="100" t="s">
        <v>744</v>
      </c>
      <c r="N213" s="100" t="s">
        <v>562</v>
      </c>
      <c r="O213" s="100" t="s">
        <v>564</v>
      </c>
      <c r="P213" s="105" t="s">
        <v>172</v>
      </c>
      <c r="Q213" s="126"/>
      <c r="R213" s="45"/>
      <c r="S213" s="112" t="s">
        <v>109</v>
      </c>
      <c r="T213" s="83"/>
      <c r="U213" s="83"/>
      <c r="V213" s="123"/>
      <c r="W213" s="45"/>
      <c r="X213" s="83"/>
      <c r="Y213" s="129" t="str">
        <f t="shared" si="48"/>
        <v>TB_LCTRE_REQST</v>
      </c>
      <c r="Z213" s="50" t="str">
        <f t="shared" si="52"/>
        <v>USER_SN INTEGER NOT NULL,</v>
      </c>
      <c r="AA213" s="50" t="str">
        <f t="shared" si="49"/>
        <v>ALTER TABLE TB_LCTRE_REQST ADD CONSTRAINT TB_LCTRE_REQST_FKEY2 FOREIGN KEY(USER_SN) REFERENCES TB_USER(USER_SN) ON UPDATE CASCADE ON DELETE CASCADE;</v>
      </c>
      <c r="AB213" s="50" t="str">
        <f t="shared" si="50"/>
        <v/>
      </c>
      <c r="AC213" s="50" t="str">
        <f t="shared" si="53"/>
        <v/>
      </c>
      <c r="AD213" s="50" t="str">
        <f t="shared" si="54"/>
        <v>ALTER TABLE TB_LCTRE_REQST ALTER COLUMN USER_SN TYPE INTEGER;</v>
      </c>
      <c r="AE213" s="50" t="str">
        <f t="shared" si="55"/>
        <v>ALTER TABLE TB_LCTRE_REQST ADD COLUMN USER_SN INTEGER NOT NULL;</v>
      </c>
      <c r="AF213" s="50" t="str">
        <f t="shared" si="56"/>
        <v>ALTER TABLE TB_LCTRE_REQST DROP COLUMN USER_SN;</v>
      </c>
      <c r="AG213" s="50" t="str">
        <f t="shared" si="57"/>
        <v/>
      </c>
      <c r="AH213" s="50" t="str">
        <f t="shared" si="51"/>
        <v>COMMENT ON COLUMN TB_LCTRE_REQST.USER_SN IS '사용자 일련번호' ;</v>
      </c>
    </row>
    <row r="214" spans="1:34" ht="20" customHeight="1">
      <c r="A214" s="55">
        <v>210</v>
      </c>
      <c r="B214" s="26" t="s">
        <v>7</v>
      </c>
      <c r="C214" s="25" t="s">
        <v>11</v>
      </c>
      <c r="D214" s="10" t="s">
        <v>258</v>
      </c>
      <c r="E214" s="10" t="s">
        <v>247</v>
      </c>
      <c r="F214" s="97">
        <v>4</v>
      </c>
      <c r="G214" s="103" t="s">
        <v>121</v>
      </c>
      <c r="H214" s="102" t="s">
        <v>120</v>
      </c>
      <c r="I214" s="75"/>
      <c r="J214" s="61"/>
      <c r="K214" s="61">
        <v>3</v>
      </c>
      <c r="L214" s="12" t="s">
        <v>114</v>
      </c>
      <c r="M214" s="103" t="s">
        <v>121</v>
      </c>
      <c r="N214" s="100" t="s">
        <v>562</v>
      </c>
      <c r="O214" s="100" t="s">
        <v>564</v>
      </c>
      <c r="P214" s="105" t="s">
        <v>172</v>
      </c>
      <c r="Q214" s="47"/>
      <c r="R214" s="82"/>
      <c r="S214" s="112" t="s">
        <v>268</v>
      </c>
      <c r="T214" s="83"/>
      <c r="U214" s="83"/>
      <c r="V214" s="106"/>
      <c r="W214" s="45"/>
      <c r="X214" s="83"/>
      <c r="Y214" s="129" t="str">
        <f t="shared" si="48"/>
        <v>TB_LCTRE_REQST</v>
      </c>
      <c r="Z214" s="50" t="str">
        <f t="shared" si="52"/>
        <v>CHLDRN_SN INTEGER,</v>
      </c>
      <c r="AA214" s="50" t="str">
        <f t="shared" si="49"/>
        <v>ALTER TABLE TB_LCTRE_REQST ADD CONSTRAINT TB_LCTRE_REQST_FKEY3 FOREIGN KEY(CHLDRN_SN) REFERENCES TB_USER_CHLDRN(CHLDRN_SN) ON UPDATE CASCADE ON DELETE CASCADE;</v>
      </c>
      <c r="AB214" s="50" t="str">
        <f t="shared" si="50"/>
        <v/>
      </c>
      <c r="AC214" s="50" t="str">
        <f t="shared" si="53"/>
        <v/>
      </c>
      <c r="AD214" s="50" t="str">
        <f t="shared" si="54"/>
        <v>ALTER TABLE TB_LCTRE_REQST ALTER COLUMN CHLDRN_SN TYPE INTEGER;</v>
      </c>
      <c r="AE214" s="50" t="str">
        <f t="shared" si="55"/>
        <v>ALTER TABLE TB_LCTRE_REQST ADD COLUMN CHLDRN_SN INTEGER;</v>
      </c>
      <c r="AF214" s="50" t="str">
        <f t="shared" si="56"/>
        <v>ALTER TABLE TB_LCTRE_REQST DROP COLUMN CHLDRN_SN;</v>
      </c>
      <c r="AG214" s="50" t="str">
        <f t="shared" si="57"/>
        <v/>
      </c>
      <c r="AH214" s="50" t="str">
        <f t="shared" si="51"/>
        <v>COMMENT ON COLUMN TB_LCTRE_REQST.CHLDRN_SN IS '자녀 일련번호' ;</v>
      </c>
    </row>
    <row r="215" spans="1:34" ht="20" customHeight="1">
      <c r="A215" s="55">
        <v>211</v>
      </c>
      <c r="B215" s="26" t="s">
        <v>7</v>
      </c>
      <c r="C215" s="25" t="s">
        <v>11</v>
      </c>
      <c r="D215" s="10" t="s">
        <v>258</v>
      </c>
      <c r="E215" s="10" t="s">
        <v>247</v>
      </c>
      <c r="F215" s="97">
        <v>5</v>
      </c>
      <c r="G215" s="102" t="s">
        <v>107</v>
      </c>
      <c r="H215" s="51" t="s">
        <v>76</v>
      </c>
      <c r="I215" s="75" t="s">
        <v>72</v>
      </c>
      <c r="J215" s="67"/>
      <c r="K215" s="67"/>
      <c r="L215" s="82"/>
      <c r="M215" s="82"/>
      <c r="N215" s="82"/>
      <c r="O215" s="82"/>
      <c r="P215" s="105" t="s">
        <v>543</v>
      </c>
      <c r="Q215" s="126" t="s">
        <v>548</v>
      </c>
      <c r="R215" s="85"/>
      <c r="S215" s="112" t="s">
        <v>219</v>
      </c>
      <c r="T215" s="83"/>
      <c r="U215" s="83"/>
      <c r="V215" s="123" t="s">
        <v>518</v>
      </c>
      <c r="W215" s="45"/>
      <c r="X215" s="83"/>
      <c r="Y215" s="129" t="str">
        <f t="shared" si="48"/>
        <v>TB_LCTRE_REQST</v>
      </c>
      <c r="Z215" s="50" t="str">
        <f t="shared" si="52"/>
        <v>REGISTER_ID VARCHAR(50) NOT NULL,</v>
      </c>
      <c r="AA215" s="50" t="str">
        <f t="shared" si="49"/>
        <v/>
      </c>
      <c r="AB215" s="50" t="str">
        <f t="shared" si="50"/>
        <v/>
      </c>
      <c r="AC215" s="50" t="str">
        <f t="shared" si="53"/>
        <v/>
      </c>
      <c r="AD215" s="50" t="str">
        <f t="shared" si="54"/>
        <v>ALTER TABLE TB_LCTRE_REQST ALTER COLUMN REGISTER_ID TYPE VARCHAR(50);</v>
      </c>
      <c r="AE215" s="50" t="str">
        <f t="shared" si="55"/>
        <v>ALTER TABLE TB_LCTRE_REQST ADD COLUMN REGISTER_ID VARCHAR(50) NOT NULL;</v>
      </c>
      <c r="AF215" s="50" t="str">
        <f t="shared" si="56"/>
        <v>ALTER TABLE TB_LCTRE_REQST DROP COLUMN REGISTER_ID;</v>
      </c>
      <c r="AG215" s="50" t="str">
        <f t="shared" si="57"/>
        <v/>
      </c>
      <c r="AH215" s="50" t="str">
        <f t="shared" si="51"/>
        <v>COMMENT ON COLUMN TB_LCTRE_REQST.REGISTER_ID IS '등록자 ID' ;</v>
      </c>
    </row>
    <row r="216" spans="1:34" ht="20" customHeight="1">
      <c r="A216" s="55">
        <v>212</v>
      </c>
      <c r="B216" s="26" t="s">
        <v>7</v>
      </c>
      <c r="C216" s="25" t="s">
        <v>11</v>
      </c>
      <c r="D216" s="10" t="s">
        <v>258</v>
      </c>
      <c r="E216" s="10" t="s">
        <v>247</v>
      </c>
      <c r="F216" s="97">
        <v>6</v>
      </c>
      <c r="G216" s="102" t="s">
        <v>91</v>
      </c>
      <c r="H216" s="51" t="s">
        <v>77</v>
      </c>
      <c r="I216" s="75" t="s">
        <v>72</v>
      </c>
      <c r="J216" s="52"/>
      <c r="K216" s="52"/>
      <c r="L216" s="52"/>
      <c r="M216" s="52"/>
      <c r="N216" s="52"/>
      <c r="O216" s="52"/>
      <c r="P216" s="56" t="s">
        <v>106</v>
      </c>
      <c r="Q216" s="126" t="s">
        <v>549</v>
      </c>
      <c r="R216" s="85"/>
      <c r="S216" s="112" t="s">
        <v>218</v>
      </c>
      <c r="T216" s="83"/>
      <c r="U216" s="83"/>
      <c r="V216" s="106"/>
      <c r="W216" s="45"/>
      <c r="X216" s="83"/>
      <c r="Y216" s="129" t="str">
        <f t="shared" si="48"/>
        <v>TB_LCTRE_REQST</v>
      </c>
      <c r="Z216" s="50" t="str">
        <f t="shared" si="52"/>
        <v>REGISTER_IP VARCHAR(100) NOT NULL,</v>
      </c>
      <c r="AA216" s="50" t="str">
        <f t="shared" si="49"/>
        <v/>
      </c>
      <c r="AB216" s="50" t="str">
        <f t="shared" si="50"/>
        <v/>
      </c>
      <c r="AC216" s="50" t="str">
        <f t="shared" si="53"/>
        <v/>
      </c>
      <c r="AD216" s="50" t="str">
        <f t="shared" si="54"/>
        <v>ALTER TABLE TB_LCTRE_REQST ALTER COLUMN REGISTER_IP TYPE VARCHAR(100);</v>
      </c>
      <c r="AE216" s="50" t="str">
        <f t="shared" si="55"/>
        <v>ALTER TABLE TB_LCTRE_REQST ADD COLUMN REGISTER_IP VARCHAR(100) NOT NULL;</v>
      </c>
      <c r="AF216" s="50" t="str">
        <f t="shared" si="56"/>
        <v>ALTER TABLE TB_LCTRE_REQST DROP COLUMN REGISTER_IP;</v>
      </c>
      <c r="AG216" s="50" t="str">
        <f t="shared" si="57"/>
        <v/>
      </c>
      <c r="AH216" s="50" t="str">
        <f t="shared" si="51"/>
        <v>COMMENT ON COLUMN TB_LCTRE_REQST.REGISTER_IP IS '등록자 IP' ;</v>
      </c>
    </row>
    <row r="217" spans="1:34" ht="20" customHeight="1">
      <c r="A217" s="55">
        <v>213</v>
      </c>
      <c r="B217" s="26" t="s">
        <v>7</v>
      </c>
      <c r="C217" s="25" t="s">
        <v>11</v>
      </c>
      <c r="D217" s="10" t="s">
        <v>258</v>
      </c>
      <c r="E217" s="10" t="s">
        <v>247</v>
      </c>
      <c r="F217" s="97">
        <v>7</v>
      </c>
      <c r="G217" s="102" t="s">
        <v>92</v>
      </c>
      <c r="H217" s="101" t="s">
        <v>78</v>
      </c>
      <c r="I217" s="75" t="s">
        <v>72</v>
      </c>
      <c r="J217" s="52"/>
      <c r="K217" s="52"/>
      <c r="L217" s="52"/>
      <c r="M217" s="52"/>
      <c r="N217" s="52"/>
      <c r="O217" s="52"/>
      <c r="P217" s="51" t="s">
        <v>732</v>
      </c>
      <c r="Q217" s="126"/>
      <c r="R217" s="85"/>
      <c r="S217" s="112" t="s">
        <v>217</v>
      </c>
      <c r="T217" s="83"/>
      <c r="U217" s="83"/>
      <c r="V217" s="106"/>
      <c r="W217" s="45"/>
      <c r="X217" s="83"/>
      <c r="Y217" s="129" t="str">
        <f t="shared" si="48"/>
        <v>TB_LCTRE_REQST</v>
      </c>
      <c r="Z217" s="50" t="str">
        <f t="shared" si="52"/>
        <v>REG_DT TIMESTAMP NOT NULL,</v>
      </c>
      <c r="AA217" s="50" t="str">
        <f t="shared" si="49"/>
        <v/>
      </c>
      <c r="AB217" s="50" t="str">
        <f t="shared" si="50"/>
        <v/>
      </c>
      <c r="AC217" s="50" t="str">
        <f t="shared" si="53"/>
        <v/>
      </c>
      <c r="AD217" s="50" t="str">
        <f t="shared" si="54"/>
        <v>ALTER TABLE TB_LCTRE_REQST ALTER COLUMN REG_DT TYPE TIMESTAMP;</v>
      </c>
      <c r="AE217" s="50" t="str">
        <f t="shared" si="55"/>
        <v>ALTER TABLE TB_LCTRE_REQST ADD COLUMN REG_DT TIMESTAMP NOT NULL;</v>
      </c>
      <c r="AF217" s="50" t="str">
        <f t="shared" si="56"/>
        <v>ALTER TABLE TB_LCTRE_REQST DROP COLUMN REG_DT;</v>
      </c>
      <c r="AG217" s="50" t="str">
        <f t="shared" si="57"/>
        <v/>
      </c>
      <c r="AH217" s="50" t="str">
        <f t="shared" si="51"/>
        <v>COMMENT ON COLUMN TB_LCTRE_REQST.REG_DT IS '등록 일시' ;</v>
      </c>
    </row>
    <row r="218" spans="1:34" ht="20" customHeight="1">
      <c r="A218" s="55">
        <v>214</v>
      </c>
      <c r="B218" s="26" t="s">
        <v>7</v>
      </c>
      <c r="C218" s="25" t="s">
        <v>11</v>
      </c>
      <c r="D218" s="10" t="s">
        <v>258</v>
      </c>
      <c r="E218" s="10" t="s">
        <v>247</v>
      </c>
      <c r="F218" s="97">
        <v>8</v>
      </c>
      <c r="G218" s="102" t="s">
        <v>93</v>
      </c>
      <c r="H218" s="101" t="s">
        <v>80</v>
      </c>
      <c r="I218" s="52"/>
      <c r="J218" s="52"/>
      <c r="K218" s="52"/>
      <c r="L218" s="84"/>
      <c r="M218" s="84"/>
      <c r="N218" s="84"/>
      <c r="O218" s="84"/>
      <c r="P218" s="105" t="s">
        <v>543</v>
      </c>
      <c r="Q218" s="126" t="s">
        <v>548</v>
      </c>
      <c r="R218" s="85"/>
      <c r="S218" s="112" t="s">
        <v>216</v>
      </c>
      <c r="T218" s="83"/>
      <c r="U218" s="83"/>
      <c r="V218" s="123" t="s">
        <v>518</v>
      </c>
      <c r="W218" s="45"/>
      <c r="X218" s="83"/>
      <c r="Y218" s="129" t="str">
        <f t="shared" si="48"/>
        <v>TB_LCTRE_REQST</v>
      </c>
      <c r="Z218" s="50" t="str">
        <f t="shared" si="52"/>
        <v>UPDUSR_ID VARCHAR(50),</v>
      </c>
      <c r="AA218" s="50" t="str">
        <f t="shared" si="49"/>
        <v/>
      </c>
      <c r="AB218" s="50" t="str">
        <f t="shared" si="50"/>
        <v/>
      </c>
      <c r="AC218" s="50" t="str">
        <f t="shared" si="53"/>
        <v/>
      </c>
      <c r="AD218" s="50" t="str">
        <f t="shared" si="54"/>
        <v>ALTER TABLE TB_LCTRE_REQST ALTER COLUMN UPDUSR_ID TYPE VARCHAR(50);</v>
      </c>
      <c r="AE218" s="50" t="str">
        <f t="shared" si="55"/>
        <v>ALTER TABLE TB_LCTRE_REQST ADD COLUMN UPDUSR_ID VARCHAR(50);</v>
      </c>
      <c r="AF218" s="50" t="str">
        <f t="shared" si="56"/>
        <v>ALTER TABLE TB_LCTRE_REQST DROP COLUMN UPDUSR_ID;</v>
      </c>
      <c r="AG218" s="50" t="str">
        <f t="shared" si="57"/>
        <v/>
      </c>
      <c r="AH218" s="50" t="str">
        <f t="shared" si="51"/>
        <v>COMMENT ON COLUMN TB_LCTRE_REQST.UPDUSR_ID IS '수정자 ID' ;</v>
      </c>
    </row>
    <row r="219" spans="1:34" ht="20" customHeight="1">
      <c r="A219" s="55">
        <v>215</v>
      </c>
      <c r="B219" s="26" t="s">
        <v>7</v>
      </c>
      <c r="C219" s="25" t="s">
        <v>11</v>
      </c>
      <c r="D219" s="10" t="s">
        <v>258</v>
      </c>
      <c r="E219" s="10" t="s">
        <v>247</v>
      </c>
      <c r="F219" s="97">
        <v>9</v>
      </c>
      <c r="G219" s="102" t="s">
        <v>94</v>
      </c>
      <c r="H219" s="101" t="s">
        <v>79</v>
      </c>
      <c r="I219" s="52"/>
      <c r="J219" s="52"/>
      <c r="K219" s="52"/>
      <c r="L219" s="52"/>
      <c r="M219" s="52"/>
      <c r="N219" s="52"/>
      <c r="O219" s="52"/>
      <c r="P219" s="56" t="s">
        <v>106</v>
      </c>
      <c r="Q219" s="126" t="s">
        <v>549</v>
      </c>
      <c r="R219" s="85"/>
      <c r="S219" s="112" t="s">
        <v>215</v>
      </c>
      <c r="T219" s="83"/>
      <c r="U219" s="83"/>
      <c r="V219" s="106"/>
      <c r="W219" s="45"/>
      <c r="X219" s="83"/>
      <c r="Y219" s="129" t="str">
        <f t="shared" si="48"/>
        <v>TB_LCTRE_REQST</v>
      </c>
      <c r="Z219" s="50" t="str">
        <f t="shared" si="52"/>
        <v>UPDUSR_IP VARCHAR(100),</v>
      </c>
      <c r="AA219" s="50" t="str">
        <f t="shared" si="49"/>
        <v/>
      </c>
      <c r="AB219" s="50" t="str">
        <f t="shared" si="50"/>
        <v/>
      </c>
      <c r="AC219" s="50" t="str">
        <f t="shared" ref="AC219:AC274" si="73">IF(ISBLANK(T219),"","ALTER TABLE "&amp;D219&amp;" ALTER COLUMN "&amp;G219&amp;" SET DEFAULT NEXTVAL('"&amp;T219&amp;"');")</f>
        <v/>
      </c>
      <c r="AD219" s="50" t="str">
        <f t="shared" ref="AD219:AD282" si="74">"ALTER TABLE "&amp;$D219&amp;" ALTER COLUMN "&amp;$G219&amp;" TYPE "&amp;$P219&amp;IF(ISBLANK(Q219),"",Q219)&amp;";"</f>
        <v>ALTER TABLE TB_LCTRE_REQST ALTER COLUMN UPDUSR_IP TYPE VARCHAR(100);</v>
      </c>
      <c r="AE219" s="50" t="str">
        <f t="shared" ref="AE219:AE282" si="75">"ALTER TABLE "&amp;$D219&amp;" ADD COLUMN "&amp;$G219&amp;" "&amp;$P219&amp;IF(ISBLANK(Q219),"",$Q219)&amp;IF(ISBLANK($I219),""," NOT NULL")&amp;IF(ISBLANK($R219),""," DEFAULT '" &amp; $R219 &amp; "'") &amp; ";"</f>
        <v>ALTER TABLE TB_LCTRE_REQST ADD COLUMN UPDUSR_IP VARCHAR(100);</v>
      </c>
      <c r="AF219" s="50" t="str">
        <f t="shared" ref="AF219:AF282" si="76">"ALTER TABLE "&amp;$D219&amp;" DROP COLUMN "&amp;$G219&amp;";"</f>
        <v>ALTER TABLE TB_LCTRE_REQST DROP COLUMN UPDUSR_IP;</v>
      </c>
      <c r="AG219" s="50" t="str">
        <f t="shared" ref="AG219:AG282" si="77">IF(ISBLANK($R219),"","ALTER TABLE " &amp; $D219 &amp; " ALTER COLUMN " &amp; G219 &amp; " SET DEFAULT " &amp; $R219 &amp; ";")</f>
        <v/>
      </c>
      <c r="AH219" s="50" t="str">
        <f t="shared" si="51"/>
        <v>COMMENT ON COLUMN TB_LCTRE_REQST.UPDUSR_IP IS '수정자 IP' ;</v>
      </c>
    </row>
    <row r="220" spans="1:34" ht="20" customHeight="1">
      <c r="A220" s="55">
        <v>216</v>
      </c>
      <c r="B220" s="26" t="s">
        <v>7</v>
      </c>
      <c r="C220" s="25" t="s">
        <v>11</v>
      </c>
      <c r="D220" s="10" t="s">
        <v>258</v>
      </c>
      <c r="E220" s="10" t="s">
        <v>247</v>
      </c>
      <c r="F220" s="97">
        <v>10</v>
      </c>
      <c r="G220" s="103" t="s">
        <v>95</v>
      </c>
      <c r="H220" s="102" t="s">
        <v>81</v>
      </c>
      <c r="I220" s="61"/>
      <c r="J220" s="61"/>
      <c r="K220" s="61"/>
      <c r="L220" s="61"/>
      <c r="M220" s="61"/>
      <c r="N220" s="61"/>
      <c r="O220" s="61"/>
      <c r="P220" s="51" t="s">
        <v>732</v>
      </c>
      <c r="Q220" s="126"/>
      <c r="R220" s="82"/>
      <c r="S220" s="112" t="s">
        <v>214</v>
      </c>
      <c r="T220" s="83"/>
      <c r="U220" s="83"/>
      <c r="V220" s="106"/>
      <c r="W220" s="45"/>
      <c r="X220" s="83"/>
      <c r="Y220" s="129" t="str">
        <f t="shared" si="48"/>
        <v>TB_LCTRE_REQST</v>
      </c>
      <c r="Z220" s="50" t="str">
        <f t="shared" si="52"/>
        <v>UPDT_DT TIMESTAMP,</v>
      </c>
      <c r="AA220" s="50" t="str">
        <f t="shared" si="49"/>
        <v/>
      </c>
      <c r="AB220" s="50" t="str">
        <f t="shared" si="50"/>
        <v/>
      </c>
      <c r="AC220" s="50" t="str">
        <f t="shared" si="73"/>
        <v/>
      </c>
      <c r="AD220" s="50" t="str">
        <f t="shared" si="74"/>
        <v>ALTER TABLE TB_LCTRE_REQST ALTER COLUMN UPDT_DT TYPE TIMESTAMP;</v>
      </c>
      <c r="AE220" s="50" t="str">
        <f t="shared" si="75"/>
        <v>ALTER TABLE TB_LCTRE_REQST ADD COLUMN UPDT_DT TIMESTAMP;</v>
      </c>
      <c r="AF220" s="50" t="str">
        <f t="shared" si="76"/>
        <v>ALTER TABLE TB_LCTRE_REQST DROP COLUMN UPDT_DT;</v>
      </c>
      <c r="AG220" s="50" t="str">
        <f t="shared" si="77"/>
        <v/>
      </c>
      <c r="AH220" s="50" t="str">
        <f t="shared" si="51"/>
        <v>COMMENT ON COLUMN TB_LCTRE_REQST.UPDT_DT IS '수정 일시' ;</v>
      </c>
    </row>
    <row r="221" spans="1:34" ht="20" customHeight="1">
      <c r="A221" s="55">
        <v>217</v>
      </c>
      <c r="B221" s="26" t="s">
        <v>7</v>
      </c>
      <c r="C221" s="25" t="s">
        <v>11</v>
      </c>
      <c r="D221" s="10" t="s">
        <v>258</v>
      </c>
      <c r="E221" s="10" t="s">
        <v>247</v>
      </c>
      <c r="F221" s="97">
        <v>11</v>
      </c>
      <c r="G221" s="102" t="s">
        <v>96</v>
      </c>
      <c r="H221" s="102" t="s">
        <v>82</v>
      </c>
      <c r="I221" s="75" t="s">
        <v>72</v>
      </c>
      <c r="J221" s="61"/>
      <c r="K221" s="61"/>
      <c r="L221" s="61"/>
      <c r="M221" s="61"/>
      <c r="N221" s="61"/>
      <c r="O221" s="61"/>
      <c r="P221" s="51" t="s">
        <v>106</v>
      </c>
      <c r="Q221" s="126" t="s">
        <v>544</v>
      </c>
      <c r="R221" s="87" t="s">
        <v>592</v>
      </c>
      <c r="S221" s="112" t="s">
        <v>213</v>
      </c>
      <c r="T221" s="83"/>
      <c r="U221" s="83"/>
      <c r="V221" s="106"/>
      <c r="W221" s="45"/>
      <c r="X221" s="83"/>
      <c r="Y221" s="129" t="str">
        <f t="shared" si="48"/>
        <v>TB_LCTRE_REQST</v>
      </c>
      <c r="Z221" s="50" t="str">
        <f t="shared" si="52"/>
        <v>DEL_YN VARCHAR(1) NOT NULL,</v>
      </c>
      <c r="AA221" s="50" t="str">
        <f t="shared" si="49"/>
        <v/>
      </c>
      <c r="AB221" s="50" t="str">
        <f t="shared" si="50"/>
        <v/>
      </c>
      <c r="AC221" s="50" t="str">
        <f t="shared" si="73"/>
        <v/>
      </c>
      <c r="AD221" s="50" t="str">
        <f t="shared" si="74"/>
        <v>ALTER TABLE TB_LCTRE_REQST ALTER COLUMN DEL_YN TYPE VARCHAR(1);</v>
      </c>
      <c r="AE221" s="50" t="str">
        <f t="shared" si="75"/>
        <v>ALTER TABLE TB_LCTRE_REQST ADD COLUMN DEL_YN VARCHAR(1) NOT NULL DEFAULT ''N'';</v>
      </c>
      <c r="AF221" s="50" t="str">
        <f t="shared" si="76"/>
        <v>ALTER TABLE TB_LCTRE_REQST DROP COLUMN DEL_YN;</v>
      </c>
      <c r="AG221" s="50" t="str">
        <f t="shared" si="77"/>
        <v>ALTER TABLE TB_LCTRE_REQST ALTER COLUMN DEL_YN SET DEFAULT 'N';</v>
      </c>
      <c r="AH221" s="50" t="str">
        <f t="shared" si="51"/>
        <v>COMMENT ON COLUMN TB_LCTRE_REQST.DEL_YN IS '삭제 여부' ;</v>
      </c>
    </row>
    <row r="222" spans="1:34" ht="20" customHeight="1">
      <c r="A222" s="55">
        <v>218</v>
      </c>
      <c r="B222" s="26" t="s">
        <v>7</v>
      </c>
      <c r="C222" s="26" t="s">
        <v>16</v>
      </c>
      <c r="D222" s="10" t="s">
        <v>32</v>
      </c>
      <c r="E222" s="10" t="s">
        <v>16</v>
      </c>
      <c r="F222" s="97">
        <v>1</v>
      </c>
      <c r="G222" s="102" t="s">
        <v>286</v>
      </c>
      <c r="H222" s="101" t="s">
        <v>281</v>
      </c>
      <c r="I222" s="75" t="s">
        <v>72</v>
      </c>
      <c r="J222" s="45">
        <v>1</v>
      </c>
      <c r="K222" s="52"/>
      <c r="L222" s="52"/>
      <c r="M222" s="52"/>
      <c r="N222" s="52"/>
      <c r="O222" s="52"/>
      <c r="P222" s="56" t="s">
        <v>229</v>
      </c>
      <c r="Q222" s="125"/>
      <c r="R222" s="85"/>
      <c r="S222" s="112" t="s">
        <v>292</v>
      </c>
      <c r="T222" s="132" t="str">
        <f>"SEQ_"&amp;D222&amp;"_SN"</f>
        <v>SEQ_TB_BBS_SN</v>
      </c>
      <c r="U222" s="132"/>
      <c r="V222" s="106"/>
      <c r="W222" s="45"/>
      <c r="X222" s="83"/>
      <c r="Y222" s="129" t="str">
        <f t="shared" si="48"/>
        <v>TB_BBS</v>
      </c>
      <c r="Z222" s="50" t="str">
        <f t="shared" si="52"/>
        <v>BBS_SN INTEGER PRIMARY KEY,</v>
      </c>
      <c r="AA222" s="50" t="str">
        <f t="shared" si="49"/>
        <v/>
      </c>
      <c r="AB222" s="50" t="str">
        <f t="shared" si="50"/>
        <v>CREATE SEQUENCE SEQ_TB_BBS_SN START 100000;</v>
      </c>
      <c r="AC222" s="50" t="str">
        <f t="shared" si="73"/>
        <v>ALTER TABLE TB_BBS ALTER COLUMN BBS_SN SET DEFAULT NEXTVAL('SEQ_TB_BBS_SN');</v>
      </c>
      <c r="AD222" s="50" t="str">
        <f t="shared" si="74"/>
        <v>ALTER TABLE TB_BBS ALTER COLUMN BBS_SN TYPE INTEGER;</v>
      </c>
      <c r="AE222" s="50" t="str">
        <f t="shared" si="75"/>
        <v>ALTER TABLE TB_BBS ADD COLUMN BBS_SN INTEGER NOT NULL;</v>
      </c>
      <c r="AF222" s="50" t="str">
        <f t="shared" si="76"/>
        <v>ALTER TABLE TB_BBS DROP COLUMN BBS_SN;</v>
      </c>
      <c r="AG222" s="50" t="str">
        <f t="shared" si="77"/>
        <v/>
      </c>
      <c r="AH222" s="50" t="str">
        <f t="shared" si="51"/>
        <v>COMMENT ON COLUMN TB_BBS.BBS_SN IS '게시판 일련번호' ;</v>
      </c>
    </row>
    <row r="223" spans="1:34" ht="20" customHeight="1">
      <c r="A223" s="55">
        <v>219</v>
      </c>
      <c r="B223" s="26" t="s">
        <v>7</v>
      </c>
      <c r="C223" s="26" t="s">
        <v>16</v>
      </c>
      <c r="D223" s="10" t="s">
        <v>32</v>
      </c>
      <c r="E223" s="10" t="s">
        <v>16</v>
      </c>
      <c r="F223" s="97">
        <v>2</v>
      </c>
      <c r="G223" s="102" t="s">
        <v>287</v>
      </c>
      <c r="H223" s="101" t="s">
        <v>289</v>
      </c>
      <c r="I223" s="52" t="s">
        <v>280</v>
      </c>
      <c r="J223" s="52"/>
      <c r="K223" s="52"/>
      <c r="L223" s="84"/>
      <c r="M223" s="84"/>
      <c r="N223" s="84"/>
      <c r="O223" s="84"/>
      <c r="P223" s="105" t="s">
        <v>106</v>
      </c>
      <c r="Q223" s="126" t="s">
        <v>548</v>
      </c>
      <c r="R223" s="85"/>
      <c r="S223" s="112" t="s">
        <v>293</v>
      </c>
      <c r="T223" s="83"/>
      <c r="U223" s="83"/>
      <c r="V223" s="106" t="s">
        <v>568</v>
      </c>
      <c r="W223" s="83" t="s">
        <v>753</v>
      </c>
      <c r="X223" s="83"/>
      <c r="Y223" s="129" t="str">
        <f t="shared" ref="Y223:Y351" si="78">D223</f>
        <v>TB_BBS</v>
      </c>
      <c r="Z223" s="50" t="str">
        <f t="shared" si="52"/>
        <v>BBS_SE_CD VARCHAR(50) NOT NULL,</v>
      </c>
      <c r="AA223" s="50" t="str">
        <f t="shared" ref="AA223:AA351" si="79">IF(ISBLANK(K223),"","ALTER TABLE " &amp; D223 &amp; " ADD CONSTRAINT " &amp; D223 &amp; "_FKEY" &amp; K223 &amp;  " FOREIGN KEY(" &amp;G223 &amp; ") REFERENCES " &amp; L223 &amp; "(" &amp; M223 &amp; ") "&amp;N223&amp;" "&amp;O223&amp;";")</f>
        <v/>
      </c>
      <c r="AB223" s="50" t="str">
        <f t="shared" ref="AB223:AB351" si="80">IF(ISBLANK(T223),"","CREATE SEQUENCE "&amp;T223&amp;" START 100000;")</f>
        <v/>
      </c>
      <c r="AC223" s="50" t="str">
        <f t="shared" si="73"/>
        <v/>
      </c>
      <c r="AD223" s="50" t="str">
        <f t="shared" si="74"/>
        <v>ALTER TABLE TB_BBS ALTER COLUMN BBS_SE_CD TYPE VARCHAR(50);</v>
      </c>
      <c r="AE223" s="50" t="str">
        <f t="shared" si="75"/>
        <v>ALTER TABLE TB_BBS ADD COLUMN BBS_SE_CD VARCHAR(50) NOT NULL;</v>
      </c>
      <c r="AF223" s="50" t="str">
        <f t="shared" si="76"/>
        <v>ALTER TABLE TB_BBS DROP COLUMN BBS_SE_CD;</v>
      </c>
      <c r="AG223" s="50" t="str">
        <f t="shared" si="77"/>
        <v/>
      </c>
      <c r="AH223" s="50" t="str">
        <f t="shared" ref="AH223:AH351" si="81">"COMMENT ON COLUMN "&amp;D223&amp;"."&amp;G223&amp;" IS '"&amp;S223&amp;"' ;"</f>
        <v>COMMENT ON COLUMN TB_BBS.BBS_SE_CD IS '게시판 구분 코드' ;</v>
      </c>
    </row>
    <row r="224" spans="1:34" ht="20" customHeight="1">
      <c r="A224" s="55">
        <v>220</v>
      </c>
      <c r="B224" s="26" t="s">
        <v>7</v>
      </c>
      <c r="C224" s="26" t="s">
        <v>16</v>
      </c>
      <c r="D224" s="10" t="s">
        <v>32</v>
      </c>
      <c r="E224" s="10" t="s">
        <v>16</v>
      </c>
      <c r="F224" s="97">
        <v>3</v>
      </c>
      <c r="G224" s="102" t="s">
        <v>594</v>
      </c>
      <c r="H224" s="101" t="s">
        <v>290</v>
      </c>
      <c r="I224" s="52" t="s">
        <v>280</v>
      </c>
      <c r="J224" s="52"/>
      <c r="K224" s="52"/>
      <c r="L224" s="52"/>
      <c r="M224" s="52"/>
      <c r="N224" s="52"/>
      <c r="O224" s="52"/>
      <c r="P224" s="56" t="s">
        <v>318</v>
      </c>
      <c r="Q224" s="126" t="s">
        <v>550</v>
      </c>
      <c r="R224" s="85"/>
      <c r="S224" s="112" t="s">
        <v>294</v>
      </c>
      <c r="T224" s="83"/>
      <c r="U224" s="83"/>
      <c r="V224" s="106"/>
      <c r="W224" s="45"/>
      <c r="X224" s="83"/>
      <c r="Y224" s="129" t="str">
        <f t="shared" si="78"/>
        <v>TB_BBS</v>
      </c>
      <c r="Z224" s="50" t="str">
        <f t="shared" ref="Z224:Z339" si="82">G224&amp;" "&amp;P224&amp;Q224&amp;IF(ISBLANK(J224),""," PRIMARY KEY")&amp;IF(AND(ISBLANK(J224),I224="Y")," NOT NULL","")&amp;","</f>
        <v>BBS_NM VARCHAR(255) NOT NULL,</v>
      </c>
      <c r="AA224" s="50" t="str">
        <f t="shared" si="79"/>
        <v/>
      </c>
      <c r="AB224" s="50" t="str">
        <f t="shared" si="80"/>
        <v/>
      </c>
      <c r="AC224" s="50" t="str">
        <f t="shared" si="73"/>
        <v/>
      </c>
      <c r="AD224" s="50" t="str">
        <f t="shared" si="74"/>
        <v>ALTER TABLE TB_BBS ALTER COLUMN BBS_NM TYPE VARCHAR(255);</v>
      </c>
      <c r="AE224" s="50" t="str">
        <f t="shared" si="75"/>
        <v>ALTER TABLE TB_BBS ADD COLUMN BBS_NM VARCHAR(255) NOT NULL;</v>
      </c>
      <c r="AF224" s="50" t="str">
        <f t="shared" si="76"/>
        <v>ALTER TABLE TB_BBS DROP COLUMN BBS_NM;</v>
      </c>
      <c r="AG224" s="50" t="str">
        <f t="shared" si="77"/>
        <v/>
      </c>
      <c r="AH224" s="50" t="str">
        <f t="shared" si="81"/>
        <v>COMMENT ON COLUMN TB_BBS.BBS_NM IS '게시판 이름' ;</v>
      </c>
    </row>
    <row r="225" spans="1:34" ht="20" customHeight="1">
      <c r="A225" s="55">
        <v>221</v>
      </c>
      <c r="B225" s="26" t="s">
        <v>7</v>
      </c>
      <c r="C225" s="26" t="s">
        <v>16</v>
      </c>
      <c r="D225" s="10" t="s">
        <v>32</v>
      </c>
      <c r="E225" s="10" t="s">
        <v>16</v>
      </c>
      <c r="F225" s="97">
        <v>4</v>
      </c>
      <c r="G225" s="108" t="s">
        <v>328</v>
      </c>
      <c r="H225" s="101" t="s">
        <v>327</v>
      </c>
      <c r="I225" s="52"/>
      <c r="J225" s="52"/>
      <c r="K225" s="52"/>
      <c r="L225" s="52"/>
      <c r="M225" s="52"/>
      <c r="N225" s="52"/>
      <c r="O225" s="52"/>
      <c r="P225" s="56" t="s">
        <v>329</v>
      </c>
      <c r="Q225" s="125"/>
      <c r="R225" s="85"/>
      <c r="S225" s="112" t="s">
        <v>330</v>
      </c>
      <c r="T225" s="83"/>
      <c r="U225" s="83"/>
      <c r="V225" s="106"/>
      <c r="W225" s="45"/>
      <c r="X225" s="83"/>
      <c r="Y225" s="129" t="str">
        <f t="shared" si="78"/>
        <v>TB_BBS</v>
      </c>
      <c r="Z225" s="50" t="str">
        <f t="shared" si="82"/>
        <v>BBS_GDCC TEXT,</v>
      </c>
      <c r="AA225" s="50" t="str">
        <f t="shared" si="79"/>
        <v/>
      </c>
      <c r="AB225" s="50" t="str">
        <f t="shared" si="80"/>
        <v/>
      </c>
      <c r="AC225" s="50" t="str">
        <f t="shared" si="73"/>
        <v/>
      </c>
      <c r="AD225" s="50" t="str">
        <f t="shared" si="74"/>
        <v>ALTER TABLE TB_BBS ALTER COLUMN BBS_GDCC TYPE TEXT;</v>
      </c>
      <c r="AE225" s="50" t="str">
        <f t="shared" si="75"/>
        <v>ALTER TABLE TB_BBS ADD COLUMN BBS_GDCC TEXT;</v>
      </c>
      <c r="AF225" s="50" t="str">
        <f t="shared" si="76"/>
        <v>ALTER TABLE TB_BBS DROP COLUMN BBS_GDCC;</v>
      </c>
      <c r="AG225" s="50" t="str">
        <f t="shared" si="77"/>
        <v/>
      </c>
      <c r="AH225" s="50" t="str">
        <f t="shared" si="81"/>
        <v>COMMENT ON COLUMN TB_BBS.BBS_GDCC IS '게시판 안내 문구' ;</v>
      </c>
    </row>
    <row r="226" spans="1:34" ht="20" customHeight="1">
      <c r="A226" s="55">
        <v>222</v>
      </c>
      <c r="B226" s="26" t="s">
        <v>7</v>
      </c>
      <c r="C226" s="26" t="s">
        <v>16</v>
      </c>
      <c r="D226" s="10" t="s">
        <v>32</v>
      </c>
      <c r="E226" s="10" t="s">
        <v>16</v>
      </c>
      <c r="F226" s="97">
        <v>5</v>
      </c>
      <c r="G226" s="103" t="s">
        <v>288</v>
      </c>
      <c r="H226" s="102" t="s">
        <v>291</v>
      </c>
      <c r="I226" s="61"/>
      <c r="J226" s="61"/>
      <c r="K226" s="61"/>
      <c r="L226" s="61"/>
      <c r="M226" s="61"/>
      <c r="N226" s="61"/>
      <c r="O226" s="61"/>
      <c r="P226" s="56" t="s">
        <v>318</v>
      </c>
      <c r="Q226" s="126" t="s">
        <v>552</v>
      </c>
      <c r="R226" s="82"/>
      <c r="S226" s="112" t="s">
        <v>295</v>
      </c>
      <c r="T226" s="83"/>
      <c r="U226" s="83"/>
      <c r="V226" s="106"/>
      <c r="W226" s="45"/>
      <c r="X226" s="83"/>
      <c r="Y226" s="129" t="str">
        <f t="shared" si="78"/>
        <v>TB_BBS</v>
      </c>
      <c r="Z226" s="50" t="str">
        <f t="shared" si="82"/>
        <v>BBS_DC VARCHAR(2000),</v>
      </c>
      <c r="AA226" s="50" t="str">
        <f t="shared" si="79"/>
        <v/>
      </c>
      <c r="AB226" s="50" t="str">
        <f t="shared" si="80"/>
        <v/>
      </c>
      <c r="AC226" s="50" t="str">
        <f t="shared" si="73"/>
        <v/>
      </c>
      <c r="AD226" s="50" t="str">
        <f t="shared" si="74"/>
        <v>ALTER TABLE TB_BBS ALTER COLUMN BBS_DC TYPE VARCHAR(2000);</v>
      </c>
      <c r="AE226" s="50" t="str">
        <f t="shared" si="75"/>
        <v>ALTER TABLE TB_BBS ADD COLUMN BBS_DC VARCHAR(2000);</v>
      </c>
      <c r="AF226" s="50" t="str">
        <f t="shared" si="76"/>
        <v>ALTER TABLE TB_BBS DROP COLUMN BBS_DC;</v>
      </c>
      <c r="AG226" s="50" t="str">
        <f t="shared" si="77"/>
        <v/>
      </c>
      <c r="AH226" s="50" t="str">
        <f t="shared" si="81"/>
        <v>COMMENT ON COLUMN TB_BBS.BBS_DC IS '게시판 설명' ;</v>
      </c>
    </row>
    <row r="227" spans="1:34" ht="20" customHeight="1">
      <c r="A227" s="55">
        <v>223</v>
      </c>
      <c r="B227" s="26" t="s">
        <v>7</v>
      </c>
      <c r="C227" s="26" t="s">
        <v>16</v>
      </c>
      <c r="D227" s="10" t="s">
        <v>32</v>
      </c>
      <c r="E227" s="10" t="s">
        <v>16</v>
      </c>
      <c r="F227" s="97">
        <v>6</v>
      </c>
      <c r="G227" s="103" t="s">
        <v>752</v>
      </c>
      <c r="H227" s="102" t="s">
        <v>597</v>
      </c>
      <c r="I227" s="61"/>
      <c r="J227" s="61"/>
      <c r="K227" s="61"/>
      <c r="L227" s="61"/>
      <c r="M227" s="61"/>
      <c r="N227" s="61"/>
      <c r="O227" s="61"/>
      <c r="P227" s="51" t="s">
        <v>106</v>
      </c>
      <c r="Q227" s="126" t="s">
        <v>544</v>
      </c>
      <c r="R227" s="82"/>
      <c r="S227" s="112" t="s">
        <v>598</v>
      </c>
      <c r="T227" s="83"/>
      <c r="U227" s="83"/>
      <c r="V227" s="106"/>
      <c r="W227" s="45"/>
      <c r="X227" s="83"/>
      <c r="Y227" s="129" t="str">
        <f t="shared" ref="Y227:Y228" si="83">D227</f>
        <v>TB_BBS</v>
      </c>
      <c r="Z227" s="50" t="str">
        <f t="shared" ref="Z227:Z228" si="84">G227&amp;" "&amp;P227&amp;Q227&amp;IF(ISBLANK(J227),""," PRIMARY KEY")&amp;IF(AND(ISBLANK(J227),I227="Y")," NOT NULL","")&amp;","</f>
        <v>REPLY_SET_YN VARCHAR(1),</v>
      </c>
      <c r="AA227" s="50" t="str">
        <f t="shared" ref="AA227:AA228" si="85">IF(ISBLANK(K227),"","ALTER TABLE " &amp; D227 &amp; " ADD CONSTRAINT " &amp; D227 &amp; "_FKEY" &amp; K227 &amp;  " FOREIGN KEY(" &amp;G227 &amp; ") REFERENCES " &amp; L227 &amp; "(" &amp; M227 &amp; ") "&amp;N227&amp;" "&amp;O227&amp;";")</f>
        <v/>
      </c>
      <c r="AB227" s="50" t="str">
        <f t="shared" ref="AB227:AB228" si="86">IF(ISBLANK(T227),"","CREATE SEQUENCE "&amp;T227&amp;" START 100000;")</f>
        <v/>
      </c>
      <c r="AC227" s="50" t="str">
        <f t="shared" si="73"/>
        <v/>
      </c>
      <c r="AD227" s="50" t="str">
        <f t="shared" si="74"/>
        <v>ALTER TABLE TB_BBS ALTER COLUMN REPLY_SET_YN TYPE VARCHAR(1);</v>
      </c>
      <c r="AE227" s="50" t="str">
        <f t="shared" si="75"/>
        <v>ALTER TABLE TB_BBS ADD COLUMN REPLY_SET_YN VARCHAR(1);</v>
      </c>
      <c r="AF227" s="50" t="str">
        <f t="shared" si="76"/>
        <v>ALTER TABLE TB_BBS DROP COLUMN REPLY_SET_YN;</v>
      </c>
      <c r="AG227" s="50" t="str">
        <f t="shared" si="77"/>
        <v/>
      </c>
      <c r="AH227" s="50" t="str">
        <f t="shared" ref="AH227:AH228" si="87">"COMMENT ON COLUMN "&amp;D227&amp;"."&amp;G227&amp;" IS '"&amp;S227&amp;"' ;"</f>
        <v>COMMENT ON COLUMN TB_BBS.REPLY_SET_YN IS '댓글 설정 여부' ;</v>
      </c>
    </row>
    <row r="228" spans="1:34" ht="20" customHeight="1">
      <c r="A228" s="55">
        <v>224</v>
      </c>
      <c r="B228" s="26" t="s">
        <v>7</v>
      </c>
      <c r="C228" s="26" t="s">
        <v>16</v>
      </c>
      <c r="D228" s="10" t="s">
        <v>32</v>
      </c>
      <c r="E228" s="10" t="s">
        <v>16</v>
      </c>
      <c r="F228" s="97">
        <v>7</v>
      </c>
      <c r="G228" s="106" t="s">
        <v>335</v>
      </c>
      <c r="H228" s="106" t="s">
        <v>336</v>
      </c>
      <c r="I228" s="75" t="s">
        <v>72</v>
      </c>
      <c r="J228" s="45"/>
      <c r="K228" s="45"/>
      <c r="L228" s="45"/>
      <c r="M228" s="45"/>
      <c r="N228" s="45"/>
      <c r="O228" s="45"/>
      <c r="P228" s="51" t="s">
        <v>106</v>
      </c>
      <c r="Q228" s="126" t="s">
        <v>544</v>
      </c>
      <c r="R228" s="45"/>
      <c r="S228" s="106" t="s">
        <v>348</v>
      </c>
      <c r="T228" s="83"/>
      <c r="U228" s="83"/>
      <c r="V228" s="106" t="s">
        <v>741</v>
      </c>
      <c r="W228" s="45"/>
      <c r="X228" s="83"/>
      <c r="Y228" s="129" t="str">
        <f t="shared" si="83"/>
        <v>TB_BBS</v>
      </c>
      <c r="Z228" s="50" t="str">
        <f t="shared" si="84"/>
        <v>OPEN_YN VARCHAR(1) NOT NULL,</v>
      </c>
      <c r="AA228" s="50" t="str">
        <f t="shared" si="85"/>
        <v/>
      </c>
      <c r="AB228" s="50" t="str">
        <f t="shared" si="86"/>
        <v/>
      </c>
      <c r="AC228" s="50" t="str">
        <f t="shared" ref="AC228" si="88">IF(ISBLANK(T228),"","ALTER TABLE "&amp;D228&amp;" ALTER COLUMN "&amp;G228&amp;" SET DEFAULT NEXTVAL('"&amp;T228&amp;"');")</f>
        <v/>
      </c>
      <c r="AD228" s="50" t="str">
        <f t="shared" si="74"/>
        <v>ALTER TABLE TB_BBS ALTER COLUMN OPEN_YN TYPE VARCHAR(1);</v>
      </c>
      <c r="AE228" s="50" t="str">
        <f t="shared" si="75"/>
        <v>ALTER TABLE TB_BBS ADD COLUMN OPEN_YN VARCHAR(1) NOT NULL;</v>
      </c>
      <c r="AF228" s="50" t="str">
        <f t="shared" si="76"/>
        <v>ALTER TABLE TB_BBS DROP COLUMN OPEN_YN;</v>
      </c>
      <c r="AG228" s="50" t="str">
        <f t="shared" si="77"/>
        <v/>
      </c>
      <c r="AH228" s="50" t="str">
        <f t="shared" si="87"/>
        <v>COMMENT ON COLUMN TB_BBS.OPEN_YN IS '공개 여부' ;</v>
      </c>
    </row>
    <row r="229" spans="1:34" ht="20" customHeight="1">
      <c r="A229" s="55">
        <v>225</v>
      </c>
      <c r="B229" s="26" t="s">
        <v>7</v>
      </c>
      <c r="C229" s="26" t="s">
        <v>16</v>
      </c>
      <c r="D229" s="10" t="s">
        <v>32</v>
      </c>
      <c r="E229" s="10" t="s">
        <v>16</v>
      </c>
      <c r="F229" s="97">
        <v>8</v>
      </c>
      <c r="G229" s="102" t="s">
        <v>416</v>
      </c>
      <c r="H229" s="51" t="s">
        <v>417</v>
      </c>
      <c r="I229" s="75" t="s">
        <v>280</v>
      </c>
      <c r="J229" s="67"/>
      <c r="K229" s="67"/>
      <c r="L229" s="82"/>
      <c r="M229" s="82"/>
      <c r="N229" s="82"/>
      <c r="O229" s="82"/>
      <c r="P229" s="51" t="s">
        <v>106</v>
      </c>
      <c r="Q229" s="126" t="s">
        <v>544</v>
      </c>
      <c r="R229" s="85"/>
      <c r="S229" s="112" t="s">
        <v>418</v>
      </c>
      <c r="T229" s="83"/>
      <c r="U229" s="83"/>
      <c r="V229" s="106"/>
      <c r="W229" s="45"/>
      <c r="X229" s="83"/>
      <c r="Y229" s="129" t="str">
        <f t="shared" si="78"/>
        <v>TB_BBS</v>
      </c>
      <c r="Z229" s="50" t="str">
        <f t="shared" si="82"/>
        <v>USE_YN VARCHAR(1) NOT NULL,</v>
      </c>
      <c r="AA229" s="50" t="str">
        <f t="shared" si="79"/>
        <v/>
      </c>
      <c r="AB229" s="50" t="str">
        <f t="shared" si="80"/>
        <v/>
      </c>
      <c r="AC229" s="50" t="str">
        <f t="shared" si="73"/>
        <v/>
      </c>
      <c r="AD229" s="50" t="str">
        <f t="shared" si="74"/>
        <v>ALTER TABLE TB_BBS ALTER COLUMN USE_YN TYPE VARCHAR(1);</v>
      </c>
      <c r="AE229" s="50" t="str">
        <f t="shared" si="75"/>
        <v>ALTER TABLE TB_BBS ADD COLUMN USE_YN VARCHAR(1) NOT NULL;</v>
      </c>
      <c r="AF229" s="50" t="str">
        <f t="shared" si="76"/>
        <v>ALTER TABLE TB_BBS DROP COLUMN USE_YN;</v>
      </c>
      <c r="AG229" s="50" t="str">
        <f t="shared" si="77"/>
        <v/>
      </c>
      <c r="AH229" s="50" t="str">
        <f t="shared" si="81"/>
        <v>COMMENT ON COLUMN TB_BBS.USE_YN IS '사용 여부' ;</v>
      </c>
    </row>
    <row r="230" spans="1:34" ht="20" customHeight="1">
      <c r="A230" s="55">
        <v>226</v>
      </c>
      <c r="B230" s="26" t="s">
        <v>7</v>
      </c>
      <c r="C230" s="26" t="s">
        <v>16</v>
      </c>
      <c r="D230" s="10" t="s">
        <v>32</v>
      </c>
      <c r="E230" s="10" t="s">
        <v>16</v>
      </c>
      <c r="F230" s="97">
        <v>9</v>
      </c>
      <c r="G230" s="102" t="s">
        <v>107</v>
      </c>
      <c r="H230" s="51" t="s">
        <v>76</v>
      </c>
      <c r="I230" s="75" t="s">
        <v>72</v>
      </c>
      <c r="J230" s="67"/>
      <c r="K230" s="67"/>
      <c r="L230" s="82"/>
      <c r="M230" s="82"/>
      <c r="N230" s="82"/>
      <c r="O230" s="82"/>
      <c r="P230" s="105" t="s">
        <v>543</v>
      </c>
      <c r="Q230" s="126" t="s">
        <v>548</v>
      </c>
      <c r="R230" s="85"/>
      <c r="S230" s="112" t="s">
        <v>219</v>
      </c>
      <c r="T230" s="83"/>
      <c r="U230" s="83"/>
      <c r="V230" s="123" t="s">
        <v>518</v>
      </c>
      <c r="W230" s="45"/>
      <c r="X230" s="83"/>
      <c r="Y230" s="129" t="str">
        <f t="shared" si="78"/>
        <v>TB_BBS</v>
      </c>
      <c r="Z230" s="50" t="str">
        <f t="shared" si="82"/>
        <v>REGISTER_ID VARCHAR(50) NOT NULL,</v>
      </c>
      <c r="AA230" s="50" t="str">
        <f t="shared" si="79"/>
        <v/>
      </c>
      <c r="AB230" s="50" t="str">
        <f t="shared" si="80"/>
        <v/>
      </c>
      <c r="AC230" s="50" t="str">
        <f t="shared" si="73"/>
        <v/>
      </c>
      <c r="AD230" s="50" t="str">
        <f t="shared" si="74"/>
        <v>ALTER TABLE TB_BBS ALTER COLUMN REGISTER_ID TYPE VARCHAR(50);</v>
      </c>
      <c r="AE230" s="50" t="str">
        <f t="shared" si="75"/>
        <v>ALTER TABLE TB_BBS ADD COLUMN REGISTER_ID VARCHAR(50) NOT NULL;</v>
      </c>
      <c r="AF230" s="50" t="str">
        <f t="shared" si="76"/>
        <v>ALTER TABLE TB_BBS DROP COLUMN REGISTER_ID;</v>
      </c>
      <c r="AG230" s="50" t="str">
        <f t="shared" si="77"/>
        <v/>
      </c>
      <c r="AH230" s="50" t="str">
        <f t="shared" si="81"/>
        <v>COMMENT ON COLUMN TB_BBS.REGISTER_ID IS '등록자 ID' ;</v>
      </c>
    </row>
    <row r="231" spans="1:34" ht="20" customHeight="1">
      <c r="A231" s="55">
        <v>227</v>
      </c>
      <c r="B231" s="26" t="s">
        <v>7</v>
      </c>
      <c r="C231" s="26" t="s">
        <v>16</v>
      </c>
      <c r="D231" s="10" t="s">
        <v>32</v>
      </c>
      <c r="E231" s="10" t="s">
        <v>16</v>
      </c>
      <c r="F231" s="97">
        <v>10</v>
      </c>
      <c r="G231" s="102" t="s">
        <v>91</v>
      </c>
      <c r="H231" s="51" t="s">
        <v>77</v>
      </c>
      <c r="I231" s="75" t="s">
        <v>72</v>
      </c>
      <c r="J231" s="52"/>
      <c r="K231" s="52"/>
      <c r="L231" s="52"/>
      <c r="M231" s="52"/>
      <c r="N231" s="52"/>
      <c r="O231" s="52"/>
      <c r="P231" s="56" t="s">
        <v>106</v>
      </c>
      <c r="Q231" s="126" t="s">
        <v>549</v>
      </c>
      <c r="R231" s="85"/>
      <c r="S231" s="112" t="s">
        <v>218</v>
      </c>
      <c r="T231" s="83"/>
      <c r="U231" s="83"/>
      <c r="V231" s="106"/>
      <c r="W231" s="45"/>
      <c r="X231" s="83"/>
      <c r="Y231" s="129" t="str">
        <f t="shared" si="78"/>
        <v>TB_BBS</v>
      </c>
      <c r="Z231" s="50" t="str">
        <f t="shared" si="82"/>
        <v>REGISTER_IP VARCHAR(100) NOT NULL,</v>
      </c>
      <c r="AA231" s="50" t="str">
        <f t="shared" si="79"/>
        <v/>
      </c>
      <c r="AB231" s="50" t="str">
        <f t="shared" si="80"/>
        <v/>
      </c>
      <c r="AC231" s="50" t="str">
        <f t="shared" si="73"/>
        <v/>
      </c>
      <c r="AD231" s="50" t="str">
        <f t="shared" si="74"/>
        <v>ALTER TABLE TB_BBS ALTER COLUMN REGISTER_IP TYPE VARCHAR(100);</v>
      </c>
      <c r="AE231" s="50" t="str">
        <f t="shared" si="75"/>
        <v>ALTER TABLE TB_BBS ADD COLUMN REGISTER_IP VARCHAR(100) NOT NULL;</v>
      </c>
      <c r="AF231" s="50" t="str">
        <f t="shared" si="76"/>
        <v>ALTER TABLE TB_BBS DROP COLUMN REGISTER_IP;</v>
      </c>
      <c r="AG231" s="50" t="str">
        <f t="shared" si="77"/>
        <v/>
      </c>
      <c r="AH231" s="50" t="str">
        <f t="shared" si="81"/>
        <v>COMMENT ON COLUMN TB_BBS.REGISTER_IP IS '등록자 IP' ;</v>
      </c>
    </row>
    <row r="232" spans="1:34" ht="20" customHeight="1">
      <c r="A232" s="55">
        <v>228</v>
      </c>
      <c r="B232" s="26" t="s">
        <v>7</v>
      </c>
      <c r="C232" s="26" t="s">
        <v>16</v>
      </c>
      <c r="D232" s="10" t="s">
        <v>32</v>
      </c>
      <c r="E232" s="10" t="s">
        <v>16</v>
      </c>
      <c r="F232" s="97">
        <v>11</v>
      </c>
      <c r="G232" s="102" t="s">
        <v>92</v>
      </c>
      <c r="H232" s="101" t="s">
        <v>78</v>
      </c>
      <c r="I232" s="75" t="s">
        <v>72</v>
      </c>
      <c r="J232" s="52"/>
      <c r="K232" s="52"/>
      <c r="L232" s="52"/>
      <c r="M232" s="52"/>
      <c r="N232" s="52"/>
      <c r="O232" s="52"/>
      <c r="P232" s="51" t="s">
        <v>732</v>
      </c>
      <c r="Q232" s="126"/>
      <c r="R232" s="85"/>
      <c r="S232" s="112" t="s">
        <v>217</v>
      </c>
      <c r="T232" s="83"/>
      <c r="U232" s="83"/>
      <c r="V232" s="106"/>
      <c r="W232" s="45"/>
      <c r="X232" s="83"/>
      <c r="Y232" s="129" t="str">
        <f t="shared" si="78"/>
        <v>TB_BBS</v>
      </c>
      <c r="Z232" s="50" t="str">
        <f t="shared" si="82"/>
        <v>REG_DT TIMESTAMP NOT NULL,</v>
      </c>
      <c r="AA232" s="50" t="str">
        <f t="shared" si="79"/>
        <v/>
      </c>
      <c r="AB232" s="50" t="str">
        <f t="shared" si="80"/>
        <v/>
      </c>
      <c r="AC232" s="50" t="str">
        <f t="shared" si="73"/>
        <v/>
      </c>
      <c r="AD232" s="50" t="str">
        <f t="shared" si="74"/>
        <v>ALTER TABLE TB_BBS ALTER COLUMN REG_DT TYPE TIMESTAMP;</v>
      </c>
      <c r="AE232" s="50" t="str">
        <f t="shared" si="75"/>
        <v>ALTER TABLE TB_BBS ADD COLUMN REG_DT TIMESTAMP NOT NULL;</v>
      </c>
      <c r="AF232" s="50" t="str">
        <f t="shared" si="76"/>
        <v>ALTER TABLE TB_BBS DROP COLUMN REG_DT;</v>
      </c>
      <c r="AG232" s="50" t="str">
        <f t="shared" si="77"/>
        <v/>
      </c>
      <c r="AH232" s="50" t="str">
        <f t="shared" si="81"/>
        <v>COMMENT ON COLUMN TB_BBS.REG_DT IS '등록 일시' ;</v>
      </c>
    </row>
    <row r="233" spans="1:34" ht="20" customHeight="1">
      <c r="A233" s="55">
        <v>229</v>
      </c>
      <c r="B233" s="26" t="s">
        <v>7</v>
      </c>
      <c r="C233" s="26" t="s">
        <v>16</v>
      </c>
      <c r="D233" s="10" t="s">
        <v>32</v>
      </c>
      <c r="E233" s="10" t="s">
        <v>16</v>
      </c>
      <c r="F233" s="97">
        <v>12</v>
      </c>
      <c r="G233" s="102" t="s">
        <v>93</v>
      </c>
      <c r="H233" s="101" t="s">
        <v>80</v>
      </c>
      <c r="I233" s="52"/>
      <c r="J233" s="52"/>
      <c r="K233" s="52"/>
      <c r="L233" s="84"/>
      <c r="M233" s="84"/>
      <c r="N233" s="84"/>
      <c r="O233" s="84"/>
      <c r="P233" s="105" t="s">
        <v>543</v>
      </c>
      <c r="Q233" s="126" t="s">
        <v>548</v>
      </c>
      <c r="R233" s="85"/>
      <c r="S233" s="112" t="s">
        <v>216</v>
      </c>
      <c r="T233" s="83"/>
      <c r="U233" s="83"/>
      <c r="V233" s="123" t="s">
        <v>518</v>
      </c>
      <c r="W233" s="45"/>
      <c r="X233" s="83"/>
      <c r="Y233" s="129" t="str">
        <f t="shared" si="78"/>
        <v>TB_BBS</v>
      </c>
      <c r="Z233" s="50" t="str">
        <f t="shared" si="82"/>
        <v>UPDUSR_ID VARCHAR(50),</v>
      </c>
      <c r="AA233" s="50" t="str">
        <f t="shared" si="79"/>
        <v/>
      </c>
      <c r="AB233" s="50" t="str">
        <f t="shared" si="80"/>
        <v/>
      </c>
      <c r="AC233" s="50" t="str">
        <f t="shared" si="73"/>
        <v/>
      </c>
      <c r="AD233" s="50" t="str">
        <f t="shared" si="74"/>
        <v>ALTER TABLE TB_BBS ALTER COLUMN UPDUSR_ID TYPE VARCHAR(50);</v>
      </c>
      <c r="AE233" s="50" t="str">
        <f t="shared" si="75"/>
        <v>ALTER TABLE TB_BBS ADD COLUMN UPDUSR_ID VARCHAR(50);</v>
      </c>
      <c r="AF233" s="50" t="str">
        <f t="shared" si="76"/>
        <v>ALTER TABLE TB_BBS DROP COLUMN UPDUSR_ID;</v>
      </c>
      <c r="AG233" s="50" t="str">
        <f t="shared" si="77"/>
        <v/>
      </c>
      <c r="AH233" s="50" t="str">
        <f t="shared" si="81"/>
        <v>COMMENT ON COLUMN TB_BBS.UPDUSR_ID IS '수정자 ID' ;</v>
      </c>
    </row>
    <row r="234" spans="1:34" ht="20" customHeight="1">
      <c r="A234" s="55">
        <v>230</v>
      </c>
      <c r="B234" s="26" t="s">
        <v>7</v>
      </c>
      <c r="C234" s="26" t="s">
        <v>16</v>
      </c>
      <c r="D234" s="10" t="s">
        <v>32</v>
      </c>
      <c r="E234" s="10" t="s">
        <v>16</v>
      </c>
      <c r="F234" s="97">
        <v>13</v>
      </c>
      <c r="G234" s="102" t="s">
        <v>94</v>
      </c>
      <c r="H234" s="101" t="s">
        <v>79</v>
      </c>
      <c r="I234" s="52"/>
      <c r="J234" s="52"/>
      <c r="K234" s="52"/>
      <c r="L234" s="52"/>
      <c r="M234" s="52"/>
      <c r="N234" s="52"/>
      <c r="O234" s="52"/>
      <c r="P234" s="56" t="s">
        <v>106</v>
      </c>
      <c r="Q234" s="126" t="s">
        <v>549</v>
      </c>
      <c r="R234" s="85"/>
      <c r="S234" s="112" t="s">
        <v>215</v>
      </c>
      <c r="T234" s="83"/>
      <c r="U234" s="83"/>
      <c r="V234" s="106"/>
      <c r="W234" s="45"/>
      <c r="X234" s="83"/>
      <c r="Y234" s="129" t="str">
        <f t="shared" si="78"/>
        <v>TB_BBS</v>
      </c>
      <c r="Z234" s="50" t="str">
        <f t="shared" si="82"/>
        <v>UPDUSR_IP VARCHAR(100),</v>
      </c>
      <c r="AA234" s="50" t="str">
        <f t="shared" si="79"/>
        <v/>
      </c>
      <c r="AB234" s="50" t="str">
        <f t="shared" si="80"/>
        <v/>
      </c>
      <c r="AC234" s="50" t="str">
        <f t="shared" si="73"/>
        <v/>
      </c>
      <c r="AD234" s="50" t="str">
        <f t="shared" si="74"/>
        <v>ALTER TABLE TB_BBS ALTER COLUMN UPDUSR_IP TYPE VARCHAR(100);</v>
      </c>
      <c r="AE234" s="50" t="str">
        <f t="shared" si="75"/>
        <v>ALTER TABLE TB_BBS ADD COLUMN UPDUSR_IP VARCHAR(100);</v>
      </c>
      <c r="AF234" s="50" t="str">
        <f t="shared" si="76"/>
        <v>ALTER TABLE TB_BBS DROP COLUMN UPDUSR_IP;</v>
      </c>
      <c r="AG234" s="50" t="str">
        <f t="shared" si="77"/>
        <v/>
      </c>
      <c r="AH234" s="50" t="str">
        <f t="shared" si="81"/>
        <v>COMMENT ON COLUMN TB_BBS.UPDUSR_IP IS '수정자 IP' ;</v>
      </c>
    </row>
    <row r="235" spans="1:34" ht="20" customHeight="1">
      <c r="A235" s="55">
        <v>231</v>
      </c>
      <c r="B235" s="26" t="s">
        <v>7</v>
      </c>
      <c r="C235" s="26" t="s">
        <v>16</v>
      </c>
      <c r="D235" s="10" t="s">
        <v>32</v>
      </c>
      <c r="E235" s="10" t="s">
        <v>16</v>
      </c>
      <c r="F235" s="97">
        <v>14</v>
      </c>
      <c r="G235" s="103" t="s">
        <v>95</v>
      </c>
      <c r="H235" s="102" t="s">
        <v>81</v>
      </c>
      <c r="I235" s="61"/>
      <c r="J235" s="61"/>
      <c r="K235" s="61"/>
      <c r="L235" s="61"/>
      <c r="M235" s="61"/>
      <c r="N235" s="61"/>
      <c r="O235" s="61"/>
      <c r="P235" s="51" t="s">
        <v>732</v>
      </c>
      <c r="Q235" s="126"/>
      <c r="R235" s="82"/>
      <c r="S235" s="112" t="s">
        <v>214</v>
      </c>
      <c r="T235" s="83"/>
      <c r="U235" s="83"/>
      <c r="V235" s="106"/>
      <c r="W235" s="45"/>
      <c r="X235" s="83"/>
      <c r="Y235" s="129" t="str">
        <f t="shared" si="78"/>
        <v>TB_BBS</v>
      </c>
      <c r="Z235" s="50" t="str">
        <f t="shared" si="82"/>
        <v>UPDT_DT TIMESTAMP,</v>
      </c>
      <c r="AA235" s="50" t="str">
        <f t="shared" si="79"/>
        <v/>
      </c>
      <c r="AB235" s="50" t="str">
        <f t="shared" si="80"/>
        <v/>
      </c>
      <c r="AC235" s="50" t="str">
        <f t="shared" si="73"/>
        <v/>
      </c>
      <c r="AD235" s="50" t="str">
        <f t="shared" si="74"/>
        <v>ALTER TABLE TB_BBS ALTER COLUMN UPDT_DT TYPE TIMESTAMP;</v>
      </c>
      <c r="AE235" s="50" t="str">
        <f t="shared" si="75"/>
        <v>ALTER TABLE TB_BBS ADD COLUMN UPDT_DT TIMESTAMP;</v>
      </c>
      <c r="AF235" s="50" t="str">
        <f t="shared" si="76"/>
        <v>ALTER TABLE TB_BBS DROP COLUMN UPDT_DT;</v>
      </c>
      <c r="AG235" s="50" t="str">
        <f t="shared" si="77"/>
        <v/>
      </c>
      <c r="AH235" s="50" t="str">
        <f t="shared" si="81"/>
        <v>COMMENT ON COLUMN TB_BBS.UPDT_DT IS '수정 일시' ;</v>
      </c>
    </row>
    <row r="236" spans="1:34" ht="20" customHeight="1">
      <c r="A236" s="55">
        <v>232</v>
      </c>
      <c r="B236" s="26" t="s">
        <v>7</v>
      </c>
      <c r="C236" s="26" t="s">
        <v>16</v>
      </c>
      <c r="D236" s="10" t="s">
        <v>32</v>
      </c>
      <c r="E236" s="10" t="s">
        <v>16</v>
      </c>
      <c r="F236" s="97">
        <v>15</v>
      </c>
      <c r="G236" s="102" t="s">
        <v>96</v>
      </c>
      <c r="H236" s="102" t="s">
        <v>82</v>
      </c>
      <c r="I236" s="75" t="s">
        <v>72</v>
      </c>
      <c r="J236" s="61"/>
      <c r="K236" s="61"/>
      <c r="L236" s="61"/>
      <c r="M236" s="61"/>
      <c r="N236" s="61"/>
      <c r="O236" s="61"/>
      <c r="P236" s="51" t="s">
        <v>106</v>
      </c>
      <c r="Q236" s="126" t="s">
        <v>544</v>
      </c>
      <c r="R236" s="87" t="s">
        <v>592</v>
      </c>
      <c r="S236" s="112" t="s">
        <v>213</v>
      </c>
      <c r="T236" s="83"/>
      <c r="U236" s="83"/>
      <c r="V236" s="106"/>
      <c r="W236" s="45"/>
      <c r="X236" s="83"/>
      <c r="Y236" s="129" t="str">
        <f t="shared" si="78"/>
        <v>TB_BBS</v>
      </c>
      <c r="Z236" s="50" t="str">
        <f t="shared" si="82"/>
        <v>DEL_YN VARCHAR(1) NOT NULL,</v>
      </c>
      <c r="AA236" s="50" t="str">
        <f t="shared" si="79"/>
        <v/>
      </c>
      <c r="AB236" s="50" t="str">
        <f t="shared" si="80"/>
        <v/>
      </c>
      <c r="AC236" s="50" t="str">
        <f t="shared" si="73"/>
        <v/>
      </c>
      <c r="AD236" s="50" t="str">
        <f t="shared" si="74"/>
        <v>ALTER TABLE TB_BBS ALTER COLUMN DEL_YN TYPE VARCHAR(1);</v>
      </c>
      <c r="AE236" s="50" t="str">
        <f t="shared" si="75"/>
        <v>ALTER TABLE TB_BBS ADD COLUMN DEL_YN VARCHAR(1) NOT NULL DEFAULT ''N'';</v>
      </c>
      <c r="AF236" s="50" t="str">
        <f t="shared" si="76"/>
        <v>ALTER TABLE TB_BBS DROP COLUMN DEL_YN;</v>
      </c>
      <c r="AG236" s="50" t="str">
        <f t="shared" si="77"/>
        <v>ALTER TABLE TB_BBS ALTER COLUMN DEL_YN SET DEFAULT 'N';</v>
      </c>
      <c r="AH236" s="50" t="str">
        <f t="shared" si="81"/>
        <v>COMMENT ON COLUMN TB_BBS.DEL_YN IS '삭제 여부' ;</v>
      </c>
    </row>
    <row r="237" spans="1:34" ht="20" customHeight="1">
      <c r="A237" s="55">
        <v>233</v>
      </c>
      <c r="B237" s="26" t="s">
        <v>7</v>
      </c>
      <c r="C237" s="26" t="s">
        <v>16</v>
      </c>
      <c r="D237" s="10" t="s">
        <v>283</v>
      </c>
      <c r="E237" s="10" t="s">
        <v>284</v>
      </c>
      <c r="F237" s="97">
        <v>1</v>
      </c>
      <c r="G237" s="106" t="s">
        <v>301</v>
      </c>
      <c r="H237" s="101" t="s">
        <v>296</v>
      </c>
      <c r="I237" s="52" t="s">
        <v>553</v>
      </c>
      <c r="J237" s="52">
        <v>1</v>
      </c>
      <c r="K237" s="52"/>
      <c r="L237" s="84"/>
      <c r="M237" s="84"/>
      <c r="N237" s="84"/>
      <c r="O237" s="84"/>
      <c r="P237" s="105" t="s">
        <v>229</v>
      </c>
      <c r="Q237" s="47"/>
      <c r="R237" s="85"/>
      <c r="S237" s="112" t="s">
        <v>337</v>
      </c>
      <c r="T237" s="132" t="str">
        <f>"SEQ_"&amp;D237&amp;"_SN"</f>
        <v>SEQ_TB_NTT_SN</v>
      </c>
      <c r="U237" s="132"/>
      <c r="V237" s="106"/>
      <c r="W237" s="45"/>
      <c r="X237" s="83"/>
      <c r="Y237" s="129" t="str">
        <f t="shared" si="78"/>
        <v>TB_NTT</v>
      </c>
      <c r="Z237" s="50" t="str">
        <f t="shared" si="82"/>
        <v>NTT_SN INTEGER PRIMARY KEY,</v>
      </c>
      <c r="AA237" s="50" t="str">
        <f t="shared" si="79"/>
        <v/>
      </c>
      <c r="AB237" s="50" t="str">
        <f t="shared" si="80"/>
        <v>CREATE SEQUENCE SEQ_TB_NTT_SN START 100000;</v>
      </c>
      <c r="AC237" s="50" t="str">
        <f t="shared" si="73"/>
        <v>ALTER TABLE TB_NTT ALTER COLUMN NTT_SN SET DEFAULT NEXTVAL('SEQ_TB_NTT_SN');</v>
      </c>
      <c r="AD237" s="50" t="str">
        <f t="shared" si="74"/>
        <v>ALTER TABLE TB_NTT ALTER COLUMN NTT_SN TYPE INTEGER;</v>
      </c>
      <c r="AE237" s="50" t="str">
        <f t="shared" si="75"/>
        <v>ALTER TABLE TB_NTT ADD COLUMN NTT_SN INTEGER NOT NULL;</v>
      </c>
      <c r="AF237" s="50" t="str">
        <f t="shared" si="76"/>
        <v>ALTER TABLE TB_NTT DROP COLUMN NTT_SN;</v>
      </c>
      <c r="AG237" s="50" t="str">
        <f t="shared" si="77"/>
        <v/>
      </c>
      <c r="AH237" s="50" t="str">
        <f t="shared" si="81"/>
        <v>COMMENT ON COLUMN TB_NTT.NTT_SN IS '게시물 일련번호' ;</v>
      </c>
    </row>
    <row r="238" spans="1:34" ht="20" customHeight="1">
      <c r="A238" s="55">
        <v>234</v>
      </c>
      <c r="B238" s="26" t="s">
        <v>7</v>
      </c>
      <c r="C238" s="26" t="s">
        <v>16</v>
      </c>
      <c r="D238" s="10" t="s">
        <v>283</v>
      </c>
      <c r="E238" s="10" t="s">
        <v>284</v>
      </c>
      <c r="F238" s="97">
        <v>2</v>
      </c>
      <c r="G238" s="106" t="s">
        <v>286</v>
      </c>
      <c r="H238" s="101" t="s">
        <v>282</v>
      </c>
      <c r="I238" s="52" t="s">
        <v>553</v>
      </c>
      <c r="J238" s="52"/>
      <c r="K238" s="52">
        <v>1</v>
      </c>
      <c r="L238" s="10" t="s">
        <v>32</v>
      </c>
      <c r="M238" s="106" t="s">
        <v>286</v>
      </c>
      <c r="N238" s="100" t="s">
        <v>562</v>
      </c>
      <c r="O238" s="100" t="s">
        <v>564</v>
      </c>
      <c r="P238" s="56" t="s">
        <v>229</v>
      </c>
      <c r="Q238" s="125"/>
      <c r="R238" s="85"/>
      <c r="S238" s="112" t="s">
        <v>338</v>
      </c>
      <c r="T238" s="83"/>
      <c r="U238" s="83"/>
      <c r="V238" s="106"/>
      <c r="W238" s="45"/>
      <c r="X238" s="83"/>
      <c r="Y238" s="129" t="str">
        <f t="shared" si="78"/>
        <v>TB_NTT</v>
      </c>
      <c r="Z238" s="50" t="str">
        <f t="shared" si="82"/>
        <v>BBS_SN INTEGER NOT NULL,</v>
      </c>
      <c r="AA238" s="50" t="str">
        <f t="shared" si="79"/>
        <v>ALTER TABLE TB_NTT ADD CONSTRAINT TB_NTT_FKEY1 FOREIGN KEY(BBS_SN) REFERENCES TB_BBS(BBS_SN) ON UPDATE CASCADE ON DELETE CASCADE;</v>
      </c>
      <c r="AB238" s="50" t="str">
        <f t="shared" si="80"/>
        <v/>
      </c>
      <c r="AC238" s="50" t="str">
        <f t="shared" si="73"/>
        <v/>
      </c>
      <c r="AD238" s="50" t="str">
        <f t="shared" si="74"/>
        <v>ALTER TABLE TB_NTT ALTER COLUMN BBS_SN TYPE INTEGER;</v>
      </c>
      <c r="AE238" s="50" t="str">
        <f t="shared" si="75"/>
        <v>ALTER TABLE TB_NTT ADD COLUMN BBS_SN INTEGER NOT NULL;</v>
      </c>
      <c r="AF238" s="50" t="str">
        <f t="shared" si="76"/>
        <v>ALTER TABLE TB_NTT DROP COLUMN BBS_SN;</v>
      </c>
      <c r="AG238" s="50" t="str">
        <f t="shared" si="77"/>
        <v/>
      </c>
      <c r="AH238" s="50" t="str">
        <f t="shared" si="81"/>
        <v>COMMENT ON COLUMN TB_NTT.BBS_SN IS '게시판 일련번호' ;</v>
      </c>
    </row>
    <row r="239" spans="1:34" ht="20" customHeight="1">
      <c r="A239" s="55">
        <v>235</v>
      </c>
      <c r="B239" s="26" t="s">
        <v>7</v>
      </c>
      <c r="C239" s="26" t="s">
        <v>16</v>
      </c>
      <c r="D239" s="10" t="s">
        <v>283</v>
      </c>
      <c r="E239" s="10" t="s">
        <v>284</v>
      </c>
      <c r="F239" s="97">
        <v>3</v>
      </c>
      <c r="G239" s="106" t="s">
        <v>302</v>
      </c>
      <c r="H239" s="102" t="s">
        <v>297</v>
      </c>
      <c r="I239" s="52" t="s">
        <v>553</v>
      </c>
      <c r="J239" s="61"/>
      <c r="K239" s="61"/>
      <c r="L239" s="69"/>
      <c r="M239" s="69"/>
      <c r="N239" s="69"/>
      <c r="O239" s="69"/>
      <c r="P239" s="109" t="s">
        <v>229</v>
      </c>
      <c r="Q239" s="47"/>
      <c r="R239" s="82"/>
      <c r="S239" s="112" t="s">
        <v>339</v>
      </c>
      <c r="T239" s="132"/>
      <c r="U239" s="132"/>
      <c r="V239" s="106"/>
      <c r="W239" s="45"/>
      <c r="X239" s="83"/>
      <c r="Y239" s="129" t="str">
        <f t="shared" si="78"/>
        <v>TB_NTT</v>
      </c>
      <c r="Z239" s="50" t="str">
        <f t="shared" si="82"/>
        <v>NTT_SEQ INTEGER NOT NULL,</v>
      </c>
      <c r="AA239" s="50" t="str">
        <f t="shared" si="79"/>
        <v/>
      </c>
      <c r="AB239" s="50" t="str">
        <f t="shared" si="80"/>
        <v/>
      </c>
      <c r="AC239" s="50" t="str">
        <f t="shared" si="73"/>
        <v/>
      </c>
      <c r="AD239" s="50" t="str">
        <f t="shared" si="74"/>
        <v>ALTER TABLE TB_NTT ALTER COLUMN NTT_SEQ TYPE INTEGER;</v>
      </c>
      <c r="AE239" s="50" t="str">
        <f t="shared" si="75"/>
        <v>ALTER TABLE TB_NTT ADD COLUMN NTT_SEQ INTEGER NOT NULL;</v>
      </c>
      <c r="AF239" s="50" t="str">
        <f t="shared" si="76"/>
        <v>ALTER TABLE TB_NTT DROP COLUMN NTT_SEQ;</v>
      </c>
      <c r="AG239" s="50" t="str">
        <f t="shared" si="77"/>
        <v/>
      </c>
      <c r="AH239" s="50" t="str">
        <f t="shared" si="81"/>
        <v>COMMENT ON COLUMN TB_NTT.NTT_SEQ IS '게시물 순번' ;</v>
      </c>
    </row>
    <row r="240" spans="1:34" ht="20" customHeight="1">
      <c r="A240" s="55">
        <v>236</v>
      </c>
      <c r="B240" s="26" t="s">
        <v>7</v>
      </c>
      <c r="C240" s="26" t="s">
        <v>16</v>
      </c>
      <c r="D240" s="10" t="s">
        <v>283</v>
      </c>
      <c r="E240" s="10" t="s">
        <v>284</v>
      </c>
      <c r="F240" s="97">
        <v>4</v>
      </c>
      <c r="G240" s="106" t="s">
        <v>303</v>
      </c>
      <c r="H240" s="102" t="s">
        <v>298</v>
      </c>
      <c r="I240" s="75"/>
      <c r="J240" s="61"/>
      <c r="K240" s="61"/>
      <c r="L240" s="61"/>
      <c r="M240" s="61"/>
      <c r="N240" s="61"/>
      <c r="O240" s="61"/>
      <c r="P240" s="62" t="s">
        <v>318</v>
      </c>
      <c r="Q240" s="126" t="s">
        <v>550</v>
      </c>
      <c r="R240" s="86"/>
      <c r="S240" s="112" t="s">
        <v>340</v>
      </c>
      <c r="T240" s="83"/>
      <c r="U240" s="83"/>
      <c r="V240" s="106"/>
      <c r="W240" s="45"/>
      <c r="X240" s="83"/>
      <c r="Y240" s="129" t="str">
        <f t="shared" si="78"/>
        <v>TB_NTT</v>
      </c>
      <c r="Z240" s="50" t="str">
        <f t="shared" si="82"/>
        <v>NTT_NM VARCHAR(255),</v>
      </c>
      <c r="AA240" s="50" t="str">
        <f t="shared" si="79"/>
        <v/>
      </c>
      <c r="AB240" s="50" t="str">
        <f t="shared" si="80"/>
        <v/>
      </c>
      <c r="AC240" s="50" t="str">
        <f t="shared" si="73"/>
        <v/>
      </c>
      <c r="AD240" s="50" t="str">
        <f t="shared" si="74"/>
        <v>ALTER TABLE TB_NTT ALTER COLUMN NTT_NM TYPE VARCHAR(255);</v>
      </c>
      <c r="AE240" s="50" t="str">
        <f t="shared" si="75"/>
        <v>ALTER TABLE TB_NTT ADD COLUMN NTT_NM VARCHAR(255);</v>
      </c>
      <c r="AF240" s="50" t="str">
        <f t="shared" si="76"/>
        <v>ALTER TABLE TB_NTT DROP COLUMN NTT_NM;</v>
      </c>
      <c r="AG240" s="50" t="str">
        <f t="shared" si="77"/>
        <v/>
      </c>
      <c r="AH240" s="50" t="str">
        <f t="shared" si="81"/>
        <v>COMMENT ON COLUMN TB_NTT.NTT_NM IS '게시물 이름' ;</v>
      </c>
    </row>
    <row r="241" spans="1:34" ht="20" customHeight="1">
      <c r="A241" s="55">
        <v>237</v>
      </c>
      <c r="B241" s="26" t="s">
        <v>7</v>
      </c>
      <c r="C241" s="25" t="s">
        <v>11</v>
      </c>
      <c r="D241" s="10" t="s">
        <v>283</v>
      </c>
      <c r="E241" s="10" t="s">
        <v>284</v>
      </c>
      <c r="F241" s="97">
        <v>5</v>
      </c>
      <c r="G241" s="106" t="s">
        <v>373</v>
      </c>
      <c r="H241" s="106" t="s">
        <v>375</v>
      </c>
      <c r="I241" s="69"/>
      <c r="J241" s="61"/>
      <c r="K241" s="61">
        <v>2</v>
      </c>
      <c r="L241" s="10" t="s">
        <v>371</v>
      </c>
      <c r="M241" s="101" t="s">
        <v>372</v>
      </c>
      <c r="N241" s="101" t="s">
        <v>562</v>
      </c>
      <c r="O241" s="101" t="s">
        <v>563</v>
      </c>
      <c r="P241" s="51" t="s">
        <v>229</v>
      </c>
      <c r="Q241" s="124"/>
      <c r="R241" s="45"/>
      <c r="S241" s="106" t="s">
        <v>377</v>
      </c>
      <c r="T241" s="132"/>
      <c r="U241" s="130"/>
      <c r="V241" s="109"/>
      <c r="W241" s="90"/>
      <c r="X241" s="130"/>
      <c r="Y241" s="129" t="str">
        <f t="shared" si="78"/>
        <v>TB_NTT</v>
      </c>
      <c r="Z241" s="50" t="str">
        <f t="shared" si="82"/>
        <v>THUMB_ATCH_FILE_SN INTEGER,</v>
      </c>
      <c r="AA241" s="50" t="str">
        <f t="shared" si="79"/>
        <v>ALTER TABLE TB_NTT ADD CONSTRAINT TB_NTT_FKEY2 FOREIGN KEY(THUMB_ATCH_FILE_SN) REFERENCES TB_ATCH_FILE(ATCH_FILE_SN) ON UPDATE CASCADE ON DELETE SET NULL;</v>
      </c>
      <c r="AB241" s="50" t="str">
        <f t="shared" si="80"/>
        <v/>
      </c>
      <c r="AC241" s="50" t="str">
        <f t="shared" si="73"/>
        <v/>
      </c>
      <c r="AD241" s="50" t="str">
        <f t="shared" si="74"/>
        <v>ALTER TABLE TB_NTT ALTER COLUMN THUMB_ATCH_FILE_SN TYPE INTEGER;</v>
      </c>
      <c r="AE241" s="50" t="str">
        <f t="shared" si="75"/>
        <v>ALTER TABLE TB_NTT ADD COLUMN THUMB_ATCH_FILE_SN INTEGER;</v>
      </c>
      <c r="AF241" s="50" t="str">
        <f t="shared" si="76"/>
        <v>ALTER TABLE TB_NTT DROP COLUMN THUMB_ATCH_FILE_SN;</v>
      </c>
      <c r="AG241" s="50" t="str">
        <f t="shared" si="77"/>
        <v/>
      </c>
      <c r="AH241" s="50" t="str">
        <f t="shared" si="81"/>
        <v>COMMENT ON COLUMN TB_NTT.THUMB_ATCH_FILE_SN IS '썸네일 첨부 파일 일련번호' ;</v>
      </c>
    </row>
    <row r="242" spans="1:34" ht="20" customHeight="1">
      <c r="A242" s="55">
        <v>238</v>
      </c>
      <c r="B242" s="26" t="s">
        <v>7</v>
      </c>
      <c r="C242" s="26" t="s">
        <v>16</v>
      </c>
      <c r="D242" s="10" t="s">
        <v>283</v>
      </c>
      <c r="E242" s="10" t="s">
        <v>284</v>
      </c>
      <c r="F242" s="97">
        <v>6</v>
      </c>
      <c r="G242" s="106" t="s">
        <v>304</v>
      </c>
      <c r="H242" s="106" t="s">
        <v>299</v>
      </c>
      <c r="I242" s="45"/>
      <c r="J242" s="45"/>
      <c r="K242" s="45"/>
      <c r="L242" s="45"/>
      <c r="M242" s="45"/>
      <c r="N242" s="45"/>
      <c r="O242" s="45"/>
      <c r="P242" s="106" t="s">
        <v>329</v>
      </c>
      <c r="Q242" s="97"/>
      <c r="R242" s="45"/>
      <c r="S242" s="106" t="s">
        <v>341</v>
      </c>
      <c r="T242" s="83"/>
      <c r="U242" s="83"/>
      <c r="V242" s="106"/>
      <c r="W242" s="45"/>
      <c r="X242" s="83"/>
      <c r="Y242" s="129" t="str">
        <f t="shared" si="78"/>
        <v>TB_NTT</v>
      </c>
      <c r="Z242" s="50" t="str">
        <f t="shared" si="82"/>
        <v>NTT_CN TEXT,</v>
      </c>
      <c r="AA242" s="50" t="str">
        <f t="shared" si="79"/>
        <v/>
      </c>
      <c r="AB242" s="50" t="str">
        <f t="shared" si="80"/>
        <v/>
      </c>
      <c r="AC242" s="50" t="str">
        <f t="shared" si="73"/>
        <v/>
      </c>
      <c r="AD242" s="50" t="str">
        <f t="shared" si="74"/>
        <v>ALTER TABLE TB_NTT ALTER COLUMN NTT_CN TYPE TEXT;</v>
      </c>
      <c r="AE242" s="50" t="str">
        <f t="shared" si="75"/>
        <v>ALTER TABLE TB_NTT ADD COLUMN NTT_CN TEXT;</v>
      </c>
      <c r="AF242" s="50" t="str">
        <f t="shared" si="76"/>
        <v>ALTER TABLE TB_NTT DROP COLUMN NTT_CN;</v>
      </c>
      <c r="AG242" s="50" t="str">
        <f t="shared" si="77"/>
        <v/>
      </c>
      <c r="AH242" s="50" t="str">
        <f t="shared" si="81"/>
        <v>COMMENT ON COLUMN TB_NTT.NTT_CN IS '게시물 내용' ;</v>
      </c>
    </row>
    <row r="243" spans="1:34" ht="20" customHeight="1">
      <c r="A243" s="55">
        <v>239</v>
      </c>
      <c r="B243" s="26" t="s">
        <v>7</v>
      </c>
      <c r="C243" s="26" t="s">
        <v>16</v>
      </c>
      <c r="D243" s="10" t="s">
        <v>283</v>
      </c>
      <c r="E243" s="10" t="s">
        <v>284</v>
      </c>
      <c r="F243" s="97">
        <v>7</v>
      </c>
      <c r="G243" s="105" t="s">
        <v>372</v>
      </c>
      <c r="H243" s="105" t="s">
        <v>374</v>
      </c>
      <c r="I243" s="45"/>
      <c r="J243" s="45"/>
      <c r="K243" s="45">
        <v>3</v>
      </c>
      <c r="L243" s="10" t="s">
        <v>371</v>
      </c>
      <c r="M243" s="101" t="s">
        <v>372</v>
      </c>
      <c r="N243" s="101" t="s">
        <v>562</v>
      </c>
      <c r="O243" s="101" t="s">
        <v>563</v>
      </c>
      <c r="P243" s="51" t="s">
        <v>229</v>
      </c>
      <c r="Q243" s="124"/>
      <c r="R243" s="45"/>
      <c r="S243" s="106" t="s">
        <v>376</v>
      </c>
      <c r="T243" s="83"/>
      <c r="U243" s="83"/>
      <c r="V243" s="106"/>
      <c r="W243" s="45"/>
      <c r="X243" s="83"/>
      <c r="Y243" s="129" t="str">
        <f t="shared" si="78"/>
        <v>TB_NTT</v>
      </c>
      <c r="Z243" s="50" t="str">
        <f t="shared" si="82"/>
        <v>ATCH_FILE_SN INTEGER,</v>
      </c>
      <c r="AA243" s="50" t="str">
        <f t="shared" si="79"/>
        <v>ALTER TABLE TB_NTT ADD CONSTRAINT TB_NTT_FKEY3 FOREIGN KEY(ATCH_FILE_SN) REFERENCES TB_ATCH_FILE(ATCH_FILE_SN) ON UPDATE CASCADE ON DELETE SET NULL;</v>
      </c>
      <c r="AB243" s="50" t="str">
        <f t="shared" si="80"/>
        <v/>
      </c>
      <c r="AC243" s="50" t="str">
        <f t="shared" si="73"/>
        <v/>
      </c>
      <c r="AD243" s="50" t="str">
        <f t="shared" si="74"/>
        <v>ALTER TABLE TB_NTT ALTER COLUMN ATCH_FILE_SN TYPE INTEGER;</v>
      </c>
      <c r="AE243" s="50" t="str">
        <f t="shared" si="75"/>
        <v>ALTER TABLE TB_NTT ADD COLUMN ATCH_FILE_SN INTEGER;</v>
      </c>
      <c r="AF243" s="50" t="str">
        <f t="shared" si="76"/>
        <v>ALTER TABLE TB_NTT DROP COLUMN ATCH_FILE_SN;</v>
      </c>
      <c r="AG243" s="50" t="str">
        <f t="shared" si="77"/>
        <v/>
      </c>
      <c r="AH243" s="50" t="str">
        <f t="shared" si="81"/>
        <v>COMMENT ON COLUMN TB_NTT.ATCH_FILE_SN IS '첨부 파일 일련번호' ;</v>
      </c>
    </row>
    <row r="244" spans="1:34" ht="20" customHeight="1">
      <c r="A244" s="55">
        <v>240</v>
      </c>
      <c r="B244" s="26" t="s">
        <v>7</v>
      </c>
      <c r="C244" s="26" t="s">
        <v>16</v>
      </c>
      <c r="D244" s="10" t="s">
        <v>283</v>
      </c>
      <c r="E244" s="10" t="s">
        <v>284</v>
      </c>
      <c r="F244" s="97">
        <v>8</v>
      </c>
      <c r="G244" s="106" t="s">
        <v>331</v>
      </c>
      <c r="H244" s="106" t="s">
        <v>300</v>
      </c>
      <c r="I244" s="75"/>
      <c r="J244" s="45"/>
      <c r="K244" s="45"/>
      <c r="L244" s="45"/>
      <c r="M244" s="45"/>
      <c r="N244" s="45"/>
      <c r="O244" s="45"/>
      <c r="P244" s="106" t="s">
        <v>229</v>
      </c>
      <c r="Q244" s="97"/>
      <c r="R244" s="45"/>
      <c r="S244" s="106" t="s">
        <v>342</v>
      </c>
      <c r="T244" s="83"/>
      <c r="U244" s="83"/>
      <c r="V244" s="106"/>
      <c r="W244" s="45"/>
      <c r="X244" s="83"/>
      <c r="Y244" s="129" t="str">
        <f t="shared" si="78"/>
        <v>TB_NTT</v>
      </c>
      <c r="Z244" s="50" t="str">
        <f t="shared" si="82"/>
        <v>NTT_RDCNT INTEGER,</v>
      </c>
      <c r="AA244" s="50" t="str">
        <f t="shared" si="79"/>
        <v/>
      </c>
      <c r="AB244" s="50" t="str">
        <f t="shared" si="80"/>
        <v/>
      </c>
      <c r="AC244" s="50" t="str">
        <f t="shared" si="73"/>
        <v/>
      </c>
      <c r="AD244" s="50" t="str">
        <f t="shared" si="74"/>
        <v>ALTER TABLE TB_NTT ALTER COLUMN NTT_RDCNT TYPE INTEGER;</v>
      </c>
      <c r="AE244" s="50" t="str">
        <f t="shared" si="75"/>
        <v>ALTER TABLE TB_NTT ADD COLUMN NTT_RDCNT INTEGER;</v>
      </c>
      <c r="AF244" s="50" t="str">
        <f t="shared" si="76"/>
        <v>ALTER TABLE TB_NTT DROP COLUMN NTT_RDCNT;</v>
      </c>
      <c r="AG244" s="50" t="str">
        <f t="shared" si="77"/>
        <v/>
      </c>
      <c r="AH244" s="50" t="str">
        <f t="shared" si="81"/>
        <v>COMMENT ON COLUMN TB_NTT.NTT_RDCNT IS '게시물 조회수' ;</v>
      </c>
    </row>
    <row r="245" spans="1:34" ht="20" customHeight="1">
      <c r="A245" s="55">
        <v>241</v>
      </c>
      <c r="B245" s="26" t="s">
        <v>7</v>
      </c>
      <c r="C245" s="26" t="s">
        <v>16</v>
      </c>
      <c r="D245" s="10" t="s">
        <v>283</v>
      </c>
      <c r="E245" s="10" t="s">
        <v>284</v>
      </c>
      <c r="F245" s="97">
        <v>9</v>
      </c>
      <c r="G245" s="106" t="s">
        <v>335</v>
      </c>
      <c r="H245" s="106" t="s">
        <v>336</v>
      </c>
      <c r="I245" s="75" t="s">
        <v>72</v>
      </c>
      <c r="J245" s="45"/>
      <c r="K245" s="45"/>
      <c r="L245" s="45"/>
      <c r="M245" s="45"/>
      <c r="N245" s="45"/>
      <c r="O245" s="45"/>
      <c r="P245" s="51" t="s">
        <v>106</v>
      </c>
      <c r="Q245" s="126" t="s">
        <v>544</v>
      </c>
      <c r="R245" s="45"/>
      <c r="S245" s="106" t="s">
        <v>348</v>
      </c>
      <c r="T245" s="83"/>
      <c r="U245" s="83"/>
      <c r="V245" s="106"/>
      <c r="W245" s="45"/>
      <c r="X245" s="83"/>
      <c r="Y245" s="129" t="str">
        <f t="shared" si="78"/>
        <v>TB_NTT</v>
      </c>
      <c r="Z245" s="50" t="str">
        <f t="shared" si="82"/>
        <v>OPEN_YN VARCHAR(1) NOT NULL,</v>
      </c>
      <c r="AA245" s="50" t="str">
        <f t="shared" si="79"/>
        <v/>
      </c>
      <c r="AB245" s="50" t="str">
        <f t="shared" si="80"/>
        <v/>
      </c>
      <c r="AC245" s="50" t="str">
        <f t="shared" si="73"/>
        <v/>
      </c>
      <c r="AD245" s="50" t="str">
        <f t="shared" si="74"/>
        <v>ALTER TABLE TB_NTT ALTER COLUMN OPEN_YN TYPE VARCHAR(1);</v>
      </c>
      <c r="AE245" s="50" t="str">
        <f t="shared" si="75"/>
        <v>ALTER TABLE TB_NTT ADD COLUMN OPEN_YN VARCHAR(1) NOT NULL;</v>
      </c>
      <c r="AF245" s="50" t="str">
        <f t="shared" si="76"/>
        <v>ALTER TABLE TB_NTT DROP COLUMN OPEN_YN;</v>
      </c>
      <c r="AG245" s="50" t="str">
        <f t="shared" si="77"/>
        <v/>
      </c>
      <c r="AH245" s="50" t="str">
        <f t="shared" si="81"/>
        <v>COMMENT ON COLUMN TB_NTT.OPEN_YN IS '공개 여부' ;</v>
      </c>
    </row>
    <row r="246" spans="1:34" ht="20" customHeight="1">
      <c r="A246" s="55">
        <v>242</v>
      </c>
      <c r="B246" s="26" t="s">
        <v>7</v>
      </c>
      <c r="C246" s="26" t="s">
        <v>16</v>
      </c>
      <c r="D246" s="10" t="s">
        <v>283</v>
      </c>
      <c r="E246" s="10" t="s">
        <v>284</v>
      </c>
      <c r="F246" s="97">
        <v>10</v>
      </c>
      <c r="G246" s="106" t="s">
        <v>593</v>
      </c>
      <c r="H246" s="106" t="s">
        <v>595</v>
      </c>
      <c r="I246" s="75"/>
      <c r="J246" s="45"/>
      <c r="K246" s="45"/>
      <c r="L246" s="45"/>
      <c r="M246" s="45"/>
      <c r="N246" s="45"/>
      <c r="O246" s="45"/>
      <c r="P246" s="51" t="s">
        <v>106</v>
      </c>
      <c r="Q246" s="126" t="s">
        <v>544</v>
      </c>
      <c r="R246" s="45"/>
      <c r="S246" s="106" t="s">
        <v>596</v>
      </c>
      <c r="T246" s="83"/>
      <c r="U246" s="83"/>
      <c r="V246" s="106"/>
      <c r="W246" s="45"/>
      <c r="X246" s="83"/>
      <c r="Y246" s="129" t="str">
        <f t="shared" si="78"/>
        <v>TB_NTT</v>
      </c>
      <c r="Z246" s="50" t="str">
        <f t="shared" si="82"/>
        <v>NOTICE_SET_YN VARCHAR(1),</v>
      </c>
      <c r="AA246" s="50" t="str">
        <f t="shared" si="79"/>
        <v/>
      </c>
      <c r="AB246" s="50" t="str">
        <f t="shared" si="80"/>
        <v/>
      </c>
      <c r="AC246" s="50" t="str">
        <f t="shared" si="73"/>
        <v/>
      </c>
      <c r="AD246" s="50" t="str">
        <f t="shared" si="74"/>
        <v>ALTER TABLE TB_NTT ALTER COLUMN NOTICE_SET_YN TYPE VARCHAR(1);</v>
      </c>
      <c r="AE246" s="50" t="str">
        <f t="shared" si="75"/>
        <v>ALTER TABLE TB_NTT ADD COLUMN NOTICE_SET_YN VARCHAR(1);</v>
      </c>
      <c r="AF246" s="50" t="str">
        <f t="shared" si="76"/>
        <v>ALTER TABLE TB_NTT DROP COLUMN NOTICE_SET_YN;</v>
      </c>
      <c r="AG246" s="50" t="str">
        <f t="shared" si="77"/>
        <v/>
      </c>
      <c r="AH246" s="50" t="str">
        <f t="shared" si="81"/>
        <v>COMMENT ON COLUMN TB_NTT.NOTICE_SET_YN IS '공지 설정 여부' ;</v>
      </c>
    </row>
    <row r="247" spans="1:34" ht="20" customHeight="1">
      <c r="A247" s="55">
        <v>243</v>
      </c>
      <c r="B247" s="26" t="s">
        <v>7</v>
      </c>
      <c r="C247" s="26" t="s">
        <v>16</v>
      </c>
      <c r="D247" s="10" t="s">
        <v>283</v>
      </c>
      <c r="E247" s="10" t="s">
        <v>284</v>
      </c>
      <c r="F247" s="97">
        <v>11</v>
      </c>
      <c r="G247" s="106" t="s">
        <v>347</v>
      </c>
      <c r="H247" s="106" t="s">
        <v>346</v>
      </c>
      <c r="I247" s="75"/>
      <c r="J247" s="45"/>
      <c r="K247" s="45"/>
      <c r="L247" s="45"/>
      <c r="M247" s="45"/>
      <c r="N247" s="45"/>
      <c r="O247" s="45"/>
      <c r="P247" s="109" t="s">
        <v>229</v>
      </c>
      <c r="Q247" s="47"/>
      <c r="R247" s="45"/>
      <c r="S247" s="106" t="s">
        <v>349</v>
      </c>
      <c r="T247" s="132"/>
      <c r="U247" s="132"/>
      <c r="V247" s="106"/>
      <c r="W247" s="45"/>
      <c r="X247" s="83"/>
      <c r="Y247" s="129" t="str">
        <f t="shared" si="78"/>
        <v>TB_NTT</v>
      </c>
      <c r="Z247" s="50" t="str">
        <f t="shared" si="82"/>
        <v>NOTICE_SEQ INTEGER,</v>
      </c>
      <c r="AA247" s="50" t="str">
        <f t="shared" si="79"/>
        <v/>
      </c>
      <c r="AB247" s="50" t="str">
        <f t="shared" si="80"/>
        <v/>
      </c>
      <c r="AC247" s="50" t="str">
        <f t="shared" si="73"/>
        <v/>
      </c>
      <c r="AD247" s="50" t="str">
        <f t="shared" si="74"/>
        <v>ALTER TABLE TB_NTT ALTER COLUMN NOTICE_SEQ TYPE INTEGER;</v>
      </c>
      <c r="AE247" s="50" t="str">
        <f t="shared" si="75"/>
        <v>ALTER TABLE TB_NTT ADD COLUMN NOTICE_SEQ INTEGER;</v>
      </c>
      <c r="AF247" s="50" t="str">
        <f t="shared" si="76"/>
        <v>ALTER TABLE TB_NTT DROP COLUMN NOTICE_SEQ;</v>
      </c>
      <c r="AG247" s="50" t="str">
        <f t="shared" si="77"/>
        <v/>
      </c>
      <c r="AH247" s="50" t="str">
        <f t="shared" si="81"/>
        <v>COMMENT ON COLUMN TB_NTT.NOTICE_SEQ IS '공지 순번' ;</v>
      </c>
    </row>
    <row r="248" spans="1:34" ht="20" customHeight="1">
      <c r="A248" s="55">
        <v>244</v>
      </c>
      <c r="B248" s="26" t="s">
        <v>7</v>
      </c>
      <c r="C248" s="26" t="s">
        <v>16</v>
      </c>
      <c r="D248" s="10" t="s">
        <v>283</v>
      </c>
      <c r="E248" s="10" t="s">
        <v>284</v>
      </c>
      <c r="F248" s="97">
        <v>12</v>
      </c>
      <c r="G248" s="102" t="s">
        <v>107</v>
      </c>
      <c r="H248" s="51" t="s">
        <v>76</v>
      </c>
      <c r="I248" s="75" t="s">
        <v>72</v>
      </c>
      <c r="J248" s="67"/>
      <c r="K248" s="67"/>
      <c r="L248" s="82"/>
      <c r="M248" s="82"/>
      <c r="N248" s="82"/>
      <c r="O248" s="82"/>
      <c r="P248" s="105" t="s">
        <v>543</v>
      </c>
      <c r="Q248" s="126" t="s">
        <v>548</v>
      </c>
      <c r="R248" s="85"/>
      <c r="S248" s="112" t="s">
        <v>219</v>
      </c>
      <c r="T248" s="130"/>
      <c r="U248" s="130"/>
      <c r="V248" s="123" t="s">
        <v>518</v>
      </c>
      <c r="W248" s="90"/>
      <c r="X248" s="130"/>
      <c r="Y248" s="129" t="str">
        <f t="shared" si="78"/>
        <v>TB_NTT</v>
      </c>
      <c r="Z248" s="50" t="str">
        <f t="shared" si="82"/>
        <v>REGISTER_ID VARCHAR(50) NOT NULL,</v>
      </c>
      <c r="AA248" s="50" t="str">
        <f t="shared" si="79"/>
        <v/>
      </c>
      <c r="AB248" s="50" t="str">
        <f t="shared" si="80"/>
        <v/>
      </c>
      <c r="AC248" s="50" t="str">
        <f t="shared" si="73"/>
        <v/>
      </c>
      <c r="AD248" s="50" t="str">
        <f t="shared" si="74"/>
        <v>ALTER TABLE TB_NTT ALTER COLUMN REGISTER_ID TYPE VARCHAR(50);</v>
      </c>
      <c r="AE248" s="50" t="str">
        <f t="shared" si="75"/>
        <v>ALTER TABLE TB_NTT ADD COLUMN REGISTER_ID VARCHAR(50) NOT NULL;</v>
      </c>
      <c r="AF248" s="50" t="str">
        <f t="shared" si="76"/>
        <v>ALTER TABLE TB_NTT DROP COLUMN REGISTER_ID;</v>
      </c>
      <c r="AG248" s="50" t="str">
        <f t="shared" si="77"/>
        <v/>
      </c>
      <c r="AH248" s="50" t="e">
        <f>"COMMENT ON COLUMN "&amp;D248&amp;"."&amp;#REF!&amp;" IS '"&amp;#REF!&amp;"' ;"</f>
        <v>#REF!</v>
      </c>
    </row>
    <row r="249" spans="1:34" ht="20" customHeight="1">
      <c r="A249" s="55">
        <v>245</v>
      </c>
      <c r="B249" s="26" t="s">
        <v>7</v>
      </c>
      <c r="C249" s="26" t="s">
        <v>16</v>
      </c>
      <c r="D249" s="10" t="s">
        <v>283</v>
      </c>
      <c r="E249" s="10" t="s">
        <v>284</v>
      </c>
      <c r="F249" s="97">
        <v>13</v>
      </c>
      <c r="G249" s="102" t="s">
        <v>91</v>
      </c>
      <c r="H249" s="51" t="s">
        <v>77</v>
      </c>
      <c r="I249" s="75" t="s">
        <v>72</v>
      </c>
      <c r="J249" s="52"/>
      <c r="K249" s="52"/>
      <c r="L249" s="52"/>
      <c r="M249" s="52"/>
      <c r="N249" s="52"/>
      <c r="O249" s="52"/>
      <c r="P249" s="56" t="s">
        <v>106</v>
      </c>
      <c r="Q249" s="126" t="s">
        <v>549</v>
      </c>
      <c r="R249" s="85"/>
      <c r="S249" s="112" t="s">
        <v>218</v>
      </c>
      <c r="T249" s="130"/>
      <c r="U249" s="130"/>
      <c r="V249" s="109"/>
      <c r="W249" s="90"/>
      <c r="X249" s="130"/>
      <c r="Y249" s="129" t="str">
        <f t="shared" si="78"/>
        <v>TB_NTT</v>
      </c>
      <c r="Z249" s="50" t="str">
        <f t="shared" si="82"/>
        <v>REGISTER_IP VARCHAR(100) NOT NULL,</v>
      </c>
      <c r="AA249" s="50" t="str">
        <f t="shared" si="79"/>
        <v/>
      </c>
      <c r="AB249" s="50" t="str">
        <f t="shared" si="80"/>
        <v/>
      </c>
      <c r="AC249" s="50" t="str">
        <f t="shared" si="73"/>
        <v/>
      </c>
      <c r="AD249" s="50" t="str">
        <f t="shared" si="74"/>
        <v>ALTER TABLE TB_NTT ALTER COLUMN REGISTER_IP TYPE VARCHAR(100);</v>
      </c>
      <c r="AE249" s="50" t="str">
        <f t="shared" si="75"/>
        <v>ALTER TABLE TB_NTT ADD COLUMN REGISTER_IP VARCHAR(100) NOT NULL;</v>
      </c>
      <c r="AF249" s="50" t="str">
        <f t="shared" si="76"/>
        <v>ALTER TABLE TB_NTT DROP COLUMN REGISTER_IP;</v>
      </c>
      <c r="AG249" s="50" t="str">
        <f t="shared" si="77"/>
        <v/>
      </c>
      <c r="AH249" s="50" t="e">
        <f>"COMMENT ON COLUMN "&amp;D249&amp;"."&amp;#REF!&amp;" IS '"&amp;#REF!&amp;"' ;"</f>
        <v>#REF!</v>
      </c>
    </row>
    <row r="250" spans="1:34" ht="20" customHeight="1">
      <c r="A250" s="55">
        <v>246</v>
      </c>
      <c r="B250" s="26" t="s">
        <v>7</v>
      </c>
      <c r="C250" s="26" t="s">
        <v>16</v>
      </c>
      <c r="D250" s="10" t="s">
        <v>283</v>
      </c>
      <c r="E250" s="10" t="s">
        <v>284</v>
      </c>
      <c r="F250" s="97">
        <v>14</v>
      </c>
      <c r="G250" s="102" t="s">
        <v>92</v>
      </c>
      <c r="H250" s="101" t="s">
        <v>78</v>
      </c>
      <c r="I250" s="75" t="s">
        <v>72</v>
      </c>
      <c r="J250" s="52"/>
      <c r="K250" s="52"/>
      <c r="L250" s="52"/>
      <c r="M250" s="52"/>
      <c r="N250" s="52"/>
      <c r="O250" s="52"/>
      <c r="P250" s="51" t="s">
        <v>732</v>
      </c>
      <c r="Q250" s="126"/>
      <c r="R250" s="85"/>
      <c r="S250" s="112" t="s">
        <v>217</v>
      </c>
      <c r="T250" s="130"/>
      <c r="U250" s="130"/>
      <c r="V250" s="109"/>
      <c r="W250" s="90"/>
      <c r="X250" s="130"/>
      <c r="Y250" s="129" t="str">
        <f t="shared" si="78"/>
        <v>TB_NTT</v>
      </c>
      <c r="Z250" s="50" t="str">
        <f t="shared" si="82"/>
        <v>REG_DT TIMESTAMP NOT NULL,</v>
      </c>
      <c r="AA250" s="50" t="str">
        <f t="shared" si="79"/>
        <v/>
      </c>
      <c r="AB250" s="50" t="str">
        <f t="shared" si="80"/>
        <v/>
      </c>
      <c r="AC250" s="50" t="str">
        <f t="shared" si="73"/>
        <v/>
      </c>
      <c r="AD250" s="50" t="str">
        <f t="shared" si="74"/>
        <v>ALTER TABLE TB_NTT ALTER COLUMN REG_DT TYPE TIMESTAMP;</v>
      </c>
      <c r="AE250" s="50" t="str">
        <f t="shared" si="75"/>
        <v>ALTER TABLE TB_NTT ADD COLUMN REG_DT TIMESTAMP NOT NULL;</v>
      </c>
      <c r="AF250" s="50" t="str">
        <f t="shared" si="76"/>
        <v>ALTER TABLE TB_NTT DROP COLUMN REG_DT;</v>
      </c>
      <c r="AG250" s="50" t="str">
        <f t="shared" si="77"/>
        <v/>
      </c>
      <c r="AH250" s="50" t="e">
        <f>"COMMENT ON COLUMN "&amp;D250&amp;"."&amp;#REF!&amp;" IS '"&amp;#REF!&amp;"' ;"</f>
        <v>#REF!</v>
      </c>
    </row>
    <row r="251" spans="1:34" ht="20" customHeight="1">
      <c r="A251" s="55">
        <v>247</v>
      </c>
      <c r="B251" s="26" t="s">
        <v>7</v>
      </c>
      <c r="C251" s="26" t="s">
        <v>16</v>
      </c>
      <c r="D251" s="10" t="s">
        <v>283</v>
      </c>
      <c r="E251" s="10" t="s">
        <v>284</v>
      </c>
      <c r="F251" s="97">
        <v>15</v>
      </c>
      <c r="G251" s="102" t="s">
        <v>93</v>
      </c>
      <c r="H251" s="101" t="s">
        <v>80</v>
      </c>
      <c r="I251" s="52"/>
      <c r="J251" s="52"/>
      <c r="K251" s="52"/>
      <c r="L251" s="84"/>
      <c r="M251" s="84"/>
      <c r="N251" s="84"/>
      <c r="O251" s="84"/>
      <c r="P251" s="105" t="s">
        <v>543</v>
      </c>
      <c r="Q251" s="126" t="s">
        <v>548</v>
      </c>
      <c r="R251" s="85"/>
      <c r="S251" s="112" t="s">
        <v>216</v>
      </c>
      <c r="T251" s="130"/>
      <c r="U251" s="130"/>
      <c r="V251" s="123" t="s">
        <v>518</v>
      </c>
      <c r="W251" s="90"/>
      <c r="X251" s="130"/>
      <c r="Y251" s="129" t="str">
        <f t="shared" si="78"/>
        <v>TB_NTT</v>
      </c>
      <c r="Z251" s="50" t="str">
        <f t="shared" si="82"/>
        <v>UPDUSR_ID VARCHAR(50),</v>
      </c>
      <c r="AA251" s="50" t="str">
        <f t="shared" si="79"/>
        <v/>
      </c>
      <c r="AB251" s="50" t="str">
        <f t="shared" si="80"/>
        <v/>
      </c>
      <c r="AC251" s="50" t="str">
        <f t="shared" si="73"/>
        <v/>
      </c>
      <c r="AD251" s="50" t="str">
        <f t="shared" si="74"/>
        <v>ALTER TABLE TB_NTT ALTER COLUMN UPDUSR_ID TYPE VARCHAR(50);</v>
      </c>
      <c r="AE251" s="50" t="str">
        <f t="shared" si="75"/>
        <v>ALTER TABLE TB_NTT ADD COLUMN UPDUSR_ID VARCHAR(50);</v>
      </c>
      <c r="AF251" s="50" t="str">
        <f t="shared" si="76"/>
        <v>ALTER TABLE TB_NTT DROP COLUMN UPDUSR_ID;</v>
      </c>
      <c r="AG251" s="50" t="str">
        <f t="shared" si="77"/>
        <v/>
      </c>
      <c r="AH251" s="50" t="e">
        <f>"COMMENT ON COLUMN "&amp;D251&amp;"."&amp;#REF!&amp;" IS '"&amp;#REF!&amp;"' ;"</f>
        <v>#REF!</v>
      </c>
    </row>
    <row r="252" spans="1:34" ht="20" customHeight="1">
      <c r="A252" s="55">
        <v>248</v>
      </c>
      <c r="B252" s="26" t="s">
        <v>7</v>
      </c>
      <c r="C252" s="26" t="s">
        <v>16</v>
      </c>
      <c r="D252" s="10" t="s">
        <v>283</v>
      </c>
      <c r="E252" s="10" t="s">
        <v>284</v>
      </c>
      <c r="F252" s="97">
        <v>16</v>
      </c>
      <c r="G252" s="102" t="s">
        <v>94</v>
      </c>
      <c r="H252" s="101" t="s">
        <v>79</v>
      </c>
      <c r="I252" s="52"/>
      <c r="J252" s="52"/>
      <c r="K252" s="52"/>
      <c r="L252" s="52"/>
      <c r="M252" s="52"/>
      <c r="N252" s="52"/>
      <c r="O252" s="52"/>
      <c r="P252" s="56" t="s">
        <v>106</v>
      </c>
      <c r="Q252" s="126" t="s">
        <v>549</v>
      </c>
      <c r="R252" s="85"/>
      <c r="S252" s="112" t="s">
        <v>215</v>
      </c>
      <c r="T252" s="130"/>
      <c r="U252" s="130"/>
      <c r="V252" s="109"/>
      <c r="W252" s="90"/>
      <c r="X252" s="130"/>
      <c r="Y252" s="129" t="str">
        <f t="shared" si="78"/>
        <v>TB_NTT</v>
      </c>
      <c r="Z252" s="50" t="str">
        <f t="shared" si="82"/>
        <v>UPDUSR_IP VARCHAR(100),</v>
      </c>
      <c r="AA252" s="50" t="str">
        <f t="shared" si="79"/>
        <v/>
      </c>
      <c r="AB252" s="50" t="str">
        <f t="shared" si="80"/>
        <v/>
      </c>
      <c r="AC252" s="50" t="str">
        <f t="shared" si="73"/>
        <v/>
      </c>
      <c r="AD252" s="50" t="str">
        <f t="shared" si="74"/>
        <v>ALTER TABLE TB_NTT ALTER COLUMN UPDUSR_IP TYPE VARCHAR(100);</v>
      </c>
      <c r="AE252" s="50" t="str">
        <f t="shared" si="75"/>
        <v>ALTER TABLE TB_NTT ADD COLUMN UPDUSR_IP VARCHAR(100);</v>
      </c>
      <c r="AF252" s="50" t="str">
        <f t="shared" si="76"/>
        <v>ALTER TABLE TB_NTT DROP COLUMN UPDUSR_IP;</v>
      </c>
      <c r="AG252" s="50" t="str">
        <f t="shared" si="77"/>
        <v/>
      </c>
      <c r="AH252" s="50" t="e">
        <f>"COMMENT ON COLUMN "&amp;D252&amp;"."&amp;#REF!&amp;" IS '"&amp;#REF!&amp;"' ;"</f>
        <v>#REF!</v>
      </c>
    </row>
    <row r="253" spans="1:34" ht="20" customHeight="1">
      <c r="A253" s="55">
        <v>249</v>
      </c>
      <c r="B253" s="26" t="s">
        <v>7</v>
      </c>
      <c r="C253" s="26" t="s">
        <v>16</v>
      </c>
      <c r="D253" s="10" t="s">
        <v>283</v>
      </c>
      <c r="E253" s="10" t="s">
        <v>284</v>
      </c>
      <c r="F253" s="97">
        <v>17</v>
      </c>
      <c r="G253" s="103" t="s">
        <v>95</v>
      </c>
      <c r="H253" s="102" t="s">
        <v>81</v>
      </c>
      <c r="I253" s="61"/>
      <c r="J253" s="61"/>
      <c r="K253" s="61"/>
      <c r="L253" s="61"/>
      <c r="M253" s="61"/>
      <c r="N253" s="61"/>
      <c r="O253" s="61"/>
      <c r="P253" s="51" t="s">
        <v>732</v>
      </c>
      <c r="Q253" s="126"/>
      <c r="R253" s="82"/>
      <c r="S253" s="112" t="s">
        <v>214</v>
      </c>
      <c r="T253" s="130"/>
      <c r="U253" s="130"/>
      <c r="V253" s="109"/>
      <c r="W253" s="90"/>
      <c r="X253" s="130"/>
      <c r="Y253" s="129" t="str">
        <f t="shared" si="78"/>
        <v>TB_NTT</v>
      </c>
      <c r="Z253" s="50" t="str">
        <f t="shared" si="82"/>
        <v>UPDT_DT TIMESTAMP,</v>
      </c>
      <c r="AA253" s="50" t="str">
        <f t="shared" si="79"/>
        <v/>
      </c>
      <c r="AB253" s="50" t="str">
        <f t="shared" si="80"/>
        <v/>
      </c>
      <c r="AC253" s="50" t="str">
        <f t="shared" si="73"/>
        <v/>
      </c>
      <c r="AD253" s="50" t="str">
        <f t="shared" si="74"/>
        <v>ALTER TABLE TB_NTT ALTER COLUMN UPDT_DT TYPE TIMESTAMP;</v>
      </c>
      <c r="AE253" s="50" t="str">
        <f t="shared" si="75"/>
        <v>ALTER TABLE TB_NTT ADD COLUMN UPDT_DT TIMESTAMP;</v>
      </c>
      <c r="AF253" s="50" t="str">
        <f t="shared" si="76"/>
        <v>ALTER TABLE TB_NTT DROP COLUMN UPDT_DT;</v>
      </c>
      <c r="AG253" s="50" t="str">
        <f t="shared" si="77"/>
        <v/>
      </c>
      <c r="AH253" s="50" t="e">
        <f>"COMMENT ON COLUMN "&amp;D253&amp;"."&amp;#REF!&amp;" IS '"&amp;#REF!&amp;"' ;"</f>
        <v>#REF!</v>
      </c>
    </row>
    <row r="254" spans="1:34" ht="20" customHeight="1">
      <c r="A254" s="55">
        <v>250</v>
      </c>
      <c r="B254" s="26" t="s">
        <v>7</v>
      </c>
      <c r="C254" s="26" t="s">
        <v>16</v>
      </c>
      <c r="D254" s="10" t="s">
        <v>283</v>
      </c>
      <c r="E254" s="10" t="s">
        <v>284</v>
      </c>
      <c r="F254" s="97">
        <v>18</v>
      </c>
      <c r="G254" s="102" t="s">
        <v>96</v>
      </c>
      <c r="H254" s="102" t="s">
        <v>82</v>
      </c>
      <c r="I254" s="75" t="s">
        <v>72</v>
      </c>
      <c r="J254" s="61"/>
      <c r="K254" s="61"/>
      <c r="L254" s="61"/>
      <c r="M254" s="61"/>
      <c r="N254" s="61"/>
      <c r="O254" s="61"/>
      <c r="P254" s="51" t="s">
        <v>106</v>
      </c>
      <c r="Q254" s="126" t="s">
        <v>544</v>
      </c>
      <c r="R254" s="87" t="s">
        <v>592</v>
      </c>
      <c r="S254" s="112" t="s">
        <v>213</v>
      </c>
      <c r="T254" s="130"/>
      <c r="U254" s="130"/>
      <c r="V254" s="109"/>
      <c r="W254" s="90"/>
      <c r="X254" s="130"/>
      <c r="Y254" s="129" t="str">
        <f t="shared" si="78"/>
        <v>TB_NTT</v>
      </c>
      <c r="Z254" s="50" t="str">
        <f t="shared" si="82"/>
        <v>DEL_YN VARCHAR(1) NOT NULL,</v>
      </c>
      <c r="AA254" s="50" t="str">
        <f t="shared" si="79"/>
        <v/>
      </c>
      <c r="AB254" s="50" t="str">
        <f t="shared" si="80"/>
        <v/>
      </c>
      <c r="AC254" s="50" t="str">
        <f t="shared" si="73"/>
        <v/>
      </c>
      <c r="AD254" s="50" t="str">
        <f t="shared" si="74"/>
        <v>ALTER TABLE TB_NTT ALTER COLUMN DEL_YN TYPE VARCHAR(1);</v>
      </c>
      <c r="AE254" s="50" t="str">
        <f t="shared" si="75"/>
        <v>ALTER TABLE TB_NTT ADD COLUMN DEL_YN VARCHAR(1) NOT NULL DEFAULT ''N'';</v>
      </c>
      <c r="AF254" s="50" t="str">
        <f t="shared" si="76"/>
        <v>ALTER TABLE TB_NTT DROP COLUMN DEL_YN;</v>
      </c>
      <c r="AG254" s="50" t="str">
        <f t="shared" si="77"/>
        <v>ALTER TABLE TB_NTT ALTER COLUMN DEL_YN SET DEFAULT 'N';</v>
      </c>
      <c r="AH254" s="50" t="e">
        <f>"COMMENT ON COLUMN "&amp;D254&amp;"."&amp;#REF!&amp;" IS '"&amp;#REF!&amp;"' ;"</f>
        <v>#REF!</v>
      </c>
    </row>
    <row r="255" spans="1:34" ht="20" customHeight="1">
      <c r="A255" s="55">
        <v>251</v>
      </c>
      <c r="B255" s="26" t="s">
        <v>7</v>
      </c>
      <c r="C255" s="26" t="s">
        <v>16</v>
      </c>
      <c r="D255" s="10" t="s">
        <v>747</v>
      </c>
      <c r="E255" s="10" t="s">
        <v>285</v>
      </c>
      <c r="F255" s="92">
        <v>1</v>
      </c>
      <c r="G255" s="109" t="s">
        <v>748</v>
      </c>
      <c r="H255" s="109" t="s">
        <v>332</v>
      </c>
      <c r="I255" s="75" t="s">
        <v>72</v>
      </c>
      <c r="J255" s="90">
        <v>1</v>
      </c>
      <c r="K255" s="90"/>
      <c r="L255" s="90"/>
      <c r="M255" s="90"/>
      <c r="N255" s="90"/>
      <c r="O255" s="90"/>
      <c r="P255" s="106" t="s">
        <v>229</v>
      </c>
      <c r="Q255" s="92"/>
      <c r="R255" s="90"/>
      <c r="S255" s="109" t="s">
        <v>343</v>
      </c>
      <c r="T255" s="132" t="str">
        <f>"SEQ_"&amp;D255&amp;"_SN"</f>
        <v>SEQ_TB_NTT_REPLY_SN</v>
      </c>
      <c r="U255" s="132"/>
      <c r="V255" s="109"/>
      <c r="W255" s="90"/>
      <c r="X255" s="130"/>
      <c r="Y255" s="129" t="str">
        <f t="shared" si="78"/>
        <v>TB_NTT_REPLY</v>
      </c>
      <c r="Z255" s="50" t="str">
        <f t="shared" si="82"/>
        <v>NTT_REPLY_SN INTEGER PRIMARY KEY,</v>
      </c>
      <c r="AA255" s="50" t="str">
        <f t="shared" si="79"/>
        <v/>
      </c>
      <c r="AB255" s="50" t="str">
        <f t="shared" si="80"/>
        <v>CREATE SEQUENCE SEQ_TB_NTT_REPLY_SN START 100000;</v>
      </c>
      <c r="AC255" s="50" t="str">
        <f t="shared" si="73"/>
        <v>ALTER TABLE TB_NTT_REPLY ALTER COLUMN NTT_REPLY_SN SET DEFAULT NEXTVAL('SEQ_TB_NTT_REPLY_SN');</v>
      </c>
      <c r="AD255" s="50" t="str">
        <f t="shared" si="74"/>
        <v>ALTER TABLE TB_NTT_REPLY ALTER COLUMN NTT_REPLY_SN TYPE INTEGER;</v>
      </c>
      <c r="AE255" s="50" t="str">
        <f t="shared" si="75"/>
        <v>ALTER TABLE TB_NTT_REPLY ADD COLUMN NTT_REPLY_SN INTEGER NOT NULL;</v>
      </c>
      <c r="AF255" s="50" t="str">
        <f t="shared" si="76"/>
        <v>ALTER TABLE TB_NTT_REPLY DROP COLUMN NTT_REPLY_SN;</v>
      </c>
      <c r="AG255" s="50" t="str">
        <f t="shared" si="77"/>
        <v/>
      </c>
      <c r="AH255" s="50" t="str">
        <f t="shared" si="81"/>
        <v>COMMENT ON COLUMN TB_NTT_REPLY.NTT_REPLY_SN IS '게시물 댓글 일련번호' ;</v>
      </c>
    </row>
    <row r="256" spans="1:34" ht="20" customHeight="1">
      <c r="A256" s="55">
        <v>252</v>
      </c>
      <c r="B256" s="26" t="s">
        <v>7</v>
      </c>
      <c r="C256" s="26" t="s">
        <v>16</v>
      </c>
      <c r="D256" s="10" t="s">
        <v>747</v>
      </c>
      <c r="E256" s="10" t="s">
        <v>285</v>
      </c>
      <c r="F256" s="92">
        <v>2</v>
      </c>
      <c r="G256" s="109" t="s">
        <v>301</v>
      </c>
      <c r="H256" s="109" t="s">
        <v>296</v>
      </c>
      <c r="I256" s="75" t="s">
        <v>72</v>
      </c>
      <c r="J256" s="90"/>
      <c r="K256" s="90">
        <v>1</v>
      </c>
      <c r="L256" s="10" t="s">
        <v>283</v>
      </c>
      <c r="M256" s="109" t="s">
        <v>301</v>
      </c>
      <c r="N256" s="100" t="s">
        <v>562</v>
      </c>
      <c r="O256" s="100" t="s">
        <v>564</v>
      </c>
      <c r="P256" s="106" t="s">
        <v>229</v>
      </c>
      <c r="Q256" s="92"/>
      <c r="R256" s="90"/>
      <c r="S256" s="109" t="s">
        <v>337</v>
      </c>
      <c r="T256" s="130"/>
      <c r="U256" s="130"/>
      <c r="V256" s="109"/>
      <c r="W256" s="90"/>
      <c r="X256" s="130"/>
      <c r="Y256" s="129" t="str">
        <f t="shared" si="78"/>
        <v>TB_NTT_REPLY</v>
      </c>
      <c r="Z256" s="50" t="str">
        <f t="shared" si="82"/>
        <v>NTT_SN INTEGER NOT NULL,</v>
      </c>
      <c r="AA256" s="50" t="str">
        <f t="shared" si="79"/>
        <v>ALTER TABLE TB_NTT_REPLY ADD CONSTRAINT TB_NTT_REPLY_FKEY1 FOREIGN KEY(NTT_SN) REFERENCES TB_NTT(NTT_SN) ON UPDATE CASCADE ON DELETE CASCADE;</v>
      </c>
      <c r="AB256" s="50" t="str">
        <f t="shared" si="80"/>
        <v/>
      </c>
      <c r="AC256" s="50" t="str">
        <f t="shared" si="73"/>
        <v/>
      </c>
      <c r="AD256" s="50" t="str">
        <f t="shared" si="74"/>
        <v>ALTER TABLE TB_NTT_REPLY ALTER COLUMN NTT_SN TYPE INTEGER;</v>
      </c>
      <c r="AE256" s="50" t="str">
        <f t="shared" si="75"/>
        <v>ALTER TABLE TB_NTT_REPLY ADD COLUMN NTT_SN INTEGER NOT NULL;</v>
      </c>
      <c r="AF256" s="50" t="str">
        <f t="shared" si="76"/>
        <v>ALTER TABLE TB_NTT_REPLY DROP COLUMN NTT_SN;</v>
      </c>
      <c r="AG256" s="50" t="str">
        <f t="shared" si="77"/>
        <v/>
      </c>
      <c r="AH256" s="50" t="str">
        <f t="shared" si="81"/>
        <v>COMMENT ON COLUMN TB_NTT_REPLY.NTT_SN IS '게시물 일련번호' ;</v>
      </c>
    </row>
    <row r="257" spans="1:34" ht="20" customHeight="1">
      <c r="A257" s="55">
        <v>253</v>
      </c>
      <c r="B257" s="26" t="s">
        <v>7</v>
      </c>
      <c r="C257" s="26" t="s">
        <v>16</v>
      </c>
      <c r="D257" s="10" t="s">
        <v>747</v>
      </c>
      <c r="E257" s="10" t="s">
        <v>285</v>
      </c>
      <c r="F257" s="92">
        <v>3</v>
      </c>
      <c r="G257" s="106" t="s">
        <v>654</v>
      </c>
      <c r="H257" s="106" t="s">
        <v>655</v>
      </c>
      <c r="I257" s="45"/>
      <c r="J257" s="45"/>
      <c r="K257" s="45"/>
      <c r="L257" s="83"/>
      <c r="M257" s="100"/>
      <c r="N257" s="100"/>
      <c r="O257" s="100"/>
      <c r="P257" s="106" t="s">
        <v>229</v>
      </c>
      <c r="Q257" s="126"/>
      <c r="R257" s="45"/>
      <c r="S257" s="106" t="s">
        <v>655</v>
      </c>
      <c r="T257" s="83"/>
      <c r="U257" s="83"/>
      <c r="V257" s="123" t="s">
        <v>638</v>
      </c>
      <c r="W257" s="45"/>
      <c r="X257" s="83"/>
      <c r="Y257" s="129" t="str">
        <f t="shared" ref="Y257:Y258" si="89">D257</f>
        <v>TB_NTT_REPLY</v>
      </c>
      <c r="Z257" s="50" t="str">
        <f t="shared" si="82"/>
        <v>STEP INTEGER,</v>
      </c>
      <c r="AA257" s="50" t="str">
        <f t="shared" si="79"/>
        <v/>
      </c>
      <c r="AB257" s="50" t="str">
        <f t="shared" si="80"/>
        <v/>
      </c>
      <c r="AC257" s="50" t="str">
        <f t="shared" si="73"/>
        <v/>
      </c>
      <c r="AD257" s="50" t="str">
        <f t="shared" si="74"/>
        <v>ALTER TABLE TB_NTT_REPLY ALTER COLUMN STEP TYPE INTEGER;</v>
      </c>
      <c r="AE257" s="50" t="str">
        <f t="shared" si="75"/>
        <v>ALTER TABLE TB_NTT_REPLY ADD COLUMN STEP INTEGER;</v>
      </c>
      <c r="AF257" s="50" t="str">
        <f t="shared" si="76"/>
        <v>ALTER TABLE TB_NTT_REPLY DROP COLUMN STEP;</v>
      </c>
      <c r="AG257" s="50" t="str">
        <f t="shared" si="77"/>
        <v/>
      </c>
      <c r="AH257" s="50" t="str">
        <f t="shared" ref="AH257:AH258" si="90">"COMMENT ON COLUMN "&amp;D257&amp;"."&amp;G257&amp;" IS '"&amp;S257&amp;"' ;"</f>
        <v>COMMENT ON COLUMN TB_NTT_REPLY.STEP IS '계층' ;</v>
      </c>
    </row>
    <row r="258" spans="1:34" ht="20" customHeight="1">
      <c r="A258" s="55">
        <v>254</v>
      </c>
      <c r="B258" s="26" t="s">
        <v>7</v>
      </c>
      <c r="C258" s="26" t="s">
        <v>16</v>
      </c>
      <c r="D258" s="10" t="s">
        <v>747</v>
      </c>
      <c r="E258" s="10" t="s">
        <v>285</v>
      </c>
      <c r="F258" s="92">
        <v>4</v>
      </c>
      <c r="G258" s="106" t="s">
        <v>749</v>
      </c>
      <c r="H258" s="106" t="s">
        <v>658</v>
      </c>
      <c r="I258" s="45"/>
      <c r="J258" s="45"/>
      <c r="K258" s="45"/>
      <c r="L258" s="83"/>
      <c r="M258" s="100"/>
      <c r="N258" s="100"/>
      <c r="O258" s="100"/>
      <c r="P258" s="106" t="s">
        <v>229</v>
      </c>
      <c r="Q258" s="126"/>
      <c r="R258" s="45"/>
      <c r="S258" s="106" t="s">
        <v>659</v>
      </c>
      <c r="T258" s="132"/>
      <c r="U258" s="83"/>
      <c r="V258" s="123" t="s">
        <v>639</v>
      </c>
      <c r="W258" s="45"/>
      <c r="X258" s="83"/>
      <c r="Y258" s="129" t="str">
        <f t="shared" si="89"/>
        <v>TB_NTT_REPLY</v>
      </c>
      <c r="Z258" s="50" t="str">
        <f t="shared" si="82"/>
        <v>PARNTS_REPLY_SN INTEGER,</v>
      </c>
      <c r="AA258" s="50" t="str">
        <f t="shared" si="79"/>
        <v/>
      </c>
      <c r="AB258" s="50" t="str">
        <f t="shared" si="80"/>
        <v/>
      </c>
      <c r="AC258" s="50" t="str">
        <f t="shared" si="73"/>
        <v/>
      </c>
      <c r="AD258" s="50" t="str">
        <f t="shared" si="74"/>
        <v>ALTER TABLE TB_NTT_REPLY ALTER COLUMN PARNTS_REPLY_SN TYPE INTEGER;</v>
      </c>
      <c r="AE258" s="50" t="str">
        <f t="shared" si="75"/>
        <v>ALTER TABLE TB_NTT_REPLY ADD COLUMN PARNTS_REPLY_SN INTEGER;</v>
      </c>
      <c r="AF258" s="50" t="str">
        <f t="shared" si="76"/>
        <v>ALTER TABLE TB_NTT_REPLY DROP COLUMN PARNTS_REPLY_SN;</v>
      </c>
      <c r="AG258" s="50" t="str">
        <f t="shared" si="77"/>
        <v/>
      </c>
      <c r="AH258" s="50" t="str">
        <f t="shared" si="90"/>
        <v>COMMENT ON COLUMN TB_NTT_REPLY.PARNTS_REPLY_SN IS '부모 댓글 일련번호' ;</v>
      </c>
    </row>
    <row r="259" spans="1:34" ht="20" customHeight="1">
      <c r="A259" s="55">
        <v>255</v>
      </c>
      <c r="B259" s="26" t="s">
        <v>7</v>
      </c>
      <c r="C259" s="26" t="s">
        <v>16</v>
      </c>
      <c r="D259" s="10" t="s">
        <v>747</v>
      </c>
      <c r="E259" s="10" t="s">
        <v>285</v>
      </c>
      <c r="F259" s="92">
        <v>5</v>
      </c>
      <c r="G259" s="109" t="s">
        <v>750</v>
      </c>
      <c r="H259" s="109" t="s">
        <v>333</v>
      </c>
      <c r="I259" s="75" t="s">
        <v>72</v>
      </c>
      <c r="J259" s="90"/>
      <c r="K259" s="90"/>
      <c r="L259" s="90"/>
      <c r="M259" s="90"/>
      <c r="N259" s="90"/>
      <c r="O259" s="90"/>
      <c r="P259" s="109" t="s">
        <v>229</v>
      </c>
      <c r="Q259" s="47"/>
      <c r="R259" s="90"/>
      <c r="S259" s="109" t="s">
        <v>344</v>
      </c>
      <c r="T259" s="132"/>
      <c r="U259" s="132"/>
      <c r="V259" s="109"/>
      <c r="W259" s="90"/>
      <c r="X259" s="130"/>
      <c r="Y259" s="129" t="str">
        <f t="shared" si="78"/>
        <v>TB_NTT_REPLY</v>
      </c>
      <c r="Z259" s="50" t="str">
        <f t="shared" si="82"/>
        <v>NTT_REPLY_SEQ INTEGER NOT NULL,</v>
      </c>
      <c r="AA259" s="50" t="str">
        <f t="shared" si="79"/>
        <v/>
      </c>
      <c r="AB259" s="50" t="str">
        <f t="shared" si="80"/>
        <v/>
      </c>
      <c r="AC259" s="50" t="str">
        <f t="shared" si="73"/>
        <v/>
      </c>
      <c r="AD259" s="50" t="str">
        <f t="shared" si="74"/>
        <v>ALTER TABLE TB_NTT_REPLY ALTER COLUMN NTT_REPLY_SEQ TYPE INTEGER;</v>
      </c>
      <c r="AE259" s="50" t="str">
        <f t="shared" si="75"/>
        <v>ALTER TABLE TB_NTT_REPLY ADD COLUMN NTT_REPLY_SEQ INTEGER NOT NULL;</v>
      </c>
      <c r="AF259" s="50" t="str">
        <f t="shared" si="76"/>
        <v>ALTER TABLE TB_NTT_REPLY DROP COLUMN NTT_REPLY_SEQ;</v>
      </c>
      <c r="AG259" s="50" t="str">
        <f t="shared" si="77"/>
        <v/>
      </c>
      <c r="AH259" s="50" t="str">
        <f t="shared" si="81"/>
        <v>COMMENT ON COLUMN TB_NTT_REPLY.NTT_REPLY_SEQ IS '게시물 댓글 순번' ;</v>
      </c>
    </row>
    <row r="260" spans="1:34" ht="20" customHeight="1">
      <c r="A260" s="55">
        <v>256</v>
      </c>
      <c r="B260" s="26" t="s">
        <v>7</v>
      </c>
      <c r="C260" s="26" t="s">
        <v>16</v>
      </c>
      <c r="D260" s="10" t="s">
        <v>747</v>
      </c>
      <c r="E260" s="10" t="s">
        <v>285</v>
      </c>
      <c r="F260" s="92">
        <v>6</v>
      </c>
      <c r="G260" s="109" t="s">
        <v>751</v>
      </c>
      <c r="H260" s="109" t="s">
        <v>334</v>
      </c>
      <c r="I260" s="75"/>
      <c r="J260" s="90"/>
      <c r="K260" s="90"/>
      <c r="L260" s="90"/>
      <c r="M260" s="90"/>
      <c r="N260" s="90"/>
      <c r="O260" s="90"/>
      <c r="P260" s="109" t="s">
        <v>318</v>
      </c>
      <c r="Q260" s="126" t="s">
        <v>552</v>
      </c>
      <c r="R260" s="90"/>
      <c r="S260" s="109" t="s">
        <v>345</v>
      </c>
      <c r="T260" s="130"/>
      <c r="U260" s="130"/>
      <c r="V260" s="109"/>
      <c r="W260" s="90"/>
      <c r="X260" s="130"/>
      <c r="Y260" s="129" t="str">
        <f t="shared" si="78"/>
        <v>TB_NTT_REPLY</v>
      </c>
      <c r="Z260" s="50" t="str">
        <f t="shared" si="82"/>
        <v>NTT_REPLY_CN VARCHAR(2000),</v>
      </c>
      <c r="AA260" s="50" t="str">
        <f t="shared" si="79"/>
        <v/>
      </c>
      <c r="AB260" s="50" t="str">
        <f t="shared" si="80"/>
        <v/>
      </c>
      <c r="AC260" s="50" t="str">
        <f t="shared" si="73"/>
        <v/>
      </c>
      <c r="AD260" s="50" t="str">
        <f t="shared" si="74"/>
        <v>ALTER TABLE TB_NTT_REPLY ALTER COLUMN NTT_REPLY_CN TYPE VARCHAR(2000);</v>
      </c>
      <c r="AE260" s="50" t="str">
        <f t="shared" si="75"/>
        <v>ALTER TABLE TB_NTT_REPLY ADD COLUMN NTT_REPLY_CN VARCHAR(2000);</v>
      </c>
      <c r="AF260" s="50" t="str">
        <f t="shared" si="76"/>
        <v>ALTER TABLE TB_NTT_REPLY DROP COLUMN NTT_REPLY_CN;</v>
      </c>
      <c r="AG260" s="50" t="str">
        <f t="shared" si="77"/>
        <v/>
      </c>
      <c r="AH260" s="50" t="str">
        <f t="shared" si="81"/>
        <v>COMMENT ON COLUMN TB_NTT_REPLY.NTT_REPLY_CN IS '게시물 댓글 내용' ;</v>
      </c>
    </row>
    <row r="261" spans="1:34" ht="20" customHeight="1">
      <c r="A261" s="55">
        <v>257</v>
      </c>
      <c r="B261" s="26" t="s">
        <v>7</v>
      </c>
      <c r="C261" s="26" t="s">
        <v>16</v>
      </c>
      <c r="D261" s="10" t="s">
        <v>747</v>
      </c>
      <c r="E261" s="10" t="s">
        <v>285</v>
      </c>
      <c r="F261" s="92">
        <v>7</v>
      </c>
      <c r="G261" s="109" t="s">
        <v>335</v>
      </c>
      <c r="H261" s="109" t="s">
        <v>336</v>
      </c>
      <c r="I261" s="75" t="s">
        <v>72</v>
      </c>
      <c r="J261" s="90"/>
      <c r="K261" s="90"/>
      <c r="L261" s="90"/>
      <c r="M261" s="90"/>
      <c r="N261" s="90"/>
      <c r="O261" s="90"/>
      <c r="P261" s="51" t="s">
        <v>106</v>
      </c>
      <c r="Q261" s="126" t="s">
        <v>544</v>
      </c>
      <c r="R261" s="90"/>
      <c r="S261" s="109" t="s">
        <v>348</v>
      </c>
      <c r="T261" s="130"/>
      <c r="U261" s="130"/>
      <c r="V261" s="109"/>
      <c r="W261" s="90"/>
      <c r="X261" s="130"/>
      <c r="Y261" s="129" t="str">
        <f t="shared" si="78"/>
        <v>TB_NTT_REPLY</v>
      </c>
      <c r="Z261" s="50" t="str">
        <f t="shared" si="82"/>
        <v>OPEN_YN VARCHAR(1) NOT NULL,</v>
      </c>
      <c r="AA261" s="50" t="str">
        <f t="shared" si="79"/>
        <v/>
      </c>
      <c r="AB261" s="50" t="str">
        <f t="shared" si="80"/>
        <v/>
      </c>
      <c r="AC261" s="50" t="str">
        <f t="shared" si="73"/>
        <v/>
      </c>
      <c r="AD261" s="50" t="str">
        <f t="shared" si="74"/>
        <v>ALTER TABLE TB_NTT_REPLY ALTER COLUMN OPEN_YN TYPE VARCHAR(1);</v>
      </c>
      <c r="AE261" s="50" t="str">
        <f t="shared" si="75"/>
        <v>ALTER TABLE TB_NTT_REPLY ADD COLUMN OPEN_YN VARCHAR(1) NOT NULL;</v>
      </c>
      <c r="AF261" s="50" t="str">
        <f t="shared" si="76"/>
        <v>ALTER TABLE TB_NTT_REPLY DROP COLUMN OPEN_YN;</v>
      </c>
      <c r="AG261" s="50" t="str">
        <f t="shared" si="77"/>
        <v/>
      </c>
      <c r="AH261" s="50" t="str">
        <f t="shared" si="81"/>
        <v>COMMENT ON COLUMN TB_NTT_REPLY.OPEN_YN IS '공개 여부' ;</v>
      </c>
    </row>
    <row r="262" spans="1:34" ht="20" customHeight="1">
      <c r="A262" s="55">
        <v>258</v>
      </c>
      <c r="B262" s="26" t="s">
        <v>7</v>
      </c>
      <c r="C262" s="26" t="s">
        <v>16</v>
      </c>
      <c r="D262" s="10" t="s">
        <v>747</v>
      </c>
      <c r="E262" s="10" t="s">
        <v>285</v>
      </c>
      <c r="F262" s="92">
        <v>8</v>
      </c>
      <c r="G262" s="102" t="s">
        <v>107</v>
      </c>
      <c r="H262" s="51" t="s">
        <v>76</v>
      </c>
      <c r="I262" s="75" t="s">
        <v>72</v>
      </c>
      <c r="J262" s="67"/>
      <c r="K262" s="67"/>
      <c r="L262" s="82"/>
      <c r="M262" s="82"/>
      <c r="N262" s="82"/>
      <c r="O262" s="82"/>
      <c r="P262" s="105" t="s">
        <v>543</v>
      </c>
      <c r="Q262" s="126" t="s">
        <v>548</v>
      </c>
      <c r="R262" s="85"/>
      <c r="S262" s="112" t="s">
        <v>219</v>
      </c>
      <c r="T262" s="130"/>
      <c r="U262" s="130"/>
      <c r="V262" s="123" t="s">
        <v>518</v>
      </c>
      <c r="W262" s="90"/>
      <c r="X262" s="130"/>
      <c r="Y262" s="129" t="str">
        <f t="shared" si="78"/>
        <v>TB_NTT_REPLY</v>
      </c>
      <c r="Z262" s="50" t="str">
        <f t="shared" si="82"/>
        <v>REGISTER_ID VARCHAR(50) NOT NULL,</v>
      </c>
      <c r="AA262" s="50" t="str">
        <f t="shared" si="79"/>
        <v/>
      </c>
      <c r="AB262" s="50" t="str">
        <f t="shared" si="80"/>
        <v/>
      </c>
      <c r="AC262" s="50" t="str">
        <f t="shared" si="73"/>
        <v/>
      </c>
      <c r="AD262" s="50" t="str">
        <f t="shared" si="74"/>
        <v>ALTER TABLE TB_NTT_REPLY ALTER COLUMN REGISTER_ID TYPE VARCHAR(50);</v>
      </c>
      <c r="AE262" s="50" t="str">
        <f t="shared" si="75"/>
        <v>ALTER TABLE TB_NTT_REPLY ADD COLUMN REGISTER_ID VARCHAR(50) NOT NULL;</v>
      </c>
      <c r="AF262" s="50" t="str">
        <f t="shared" si="76"/>
        <v>ALTER TABLE TB_NTT_REPLY DROP COLUMN REGISTER_ID;</v>
      </c>
      <c r="AG262" s="50" t="str">
        <f t="shared" si="77"/>
        <v/>
      </c>
      <c r="AH262" s="50" t="str">
        <f t="shared" si="81"/>
        <v>COMMENT ON COLUMN TB_NTT_REPLY.REGISTER_ID IS '등록자 ID' ;</v>
      </c>
    </row>
    <row r="263" spans="1:34" ht="20" customHeight="1">
      <c r="A263" s="55">
        <v>259</v>
      </c>
      <c r="B263" s="26" t="s">
        <v>7</v>
      </c>
      <c r="C263" s="26" t="s">
        <v>16</v>
      </c>
      <c r="D263" s="10" t="s">
        <v>747</v>
      </c>
      <c r="E263" s="10" t="s">
        <v>285</v>
      </c>
      <c r="F263" s="92">
        <v>9</v>
      </c>
      <c r="G263" s="102" t="s">
        <v>91</v>
      </c>
      <c r="H263" s="51" t="s">
        <v>77</v>
      </c>
      <c r="I263" s="75" t="s">
        <v>72</v>
      </c>
      <c r="J263" s="52"/>
      <c r="K263" s="52"/>
      <c r="L263" s="52"/>
      <c r="M263" s="52"/>
      <c r="N263" s="52"/>
      <c r="O263" s="52"/>
      <c r="P263" s="56" t="s">
        <v>106</v>
      </c>
      <c r="Q263" s="126" t="s">
        <v>549</v>
      </c>
      <c r="R263" s="85"/>
      <c r="S263" s="112" t="s">
        <v>218</v>
      </c>
      <c r="T263" s="130"/>
      <c r="U263" s="130"/>
      <c r="V263" s="109"/>
      <c r="W263" s="90"/>
      <c r="X263" s="130"/>
      <c r="Y263" s="129" t="str">
        <f t="shared" si="78"/>
        <v>TB_NTT_REPLY</v>
      </c>
      <c r="Z263" s="50" t="str">
        <f t="shared" si="82"/>
        <v>REGISTER_IP VARCHAR(100) NOT NULL,</v>
      </c>
      <c r="AA263" s="50" t="str">
        <f t="shared" si="79"/>
        <v/>
      </c>
      <c r="AB263" s="50" t="str">
        <f t="shared" si="80"/>
        <v/>
      </c>
      <c r="AC263" s="50" t="str">
        <f t="shared" si="73"/>
        <v/>
      </c>
      <c r="AD263" s="50" t="str">
        <f t="shared" si="74"/>
        <v>ALTER TABLE TB_NTT_REPLY ALTER COLUMN REGISTER_IP TYPE VARCHAR(100);</v>
      </c>
      <c r="AE263" s="50" t="str">
        <f t="shared" si="75"/>
        <v>ALTER TABLE TB_NTT_REPLY ADD COLUMN REGISTER_IP VARCHAR(100) NOT NULL;</v>
      </c>
      <c r="AF263" s="50" t="str">
        <f t="shared" si="76"/>
        <v>ALTER TABLE TB_NTT_REPLY DROP COLUMN REGISTER_IP;</v>
      </c>
      <c r="AG263" s="50" t="str">
        <f t="shared" si="77"/>
        <v/>
      </c>
      <c r="AH263" s="50" t="str">
        <f t="shared" si="81"/>
        <v>COMMENT ON COLUMN TB_NTT_REPLY.REGISTER_IP IS '등록자 IP' ;</v>
      </c>
    </row>
    <row r="264" spans="1:34" ht="20" customHeight="1">
      <c r="A264" s="55">
        <v>260</v>
      </c>
      <c r="B264" s="26" t="s">
        <v>7</v>
      </c>
      <c r="C264" s="26" t="s">
        <v>16</v>
      </c>
      <c r="D264" s="10" t="s">
        <v>747</v>
      </c>
      <c r="E264" s="10" t="s">
        <v>285</v>
      </c>
      <c r="F264" s="92">
        <v>10</v>
      </c>
      <c r="G264" s="102" t="s">
        <v>92</v>
      </c>
      <c r="H264" s="101" t="s">
        <v>78</v>
      </c>
      <c r="I264" s="75" t="s">
        <v>72</v>
      </c>
      <c r="J264" s="52"/>
      <c r="K264" s="52"/>
      <c r="L264" s="52"/>
      <c r="M264" s="52"/>
      <c r="N264" s="52"/>
      <c r="O264" s="52"/>
      <c r="P264" s="51" t="s">
        <v>732</v>
      </c>
      <c r="Q264" s="126"/>
      <c r="R264" s="85"/>
      <c r="S264" s="112" t="s">
        <v>217</v>
      </c>
      <c r="T264" s="130"/>
      <c r="U264" s="130"/>
      <c r="V264" s="109"/>
      <c r="W264" s="90"/>
      <c r="X264" s="130"/>
      <c r="Y264" s="129" t="str">
        <f t="shared" si="78"/>
        <v>TB_NTT_REPLY</v>
      </c>
      <c r="Z264" s="50" t="str">
        <f t="shared" si="82"/>
        <v>REG_DT TIMESTAMP NOT NULL,</v>
      </c>
      <c r="AA264" s="50" t="str">
        <f t="shared" si="79"/>
        <v/>
      </c>
      <c r="AB264" s="50" t="str">
        <f t="shared" si="80"/>
        <v/>
      </c>
      <c r="AC264" s="50" t="str">
        <f t="shared" si="73"/>
        <v/>
      </c>
      <c r="AD264" s="50" t="str">
        <f t="shared" si="74"/>
        <v>ALTER TABLE TB_NTT_REPLY ALTER COLUMN REG_DT TYPE TIMESTAMP;</v>
      </c>
      <c r="AE264" s="50" t="str">
        <f t="shared" si="75"/>
        <v>ALTER TABLE TB_NTT_REPLY ADD COLUMN REG_DT TIMESTAMP NOT NULL;</v>
      </c>
      <c r="AF264" s="50" t="str">
        <f t="shared" si="76"/>
        <v>ALTER TABLE TB_NTT_REPLY DROP COLUMN REG_DT;</v>
      </c>
      <c r="AG264" s="50" t="str">
        <f t="shared" si="77"/>
        <v/>
      </c>
      <c r="AH264" s="50" t="str">
        <f t="shared" si="81"/>
        <v>COMMENT ON COLUMN TB_NTT_REPLY.REG_DT IS '등록 일시' ;</v>
      </c>
    </row>
    <row r="265" spans="1:34" ht="20" customHeight="1">
      <c r="A265" s="55">
        <v>261</v>
      </c>
      <c r="B265" s="26" t="s">
        <v>7</v>
      </c>
      <c r="C265" s="26" t="s">
        <v>16</v>
      </c>
      <c r="D265" s="10" t="s">
        <v>747</v>
      </c>
      <c r="E265" s="10" t="s">
        <v>285</v>
      </c>
      <c r="F265" s="92">
        <v>11</v>
      </c>
      <c r="G265" s="102" t="s">
        <v>93</v>
      </c>
      <c r="H265" s="101" t="s">
        <v>80</v>
      </c>
      <c r="I265" s="52"/>
      <c r="J265" s="52"/>
      <c r="K265" s="52"/>
      <c r="L265" s="84"/>
      <c r="M265" s="84"/>
      <c r="N265" s="84"/>
      <c r="O265" s="84"/>
      <c r="P265" s="105" t="s">
        <v>543</v>
      </c>
      <c r="Q265" s="126" t="s">
        <v>548</v>
      </c>
      <c r="R265" s="85"/>
      <c r="S265" s="112" t="s">
        <v>216</v>
      </c>
      <c r="T265" s="130"/>
      <c r="U265" s="130"/>
      <c r="V265" s="123" t="s">
        <v>518</v>
      </c>
      <c r="W265" s="90"/>
      <c r="X265" s="130"/>
      <c r="Y265" s="129" t="str">
        <f t="shared" si="78"/>
        <v>TB_NTT_REPLY</v>
      </c>
      <c r="Z265" s="50" t="str">
        <f t="shared" si="82"/>
        <v>UPDUSR_ID VARCHAR(50),</v>
      </c>
      <c r="AA265" s="50" t="str">
        <f t="shared" si="79"/>
        <v/>
      </c>
      <c r="AB265" s="50" t="str">
        <f t="shared" si="80"/>
        <v/>
      </c>
      <c r="AC265" s="50" t="str">
        <f t="shared" si="73"/>
        <v/>
      </c>
      <c r="AD265" s="50" t="str">
        <f t="shared" si="74"/>
        <v>ALTER TABLE TB_NTT_REPLY ALTER COLUMN UPDUSR_ID TYPE VARCHAR(50);</v>
      </c>
      <c r="AE265" s="50" t="str">
        <f t="shared" si="75"/>
        <v>ALTER TABLE TB_NTT_REPLY ADD COLUMN UPDUSR_ID VARCHAR(50);</v>
      </c>
      <c r="AF265" s="50" t="str">
        <f t="shared" si="76"/>
        <v>ALTER TABLE TB_NTT_REPLY DROP COLUMN UPDUSR_ID;</v>
      </c>
      <c r="AG265" s="50" t="str">
        <f t="shared" si="77"/>
        <v/>
      </c>
      <c r="AH265" s="50" t="str">
        <f t="shared" si="81"/>
        <v>COMMENT ON COLUMN TB_NTT_REPLY.UPDUSR_ID IS '수정자 ID' ;</v>
      </c>
    </row>
    <row r="266" spans="1:34" ht="20" customHeight="1">
      <c r="A266" s="55">
        <v>262</v>
      </c>
      <c r="B266" s="26" t="s">
        <v>7</v>
      </c>
      <c r="C266" s="26" t="s">
        <v>16</v>
      </c>
      <c r="D266" s="10" t="s">
        <v>747</v>
      </c>
      <c r="E266" s="10" t="s">
        <v>285</v>
      </c>
      <c r="F266" s="92">
        <v>12</v>
      </c>
      <c r="G266" s="102" t="s">
        <v>94</v>
      </c>
      <c r="H266" s="101" t="s">
        <v>79</v>
      </c>
      <c r="I266" s="52"/>
      <c r="J266" s="52"/>
      <c r="K266" s="52"/>
      <c r="L266" s="52"/>
      <c r="M266" s="52"/>
      <c r="N266" s="52"/>
      <c r="O266" s="52"/>
      <c r="P266" s="56" t="s">
        <v>106</v>
      </c>
      <c r="Q266" s="126" t="s">
        <v>549</v>
      </c>
      <c r="R266" s="85"/>
      <c r="S266" s="112" t="s">
        <v>215</v>
      </c>
      <c r="T266" s="130"/>
      <c r="U266" s="130"/>
      <c r="V266" s="109"/>
      <c r="W266" s="90"/>
      <c r="X266" s="130"/>
      <c r="Y266" s="129" t="str">
        <f t="shared" si="78"/>
        <v>TB_NTT_REPLY</v>
      </c>
      <c r="Z266" s="50" t="str">
        <f t="shared" si="82"/>
        <v>UPDUSR_IP VARCHAR(100),</v>
      </c>
      <c r="AA266" s="50" t="str">
        <f t="shared" si="79"/>
        <v/>
      </c>
      <c r="AB266" s="50" t="str">
        <f t="shared" si="80"/>
        <v/>
      </c>
      <c r="AC266" s="50" t="str">
        <f t="shared" si="73"/>
        <v/>
      </c>
      <c r="AD266" s="50" t="str">
        <f t="shared" si="74"/>
        <v>ALTER TABLE TB_NTT_REPLY ALTER COLUMN UPDUSR_IP TYPE VARCHAR(100);</v>
      </c>
      <c r="AE266" s="50" t="str">
        <f t="shared" si="75"/>
        <v>ALTER TABLE TB_NTT_REPLY ADD COLUMN UPDUSR_IP VARCHAR(100);</v>
      </c>
      <c r="AF266" s="50" t="str">
        <f t="shared" si="76"/>
        <v>ALTER TABLE TB_NTT_REPLY DROP COLUMN UPDUSR_IP;</v>
      </c>
      <c r="AG266" s="50" t="str">
        <f t="shared" si="77"/>
        <v/>
      </c>
      <c r="AH266" s="50" t="str">
        <f t="shared" si="81"/>
        <v>COMMENT ON COLUMN TB_NTT_REPLY.UPDUSR_IP IS '수정자 IP' ;</v>
      </c>
    </row>
    <row r="267" spans="1:34" ht="20" customHeight="1">
      <c r="A267" s="55">
        <v>263</v>
      </c>
      <c r="B267" s="26" t="s">
        <v>7</v>
      </c>
      <c r="C267" s="26" t="s">
        <v>16</v>
      </c>
      <c r="D267" s="10" t="s">
        <v>747</v>
      </c>
      <c r="E267" s="10" t="s">
        <v>285</v>
      </c>
      <c r="F267" s="92">
        <v>13</v>
      </c>
      <c r="G267" s="103" t="s">
        <v>95</v>
      </c>
      <c r="H267" s="102" t="s">
        <v>81</v>
      </c>
      <c r="I267" s="61"/>
      <c r="J267" s="61"/>
      <c r="K267" s="61"/>
      <c r="L267" s="61"/>
      <c r="M267" s="61"/>
      <c r="N267" s="61"/>
      <c r="O267" s="61"/>
      <c r="P267" s="51" t="s">
        <v>732</v>
      </c>
      <c r="Q267" s="126"/>
      <c r="R267" s="82"/>
      <c r="S267" s="112" t="s">
        <v>214</v>
      </c>
      <c r="T267" s="130"/>
      <c r="U267" s="130"/>
      <c r="V267" s="109"/>
      <c r="W267" s="90"/>
      <c r="X267" s="130"/>
      <c r="Y267" s="129" t="str">
        <f t="shared" si="78"/>
        <v>TB_NTT_REPLY</v>
      </c>
      <c r="Z267" s="50" t="str">
        <f t="shared" si="82"/>
        <v>UPDT_DT TIMESTAMP,</v>
      </c>
      <c r="AA267" s="50" t="str">
        <f t="shared" si="79"/>
        <v/>
      </c>
      <c r="AB267" s="50" t="str">
        <f t="shared" si="80"/>
        <v/>
      </c>
      <c r="AC267" s="50" t="str">
        <f t="shared" si="73"/>
        <v/>
      </c>
      <c r="AD267" s="50" t="str">
        <f t="shared" si="74"/>
        <v>ALTER TABLE TB_NTT_REPLY ALTER COLUMN UPDT_DT TYPE TIMESTAMP;</v>
      </c>
      <c r="AE267" s="50" t="str">
        <f t="shared" si="75"/>
        <v>ALTER TABLE TB_NTT_REPLY ADD COLUMN UPDT_DT TIMESTAMP;</v>
      </c>
      <c r="AF267" s="50" t="str">
        <f t="shared" si="76"/>
        <v>ALTER TABLE TB_NTT_REPLY DROP COLUMN UPDT_DT;</v>
      </c>
      <c r="AG267" s="50" t="str">
        <f t="shared" si="77"/>
        <v/>
      </c>
      <c r="AH267" s="50" t="str">
        <f t="shared" si="81"/>
        <v>COMMENT ON COLUMN TB_NTT_REPLY.UPDT_DT IS '수정 일시' ;</v>
      </c>
    </row>
    <row r="268" spans="1:34" ht="20" customHeight="1">
      <c r="A268" s="55">
        <v>264</v>
      </c>
      <c r="B268" s="26" t="s">
        <v>7</v>
      </c>
      <c r="C268" s="26" t="s">
        <v>16</v>
      </c>
      <c r="D268" s="10" t="s">
        <v>747</v>
      </c>
      <c r="E268" s="10" t="s">
        <v>285</v>
      </c>
      <c r="F268" s="92">
        <v>14</v>
      </c>
      <c r="G268" s="102" t="s">
        <v>96</v>
      </c>
      <c r="H268" s="102" t="s">
        <v>82</v>
      </c>
      <c r="I268" s="75" t="s">
        <v>72</v>
      </c>
      <c r="J268" s="61"/>
      <c r="K268" s="61"/>
      <c r="L268" s="61"/>
      <c r="M268" s="61"/>
      <c r="N268" s="61"/>
      <c r="O268" s="61"/>
      <c r="P268" s="51" t="s">
        <v>106</v>
      </c>
      <c r="Q268" s="126" t="s">
        <v>544</v>
      </c>
      <c r="R268" s="87" t="s">
        <v>592</v>
      </c>
      <c r="S268" s="112" t="s">
        <v>213</v>
      </c>
      <c r="T268" s="130"/>
      <c r="U268" s="130"/>
      <c r="V268" s="109"/>
      <c r="W268" s="90"/>
      <c r="X268" s="130"/>
      <c r="Y268" s="129" t="str">
        <f t="shared" si="78"/>
        <v>TB_NTT_REPLY</v>
      </c>
      <c r="Z268" s="50" t="str">
        <f t="shared" si="82"/>
        <v>DEL_YN VARCHAR(1) NOT NULL,</v>
      </c>
      <c r="AA268" s="50" t="str">
        <f t="shared" si="79"/>
        <v/>
      </c>
      <c r="AB268" s="50" t="str">
        <f t="shared" si="80"/>
        <v/>
      </c>
      <c r="AC268" s="50" t="str">
        <f t="shared" si="73"/>
        <v/>
      </c>
      <c r="AD268" s="50" t="str">
        <f t="shared" si="74"/>
        <v>ALTER TABLE TB_NTT_REPLY ALTER COLUMN DEL_YN TYPE VARCHAR(1);</v>
      </c>
      <c r="AE268" s="50" t="str">
        <f t="shared" si="75"/>
        <v>ALTER TABLE TB_NTT_REPLY ADD COLUMN DEL_YN VARCHAR(1) NOT NULL DEFAULT ''N'';</v>
      </c>
      <c r="AF268" s="50" t="str">
        <f t="shared" si="76"/>
        <v>ALTER TABLE TB_NTT_REPLY DROP COLUMN DEL_YN;</v>
      </c>
      <c r="AG268" s="50" t="str">
        <f t="shared" si="77"/>
        <v>ALTER TABLE TB_NTT_REPLY ALTER COLUMN DEL_YN SET DEFAULT 'N';</v>
      </c>
      <c r="AH268" s="50" t="str">
        <f t="shared" si="81"/>
        <v>COMMENT ON COLUMN TB_NTT_REPLY.DEL_YN IS '삭제 여부' ;</v>
      </c>
    </row>
    <row r="269" spans="1:34" ht="20" customHeight="1">
      <c r="A269" s="55">
        <v>265</v>
      </c>
      <c r="B269" s="26" t="s">
        <v>7</v>
      </c>
      <c r="C269" s="26" t="s">
        <v>17</v>
      </c>
      <c r="D269" s="10" t="s">
        <v>38</v>
      </c>
      <c r="E269" s="10" t="s">
        <v>17</v>
      </c>
      <c r="F269" s="92">
        <v>1</v>
      </c>
      <c r="G269" s="109" t="s">
        <v>350</v>
      </c>
      <c r="H269" s="109" t="s">
        <v>351</v>
      </c>
      <c r="I269" s="90" t="s">
        <v>357</v>
      </c>
      <c r="J269" s="90">
        <v>1</v>
      </c>
      <c r="K269" s="90"/>
      <c r="L269" s="90"/>
      <c r="M269" s="90"/>
      <c r="N269" s="90"/>
      <c r="O269" s="90"/>
      <c r="P269" s="109" t="s">
        <v>358</v>
      </c>
      <c r="Q269" s="92"/>
      <c r="R269" s="90"/>
      <c r="S269" s="109" t="s">
        <v>366</v>
      </c>
      <c r="T269" s="132" t="str">
        <f>"SEQ_"&amp;D269&amp;"_SN"</f>
        <v>SEQ_TB_POPUP_SN</v>
      </c>
      <c r="U269" s="132"/>
      <c r="V269" s="109"/>
      <c r="W269" s="90"/>
      <c r="X269" s="130"/>
      <c r="Y269" s="129" t="str">
        <f t="shared" si="78"/>
        <v>TB_POPUP</v>
      </c>
      <c r="Z269" s="50" t="str">
        <f t="shared" si="82"/>
        <v>POPUP_SN INTEGER PRIMARY KEY,</v>
      </c>
      <c r="AA269" s="50" t="str">
        <f t="shared" si="79"/>
        <v/>
      </c>
      <c r="AB269" s="50" t="str">
        <f t="shared" si="80"/>
        <v>CREATE SEQUENCE SEQ_TB_POPUP_SN START 100000;</v>
      </c>
      <c r="AC269" s="50" t="str">
        <f t="shared" si="73"/>
        <v>ALTER TABLE TB_POPUP ALTER COLUMN POPUP_SN SET DEFAULT NEXTVAL('SEQ_TB_POPUP_SN');</v>
      </c>
      <c r="AD269" s="50" t="str">
        <f t="shared" si="74"/>
        <v>ALTER TABLE TB_POPUP ALTER COLUMN POPUP_SN TYPE INTEGER;</v>
      </c>
      <c r="AE269" s="50" t="str">
        <f t="shared" si="75"/>
        <v>ALTER TABLE TB_POPUP ADD COLUMN POPUP_SN INTEGER NOT NULL;</v>
      </c>
      <c r="AF269" s="50" t="str">
        <f t="shared" si="76"/>
        <v>ALTER TABLE TB_POPUP DROP COLUMN POPUP_SN;</v>
      </c>
      <c r="AG269" s="50" t="str">
        <f t="shared" si="77"/>
        <v/>
      </c>
      <c r="AH269" s="50" t="str">
        <f t="shared" si="81"/>
        <v>COMMENT ON COLUMN TB_POPUP.POPUP_SN IS '팝업 일련번호' ;</v>
      </c>
    </row>
    <row r="270" spans="1:34" ht="20" customHeight="1">
      <c r="A270" s="55">
        <v>266</v>
      </c>
      <c r="B270" s="26" t="s">
        <v>7</v>
      </c>
      <c r="C270" s="26" t="s">
        <v>17</v>
      </c>
      <c r="D270" s="10" t="s">
        <v>38</v>
      </c>
      <c r="E270" s="10" t="s">
        <v>17</v>
      </c>
      <c r="F270" s="92">
        <v>2</v>
      </c>
      <c r="G270" s="109" t="s">
        <v>361</v>
      </c>
      <c r="H270" s="109" t="s">
        <v>352</v>
      </c>
      <c r="I270" s="90"/>
      <c r="J270" s="90"/>
      <c r="K270" s="90"/>
      <c r="L270" s="90"/>
      <c r="M270" s="90"/>
      <c r="N270" s="90"/>
      <c r="O270" s="90"/>
      <c r="P270" s="109" t="s">
        <v>359</v>
      </c>
      <c r="Q270" s="126" t="s">
        <v>550</v>
      </c>
      <c r="R270" s="90"/>
      <c r="S270" s="109" t="s">
        <v>367</v>
      </c>
      <c r="T270" s="130"/>
      <c r="U270" s="130"/>
      <c r="V270" s="109"/>
      <c r="W270" s="90"/>
      <c r="X270" s="130"/>
      <c r="Y270" s="129" t="str">
        <f t="shared" si="78"/>
        <v>TB_POPUP</v>
      </c>
      <c r="Z270" s="50" t="str">
        <f t="shared" si="82"/>
        <v>POPUP_SJ VARCHAR(255),</v>
      </c>
      <c r="AA270" s="50" t="str">
        <f t="shared" si="79"/>
        <v/>
      </c>
      <c r="AB270" s="50" t="str">
        <f t="shared" si="80"/>
        <v/>
      </c>
      <c r="AC270" s="50" t="str">
        <f t="shared" si="73"/>
        <v/>
      </c>
      <c r="AD270" s="50" t="str">
        <f t="shared" si="74"/>
        <v>ALTER TABLE TB_POPUP ALTER COLUMN POPUP_SJ TYPE VARCHAR(255);</v>
      </c>
      <c r="AE270" s="50" t="str">
        <f t="shared" si="75"/>
        <v>ALTER TABLE TB_POPUP ADD COLUMN POPUP_SJ VARCHAR(255);</v>
      </c>
      <c r="AF270" s="50" t="str">
        <f t="shared" si="76"/>
        <v>ALTER TABLE TB_POPUP DROP COLUMN POPUP_SJ;</v>
      </c>
      <c r="AG270" s="50" t="str">
        <f t="shared" si="77"/>
        <v/>
      </c>
      <c r="AH270" s="50" t="str">
        <f t="shared" si="81"/>
        <v>COMMENT ON COLUMN TB_POPUP.POPUP_SJ IS '팝업 제목' ;</v>
      </c>
    </row>
    <row r="271" spans="1:34" ht="20" customHeight="1">
      <c r="A271" s="55">
        <v>267</v>
      </c>
      <c r="B271" s="26" t="s">
        <v>7</v>
      </c>
      <c r="C271" s="26" t="s">
        <v>17</v>
      </c>
      <c r="D271" s="10" t="s">
        <v>38</v>
      </c>
      <c r="E271" s="10" t="s">
        <v>17</v>
      </c>
      <c r="F271" s="92">
        <v>3</v>
      </c>
      <c r="G271" s="109" t="s">
        <v>362</v>
      </c>
      <c r="H271" s="109" t="s">
        <v>353</v>
      </c>
      <c r="I271" s="90"/>
      <c r="J271" s="90"/>
      <c r="K271" s="90"/>
      <c r="L271" s="90"/>
      <c r="M271" s="90"/>
      <c r="N271" s="90"/>
      <c r="O271" s="90"/>
      <c r="P271" s="109" t="s">
        <v>359</v>
      </c>
      <c r="Q271" s="126" t="s">
        <v>552</v>
      </c>
      <c r="R271" s="90"/>
      <c r="S271" s="109" t="s">
        <v>368</v>
      </c>
      <c r="T271" s="130"/>
      <c r="U271" s="130"/>
      <c r="V271" s="109"/>
      <c r="W271" s="90"/>
      <c r="X271" s="130"/>
      <c r="Y271" s="129" t="str">
        <f t="shared" si="78"/>
        <v>TB_POPUP</v>
      </c>
      <c r="Z271" s="50" t="str">
        <f t="shared" si="82"/>
        <v>POPUP_CN VARCHAR(2000),</v>
      </c>
      <c r="AA271" s="50" t="str">
        <f t="shared" si="79"/>
        <v/>
      </c>
      <c r="AB271" s="50" t="str">
        <f t="shared" si="80"/>
        <v/>
      </c>
      <c r="AC271" s="50" t="str">
        <f t="shared" si="73"/>
        <v/>
      </c>
      <c r="AD271" s="50" t="str">
        <f t="shared" si="74"/>
        <v>ALTER TABLE TB_POPUP ALTER COLUMN POPUP_CN TYPE VARCHAR(2000);</v>
      </c>
      <c r="AE271" s="50" t="str">
        <f t="shared" si="75"/>
        <v>ALTER TABLE TB_POPUP ADD COLUMN POPUP_CN VARCHAR(2000);</v>
      </c>
      <c r="AF271" s="50" t="str">
        <f t="shared" si="76"/>
        <v>ALTER TABLE TB_POPUP DROP COLUMN POPUP_CN;</v>
      </c>
      <c r="AG271" s="50" t="str">
        <f t="shared" si="77"/>
        <v/>
      </c>
      <c r="AH271" s="50" t="str">
        <f t="shared" si="81"/>
        <v>COMMENT ON COLUMN TB_POPUP.POPUP_CN IS '팝업 내용' ;</v>
      </c>
    </row>
    <row r="272" spans="1:34" ht="20" customHeight="1">
      <c r="A272" s="55">
        <v>268</v>
      </c>
      <c r="B272" s="26" t="s">
        <v>7</v>
      </c>
      <c r="C272" s="26" t="s">
        <v>17</v>
      </c>
      <c r="D272" s="10" t="s">
        <v>38</v>
      </c>
      <c r="E272" s="10" t="s">
        <v>17</v>
      </c>
      <c r="F272" s="92">
        <v>4</v>
      </c>
      <c r="G272" s="109" t="s">
        <v>416</v>
      </c>
      <c r="H272" s="109" t="s">
        <v>417</v>
      </c>
      <c r="I272" s="90" t="s">
        <v>357</v>
      </c>
      <c r="J272" s="90"/>
      <c r="K272" s="90"/>
      <c r="L272" s="90"/>
      <c r="M272" s="90"/>
      <c r="N272" s="90"/>
      <c r="O272" s="90"/>
      <c r="P272" s="51" t="s">
        <v>106</v>
      </c>
      <c r="Q272" s="126" t="s">
        <v>544</v>
      </c>
      <c r="R272" s="90"/>
      <c r="S272" s="109" t="s">
        <v>418</v>
      </c>
      <c r="T272" s="130"/>
      <c r="U272" s="130"/>
      <c r="V272" s="109"/>
      <c r="W272" s="90"/>
      <c r="X272" s="130"/>
      <c r="Y272" s="129" t="str">
        <f t="shared" si="78"/>
        <v>TB_POPUP</v>
      </c>
      <c r="Z272" s="50" t="str">
        <f t="shared" si="82"/>
        <v>USE_YN VARCHAR(1) NOT NULL,</v>
      </c>
      <c r="AA272" s="50" t="str">
        <f t="shared" si="79"/>
        <v/>
      </c>
      <c r="AB272" s="50" t="str">
        <f t="shared" si="80"/>
        <v/>
      </c>
      <c r="AC272" s="50" t="str">
        <f t="shared" si="73"/>
        <v/>
      </c>
      <c r="AD272" s="50" t="str">
        <f t="shared" si="74"/>
        <v>ALTER TABLE TB_POPUP ALTER COLUMN USE_YN TYPE VARCHAR(1);</v>
      </c>
      <c r="AE272" s="50" t="str">
        <f t="shared" si="75"/>
        <v>ALTER TABLE TB_POPUP ADD COLUMN USE_YN VARCHAR(1) NOT NULL;</v>
      </c>
      <c r="AF272" s="50" t="str">
        <f t="shared" si="76"/>
        <v>ALTER TABLE TB_POPUP DROP COLUMN USE_YN;</v>
      </c>
      <c r="AG272" s="50" t="str">
        <f t="shared" si="77"/>
        <v/>
      </c>
      <c r="AH272" s="50" t="str">
        <f t="shared" si="81"/>
        <v>COMMENT ON COLUMN TB_POPUP.USE_YN IS '사용 여부' ;</v>
      </c>
    </row>
    <row r="273" spans="1:34" ht="20" customHeight="1">
      <c r="A273" s="55">
        <v>269</v>
      </c>
      <c r="B273" s="26" t="s">
        <v>7</v>
      </c>
      <c r="C273" s="26" t="s">
        <v>17</v>
      </c>
      <c r="D273" s="10" t="s">
        <v>38</v>
      </c>
      <c r="E273" s="10" t="s">
        <v>17</v>
      </c>
      <c r="F273" s="92">
        <v>5</v>
      </c>
      <c r="G273" s="107" t="s">
        <v>363</v>
      </c>
      <c r="H273" s="109" t="s">
        <v>354</v>
      </c>
      <c r="I273" s="90" t="s">
        <v>357</v>
      </c>
      <c r="J273" s="90"/>
      <c r="K273" s="90"/>
      <c r="L273" s="90"/>
      <c r="M273" s="90"/>
      <c r="N273" s="90"/>
      <c r="O273" s="90"/>
      <c r="P273" s="51" t="s">
        <v>106</v>
      </c>
      <c r="Q273" s="127" t="s">
        <v>780</v>
      </c>
      <c r="R273" s="90"/>
      <c r="S273" s="109" t="s">
        <v>369</v>
      </c>
      <c r="T273" s="130"/>
      <c r="U273" s="130"/>
      <c r="V273" s="109"/>
      <c r="W273" s="90"/>
      <c r="X273" s="130"/>
      <c r="Y273" s="129" t="str">
        <f t="shared" si="78"/>
        <v>TB_POPUP</v>
      </c>
      <c r="Z273" s="50" t="str">
        <f t="shared" si="82"/>
        <v>POPUP_BEGIN_DT VARCHAR(16) NOT NULL,</v>
      </c>
      <c r="AA273" s="50" t="str">
        <f t="shared" si="79"/>
        <v/>
      </c>
      <c r="AB273" s="50" t="str">
        <f t="shared" si="80"/>
        <v/>
      </c>
      <c r="AC273" s="50" t="str">
        <f t="shared" si="73"/>
        <v/>
      </c>
      <c r="AD273" s="50" t="str">
        <f t="shared" si="74"/>
        <v>ALTER TABLE TB_POPUP ALTER COLUMN POPUP_BEGIN_DT TYPE VARCHAR(16);</v>
      </c>
      <c r="AE273" s="50" t="str">
        <f t="shared" si="75"/>
        <v>ALTER TABLE TB_POPUP ADD COLUMN POPUP_BEGIN_DT VARCHAR(16) NOT NULL;</v>
      </c>
      <c r="AF273" s="50" t="str">
        <f t="shared" si="76"/>
        <v>ALTER TABLE TB_POPUP DROP COLUMN POPUP_BEGIN_DT;</v>
      </c>
      <c r="AG273" s="50" t="str">
        <f t="shared" si="77"/>
        <v/>
      </c>
      <c r="AH273" s="50" t="str">
        <f t="shared" si="81"/>
        <v>COMMENT ON COLUMN TB_POPUP.POPUP_BEGIN_DT IS '팝업 시작 일시' ;</v>
      </c>
    </row>
    <row r="274" spans="1:34" ht="20" customHeight="1">
      <c r="A274" s="55">
        <v>270</v>
      </c>
      <c r="B274" s="26" t="s">
        <v>7</v>
      </c>
      <c r="C274" s="26" t="s">
        <v>17</v>
      </c>
      <c r="D274" s="10" t="s">
        <v>38</v>
      </c>
      <c r="E274" s="10" t="s">
        <v>17</v>
      </c>
      <c r="F274" s="92">
        <v>6</v>
      </c>
      <c r="G274" s="106" t="s">
        <v>364</v>
      </c>
      <c r="H274" s="109" t="s">
        <v>355</v>
      </c>
      <c r="I274" s="90" t="s">
        <v>357</v>
      </c>
      <c r="J274" s="90"/>
      <c r="K274" s="90"/>
      <c r="L274" s="90"/>
      <c r="M274" s="90"/>
      <c r="N274" s="90"/>
      <c r="O274" s="90"/>
      <c r="P274" s="51" t="s">
        <v>106</v>
      </c>
      <c r="Q274" s="127" t="s">
        <v>780</v>
      </c>
      <c r="R274" s="90"/>
      <c r="S274" s="109" t="s">
        <v>370</v>
      </c>
      <c r="T274" s="130"/>
      <c r="U274" s="130"/>
      <c r="V274" s="109"/>
      <c r="W274" s="90"/>
      <c r="X274" s="130"/>
      <c r="Y274" s="129" t="str">
        <f t="shared" si="78"/>
        <v>TB_POPUP</v>
      </c>
      <c r="Z274" s="50" t="str">
        <f t="shared" si="82"/>
        <v>POPUP_END_DT VARCHAR(16) NOT NULL,</v>
      </c>
      <c r="AA274" s="50" t="str">
        <f t="shared" si="79"/>
        <v/>
      </c>
      <c r="AB274" s="50" t="str">
        <f t="shared" si="80"/>
        <v/>
      </c>
      <c r="AC274" s="50" t="str">
        <f t="shared" si="73"/>
        <v/>
      </c>
      <c r="AD274" s="50" t="str">
        <f t="shared" si="74"/>
        <v>ALTER TABLE TB_POPUP ALTER COLUMN POPUP_END_DT TYPE VARCHAR(16);</v>
      </c>
      <c r="AE274" s="50" t="str">
        <f t="shared" si="75"/>
        <v>ALTER TABLE TB_POPUP ADD COLUMN POPUP_END_DT VARCHAR(16) NOT NULL;</v>
      </c>
      <c r="AF274" s="50" t="str">
        <f t="shared" si="76"/>
        <v>ALTER TABLE TB_POPUP DROP COLUMN POPUP_END_DT;</v>
      </c>
      <c r="AG274" s="50" t="str">
        <f t="shared" si="77"/>
        <v/>
      </c>
      <c r="AH274" s="50" t="str">
        <f t="shared" si="81"/>
        <v>COMMENT ON COLUMN TB_POPUP.POPUP_END_DT IS '팝업 종료 일시' ;</v>
      </c>
    </row>
    <row r="275" spans="1:34" ht="20" customHeight="1">
      <c r="A275" s="55">
        <v>271</v>
      </c>
      <c r="B275" s="26" t="s">
        <v>7</v>
      </c>
      <c r="C275" s="26" t="s">
        <v>17</v>
      </c>
      <c r="D275" s="10" t="s">
        <v>38</v>
      </c>
      <c r="E275" s="10" t="s">
        <v>17</v>
      </c>
      <c r="F275" s="92">
        <v>7</v>
      </c>
      <c r="G275" s="106" t="s">
        <v>372</v>
      </c>
      <c r="H275" s="109" t="s">
        <v>374</v>
      </c>
      <c r="I275" s="90" t="s">
        <v>131</v>
      </c>
      <c r="J275" s="90"/>
      <c r="K275" s="90">
        <v>1</v>
      </c>
      <c r="L275" s="10" t="s">
        <v>371</v>
      </c>
      <c r="M275" s="101" t="s">
        <v>372</v>
      </c>
      <c r="N275" s="101" t="s">
        <v>562</v>
      </c>
      <c r="O275" s="101" t="s">
        <v>563</v>
      </c>
      <c r="P275" s="51" t="s">
        <v>229</v>
      </c>
      <c r="Q275" s="124"/>
      <c r="R275" s="90"/>
      <c r="S275" s="109" t="s">
        <v>376</v>
      </c>
      <c r="T275" s="130"/>
      <c r="U275" s="130"/>
      <c r="V275" s="109"/>
      <c r="W275" s="90"/>
      <c r="X275" s="130"/>
      <c r="Y275" s="129" t="str">
        <f t="shared" si="78"/>
        <v>TB_POPUP</v>
      </c>
      <c r="Z275" s="50" t="str">
        <f t="shared" si="82"/>
        <v>ATCH_FILE_SN INTEGER NOT NULL,</v>
      </c>
      <c r="AA275" s="50" t="str">
        <f t="shared" si="79"/>
        <v>ALTER TABLE TB_POPUP ADD CONSTRAINT TB_POPUP_FKEY1 FOREIGN KEY(ATCH_FILE_SN) REFERENCES TB_ATCH_FILE(ATCH_FILE_SN) ON UPDATE CASCADE ON DELETE SET NULL;</v>
      </c>
      <c r="AB275" s="50" t="str">
        <f t="shared" si="80"/>
        <v/>
      </c>
      <c r="AC275" s="50" t="str">
        <f t="shared" ref="AC275:AC338" si="91">IF(ISBLANK(T275),"","ALTER TABLE "&amp;D275&amp;" ALTER COLUMN "&amp;G275&amp;" SET DEFAULT NEXTVAL('"&amp;T275&amp;"');")</f>
        <v/>
      </c>
      <c r="AD275" s="50" t="str">
        <f t="shared" si="74"/>
        <v>ALTER TABLE TB_POPUP ALTER COLUMN ATCH_FILE_SN TYPE INTEGER;</v>
      </c>
      <c r="AE275" s="50" t="str">
        <f t="shared" si="75"/>
        <v>ALTER TABLE TB_POPUP ADD COLUMN ATCH_FILE_SN INTEGER NOT NULL;</v>
      </c>
      <c r="AF275" s="50" t="str">
        <f t="shared" si="76"/>
        <v>ALTER TABLE TB_POPUP DROP COLUMN ATCH_FILE_SN;</v>
      </c>
      <c r="AG275" s="50" t="str">
        <f t="shared" si="77"/>
        <v/>
      </c>
      <c r="AH275" s="50" t="str">
        <f t="shared" si="81"/>
        <v>COMMENT ON COLUMN TB_POPUP.ATCH_FILE_SN IS '첨부 파일 일련번호' ;</v>
      </c>
    </row>
    <row r="276" spans="1:34" ht="20" customHeight="1">
      <c r="A276" s="55">
        <v>272</v>
      </c>
      <c r="B276" s="26" t="s">
        <v>7</v>
      </c>
      <c r="C276" s="26" t="s">
        <v>17</v>
      </c>
      <c r="D276" s="10" t="s">
        <v>38</v>
      </c>
      <c r="E276" s="10" t="s">
        <v>17</v>
      </c>
      <c r="F276" s="92">
        <v>8</v>
      </c>
      <c r="G276" s="109" t="s">
        <v>365</v>
      </c>
      <c r="H276" s="109" t="s">
        <v>356</v>
      </c>
      <c r="I276" s="90"/>
      <c r="J276" s="90"/>
      <c r="K276" s="90"/>
      <c r="L276" s="90"/>
      <c r="M276" s="90"/>
      <c r="N276" s="90"/>
      <c r="O276" s="90"/>
      <c r="P276" s="109" t="s">
        <v>359</v>
      </c>
      <c r="Q276" s="126" t="s">
        <v>552</v>
      </c>
      <c r="R276" s="90"/>
      <c r="S276" s="109" t="s">
        <v>360</v>
      </c>
      <c r="T276" s="130"/>
      <c r="U276" s="130"/>
      <c r="V276" s="109"/>
      <c r="W276" s="90"/>
      <c r="X276" s="130"/>
      <c r="Y276" s="129" t="str">
        <f t="shared" si="78"/>
        <v>TB_POPUP</v>
      </c>
      <c r="Z276" s="50" t="str">
        <f t="shared" si="82"/>
        <v>MOVE_URL VARCHAR(2000),</v>
      </c>
      <c r="AA276" s="50" t="str">
        <f t="shared" si="79"/>
        <v/>
      </c>
      <c r="AB276" s="50" t="str">
        <f t="shared" si="80"/>
        <v/>
      </c>
      <c r="AC276" s="50" t="str">
        <f t="shared" si="91"/>
        <v/>
      </c>
      <c r="AD276" s="50" t="str">
        <f t="shared" si="74"/>
        <v>ALTER TABLE TB_POPUP ALTER COLUMN MOVE_URL TYPE VARCHAR(2000);</v>
      </c>
      <c r="AE276" s="50" t="str">
        <f t="shared" si="75"/>
        <v>ALTER TABLE TB_POPUP ADD COLUMN MOVE_URL VARCHAR(2000);</v>
      </c>
      <c r="AF276" s="50" t="str">
        <f t="shared" si="76"/>
        <v>ALTER TABLE TB_POPUP DROP COLUMN MOVE_URL;</v>
      </c>
      <c r="AG276" s="50" t="str">
        <f t="shared" si="77"/>
        <v/>
      </c>
      <c r="AH276" s="50" t="str">
        <f t="shared" si="81"/>
        <v>COMMENT ON COLUMN TB_POPUP.MOVE_URL IS '클릭시 이동 URL' ;</v>
      </c>
    </row>
    <row r="277" spans="1:34" ht="20" customHeight="1">
      <c r="A277" s="55">
        <v>273</v>
      </c>
      <c r="B277" s="26" t="s">
        <v>7</v>
      </c>
      <c r="C277" s="26" t="s">
        <v>17</v>
      </c>
      <c r="D277" s="10" t="s">
        <v>38</v>
      </c>
      <c r="E277" s="10" t="s">
        <v>17</v>
      </c>
      <c r="F277" s="92">
        <v>9</v>
      </c>
      <c r="G277" s="102" t="s">
        <v>107</v>
      </c>
      <c r="H277" s="51" t="s">
        <v>76</v>
      </c>
      <c r="I277" s="75" t="s">
        <v>72</v>
      </c>
      <c r="J277" s="67"/>
      <c r="K277" s="67"/>
      <c r="L277" s="82"/>
      <c r="M277" s="82"/>
      <c r="N277" s="82"/>
      <c r="O277" s="82"/>
      <c r="P277" s="105" t="s">
        <v>543</v>
      </c>
      <c r="Q277" s="126" t="s">
        <v>548</v>
      </c>
      <c r="R277" s="85"/>
      <c r="S277" s="112" t="s">
        <v>219</v>
      </c>
      <c r="T277" s="130"/>
      <c r="U277" s="130"/>
      <c r="V277" s="123" t="s">
        <v>518</v>
      </c>
      <c r="W277" s="90"/>
      <c r="X277" s="130"/>
      <c r="Y277" s="129" t="str">
        <f t="shared" si="78"/>
        <v>TB_POPUP</v>
      </c>
      <c r="Z277" s="50" t="str">
        <f t="shared" si="82"/>
        <v>REGISTER_ID VARCHAR(50) NOT NULL,</v>
      </c>
      <c r="AA277" s="50" t="str">
        <f t="shared" si="79"/>
        <v/>
      </c>
      <c r="AB277" s="50" t="str">
        <f t="shared" si="80"/>
        <v/>
      </c>
      <c r="AC277" s="50" t="str">
        <f t="shared" si="91"/>
        <v/>
      </c>
      <c r="AD277" s="50" t="str">
        <f t="shared" si="74"/>
        <v>ALTER TABLE TB_POPUP ALTER COLUMN REGISTER_ID TYPE VARCHAR(50);</v>
      </c>
      <c r="AE277" s="50" t="str">
        <f t="shared" si="75"/>
        <v>ALTER TABLE TB_POPUP ADD COLUMN REGISTER_ID VARCHAR(50) NOT NULL;</v>
      </c>
      <c r="AF277" s="50" t="str">
        <f t="shared" si="76"/>
        <v>ALTER TABLE TB_POPUP DROP COLUMN REGISTER_ID;</v>
      </c>
      <c r="AG277" s="50" t="str">
        <f t="shared" si="77"/>
        <v/>
      </c>
      <c r="AH277" s="50" t="str">
        <f t="shared" si="81"/>
        <v>COMMENT ON COLUMN TB_POPUP.REGISTER_ID IS '등록자 ID' ;</v>
      </c>
    </row>
    <row r="278" spans="1:34" ht="20" customHeight="1">
      <c r="A278" s="55">
        <v>274</v>
      </c>
      <c r="B278" s="26" t="s">
        <v>7</v>
      </c>
      <c r="C278" s="26" t="s">
        <v>17</v>
      </c>
      <c r="D278" s="10" t="s">
        <v>38</v>
      </c>
      <c r="E278" s="10" t="s">
        <v>17</v>
      </c>
      <c r="F278" s="92">
        <v>10</v>
      </c>
      <c r="G278" s="102" t="s">
        <v>91</v>
      </c>
      <c r="H278" s="51" t="s">
        <v>77</v>
      </c>
      <c r="I278" s="75" t="s">
        <v>72</v>
      </c>
      <c r="J278" s="52"/>
      <c r="K278" s="52"/>
      <c r="L278" s="52"/>
      <c r="M278" s="52"/>
      <c r="N278" s="52"/>
      <c r="O278" s="52"/>
      <c r="P278" s="56" t="s">
        <v>106</v>
      </c>
      <c r="Q278" s="126" t="s">
        <v>549</v>
      </c>
      <c r="R278" s="85"/>
      <c r="S278" s="112" t="s">
        <v>218</v>
      </c>
      <c r="T278" s="130"/>
      <c r="U278" s="130"/>
      <c r="V278" s="109"/>
      <c r="W278" s="90"/>
      <c r="X278" s="130"/>
      <c r="Y278" s="129" t="str">
        <f t="shared" si="78"/>
        <v>TB_POPUP</v>
      </c>
      <c r="Z278" s="50" t="str">
        <f t="shared" si="82"/>
        <v>REGISTER_IP VARCHAR(100) NOT NULL,</v>
      </c>
      <c r="AA278" s="50" t="str">
        <f t="shared" si="79"/>
        <v/>
      </c>
      <c r="AB278" s="50" t="str">
        <f t="shared" si="80"/>
        <v/>
      </c>
      <c r="AC278" s="50" t="str">
        <f t="shared" si="91"/>
        <v/>
      </c>
      <c r="AD278" s="50" t="str">
        <f t="shared" si="74"/>
        <v>ALTER TABLE TB_POPUP ALTER COLUMN REGISTER_IP TYPE VARCHAR(100);</v>
      </c>
      <c r="AE278" s="50" t="str">
        <f t="shared" si="75"/>
        <v>ALTER TABLE TB_POPUP ADD COLUMN REGISTER_IP VARCHAR(100) NOT NULL;</v>
      </c>
      <c r="AF278" s="50" t="str">
        <f t="shared" si="76"/>
        <v>ALTER TABLE TB_POPUP DROP COLUMN REGISTER_IP;</v>
      </c>
      <c r="AG278" s="50" t="str">
        <f t="shared" si="77"/>
        <v/>
      </c>
      <c r="AH278" s="50" t="str">
        <f t="shared" si="81"/>
        <v>COMMENT ON COLUMN TB_POPUP.REGISTER_IP IS '등록자 IP' ;</v>
      </c>
    </row>
    <row r="279" spans="1:34" ht="20" customHeight="1">
      <c r="A279" s="55">
        <v>275</v>
      </c>
      <c r="B279" s="26" t="s">
        <v>7</v>
      </c>
      <c r="C279" s="26" t="s">
        <v>17</v>
      </c>
      <c r="D279" s="10" t="s">
        <v>38</v>
      </c>
      <c r="E279" s="10" t="s">
        <v>17</v>
      </c>
      <c r="F279" s="92">
        <v>11</v>
      </c>
      <c r="G279" s="102" t="s">
        <v>92</v>
      </c>
      <c r="H279" s="101" t="s">
        <v>78</v>
      </c>
      <c r="I279" s="75" t="s">
        <v>72</v>
      </c>
      <c r="J279" s="52"/>
      <c r="K279" s="52"/>
      <c r="L279" s="52"/>
      <c r="M279" s="52"/>
      <c r="N279" s="52"/>
      <c r="O279" s="52"/>
      <c r="P279" s="51" t="s">
        <v>732</v>
      </c>
      <c r="Q279" s="126"/>
      <c r="R279" s="85"/>
      <c r="S279" s="112" t="s">
        <v>217</v>
      </c>
      <c r="T279" s="130"/>
      <c r="U279" s="130"/>
      <c r="V279" s="109"/>
      <c r="W279" s="90"/>
      <c r="X279" s="130"/>
      <c r="Y279" s="129" t="str">
        <f t="shared" si="78"/>
        <v>TB_POPUP</v>
      </c>
      <c r="Z279" s="50" t="str">
        <f t="shared" si="82"/>
        <v>REG_DT TIMESTAMP NOT NULL,</v>
      </c>
      <c r="AA279" s="50" t="str">
        <f t="shared" si="79"/>
        <v/>
      </c>
      <c r="AB279" s="50" t="str">
        <f t="shared" si="80"/>
        <v/>
      </c>
      <c r="AC279" s="50" t="str">
        <f t="shared" si="91"/>
        <v/>
      </c>
      <c r="AD279" s="50" t="str">
        <f t="shared" si="74"/>
        <v>ALTER TABLE TB_POPUP ALTER COLUMN REG_DT TYPE TIMESTAMP;</v>
      </c>
      <c r="AE279" s="50" t="str">
        <f t="shared" si="75"/>
        <v>ALTER TABLE TB_POPUP ADD COLUMN REG_DT TIMESTAMP NOT NULL;</v>
      </c>
      <c r="AF279" s="50" t="str">
        <f t="shared" si="76"/>
        <v>ALTER TABLE TB_POPUP DROP COLUMN REG_DT;</v>
      </c>
      <c r="AG279" s="50" t="str">
        <f t="shared" si="77"/>
        <v/>
      </c>
      <c r="AH279" s="50" t="str">
        <f t="shared" si="81"/>
        <v>COMMENT ON COLUMN TB_POPUP.REG_DT IS '등록 일시' ;</v>
      </c>
    </row>
    <row r="280" spans="1:34" ht="20" customHeight="1">
      <c r="A280" s="55">
        <v>276</v>
      </c>
      <c r="B280" s="26" t="s">
        <v>7</v>
      </c>
      <c r="C280" s="26" t="s">
        <v>17</v>
      </c>
      <c r="D280" s="10" t="s">
        <v>38</v>
      </c>
      <c r="E280" s="10" t="s">
        <v>17</v>
      </c>
      <c r="F280" s="92">
        <v>12</v>
      </c>
      <c r="G280" s="102" t="s">
        <v>93</v>
      </c>
      <c r="H280" s="101" t="s">
        <v>80</v>
      </c>
      <c r="I280" s="52"/>
      <c r="J280" s="52"/>
      <c r="K280" s="52"/>
      <c r="L280" s="84"/>
      <c r="M280" s="84"/>
      <c r="N280" s="84"/>
      <c r="O280" s="84"/>
      <c r="P280" s="105" t="s">
        <v>543</v>
      </c>
      <c r="Q280" s="126" t="s">
        <v>548</v>
      </c>
      <c r="R280" s="85"/>
      <c r="S280" s="112" t="s">
        <v>216</v>
      </c>
      <c r="T280" s="130"/>
      <c r="U280" s="130"/>
      <c r="V280" s="123" t="s">
        <v>518</v>
      </c>
      <c r="W280" s="90"/>
      <c r="X280" s="130"/>
      <c r="Y280" s="129" t="str">
        <f t="shared" si="78"/>
        <v>TB_POPUP</v>
      </c>
      <c r="Z280" s="50" t="str">
        <f t="shared" si="82"/>
        <v>UPDUSR_ID VARCHAR(50),</v>
      </c>
      <c r="AA280" s="50" t="str">
        <f t="shared" si="79"/>
        <v/>
      </c>
      <c r="AB280" s="50" t="str">
        <f t="shared" si="80"/>
        <v/>
      </c>
      <c r="AC280" s="50" t="str">
        <f t="shared" si="91"/>
        <v/>
      </c>
      <c r="AD280" s="50" t="str">
        <f t="shared" si="74"/>
        <v>ALTER TABLE TB_POPUP ALTER COLUMN UPDUSR_ID TYPE VARCHAR(50);</v>
      </c>
      <c r="AE280" s="50" t="str">
        <f t="shared" si="75"/>
        <v>ALTER TABLE TB_POPUP ADD COLUMN UPDUSR_ID VARCHAR(50);</v>
      </c>
      <c r="AF280" s="50" t="str">
        <f t="shared" si="76"/>
        <v>ALTER TABLE TB_POPUP DROP COLUMN UPDUSR_ID;</v>
      </c>
      <c r="AG280" s="50" t="str">
        <f t="shared" si="77"/>
        <v/>
      </c>
      <c r="AH280" s="50" t="str">
        <f t="shared" si="81"/>
        <v>COMMENT ON COLUMN TB_POPUP.UPDUSR_ID IS '수정자 ID' ;</v>
      </c>
    </row>
    <row r="281" spans="1:34" ht="20" customHeight="1">
      <c r="A281" s="55">
        <v>277</v>
      </c>
      <c r="B281" s="26" t="s">
        <v>7</v>
      </c>
      <c r="C281" s="26" t="s">
        <v>17</v>
      </c>
      <c r="D281" s="10" t="s">
        <v>38</v>
      </c>
      <c r="E281" s="10" t="s">
        <v>17</v>
      </c>
      <c r="F281" s="92">
        <v>13</v>
      </c>
      <c r="G281" s="102" t="s">
        <v>94</v>
      </c>
      <c r="H281" s="101" t="s">
        <v>79</v>
      </c>
      <c r="I281" s="52"/>
      <c r="J281" s="52"/>
      <c r="K281" s="52"/>
      <c r="L281" s="52"/>
      <c r="M281" s="52"/>
      <c r="N281" s="52"/>
      <c r="O281" s="52"/>
      <c r="P281" s="56" t="s">
        <v>106</v>
      </c>
      <c r="Q281" s="126" t="s">
        <v>549</v>
      </c>
      <c r="R281" s="85"/>
      <c r="S281" s="112" t="s">
        <v>215</v>
      </c>
      <c r="T281" s="130"/>
      <c r="U281" s="130"/>
      <c r="V281" s="109"/>
      <c r="W281" s="90"/>
      <c r="X281" s="130"/>
      <c r="Y281" s="129" t="str">
        <f t="shared" si="78"/>
        <v>TB_POPUP</v>
      </c>
      <c r="Z281" s="50" t="str">
        <f t="shared" si="82"/>
        <v>UPDUSR_IP VARCHAR(100),</v>
      </c>
      <c r="AA281" s="50" t="str">
        <f t="shared" si="79"/>
        <v/>
      </c>
      <c r="AB281" s="50" t="str">
        <f t="shared" si="80"/>
        <v/>
      </c>
      <c r="AC281" s="50" t="str">
        <f t="shared" si="91"/>
        <v/>
      </c>
      <c r="AD281" s="50" t="str">
        <f t="shared" si="74"/>
        <v>ALTER TABLE TB_POPUP ALTER COLUMN UPDUSR_IP TYPE VARCHAR(100);</v>
      </c>
      <c r="AE281" s="50" t="str">
        <f t="shared" si="75"/>
        <v>ALTER TABLE TB_POPUP ADD COLUMN UPDUSR_IP VARCHAR(100);</v>
      </c>
      <c r="AF281" s="50" t="str">
        <f t="shared" si="76"/>
        <v>ALTER TABLE TB_POPUP DROP COLUMN UPDUSR_IP;</v>
      </c>
      <c r="AG281" s="50" t="str">
        <f t="shared" si="77"/>
        <v/>
      </c>
      <c r="AH281" s="50" t="str">
        <f t="shared" si="81"/>
        <v>COMMENT ON COLUMN TB_POPUP.UPDUSR_IP IS '수정자 IP' ;</v>
      </c>
    </row>
    <row r="282" spans="1:34" ht="20" customHeight="1">
      <c r="A282" s="55">
        <v>278</v>
      </c>
      <c r="B282" s="26" t="s">
        <v>7</v>
      </c>
      <c r="C282" s="26" t="s">
        <v>17</v>
      </c>
      <c r="D282" s="10" t="s">
        <v>38</v>
      </c>
      <c r="E282" s="10" t="s">
        <v>17</v>
      </c>
      <c r="F282" s="92">
        <v>14</v>
      </c>
      <c r="G282" s="103" t="s">
        <v>95</v>
      </c>
      <c r="H282" s="102" t="s">
        <v>81</v>
      </c>
      <c r="I282" s="61"/>
      <c r="J282" s="61"/>
      <c r="K282" s="61"/>
      <c r="L282" s="61"/>
      <c r="M282" s="61"/>
      <c r="N282" s="61"/>
      <c r="O282" s="61"/>
      <c r="P282" s="51" t="s">
        <v>732</v>
      </c>
      <c r="Q282" s="126"/>
      <c r="R282" s="82"/>
      <c r="S282" s="112" t="s">
        <v>214</v>
      </c>
      <c r="T282" s="130"/>
      <c r="U282" s="130"/>
      <c r="V282" s="109"/>
      <c r="W282" s="90"/>
      <c r="X282" s="130"/>
      <c r="Y282" s="129" t="str">
        <f t="shared" si="78"/>
        <v>TB_POPUP</v>
      </c>
      <c r="Z282" s="50" t="str">
        <f t="shared" si="82"/>
        <v>UPDT_DT TIMESTAMP,</v>
      </c>
      <c r="AA282" s="50" t="str">
        <f t="shared" si="79"/>
        <v/>
      </c>
      <c r="AB282" s="50" t="str">
        <f t="shared" si="80"/>
        <v/>
      </c>
      <c r="AC282" s="50" t="str">
        <f t="shared" si="91"/>
        <v/>
      </c>
      <c r="AD282" s="50" t="str">
        <f t="shared" si="74"/>
        <v>ALTER TABLE TB_POPUP ALTER COLUMN UPDT_DT TYPE TIMESTAMP;</v>
      </c>
      <c r="AE282" s="50" t="str">
        <f t="shared" si="75"/>
        <v>ALTER TABLE TB_POPUP ADD COLUMN UPDT_DT TIMESTAMP;</v>
      </c>
      <c r="AF282" s="50" t="str">
        <f t="shared" si="76"/>
        <v>ALTER TABLE TB_POPUP DROP COLUMN UPDT_DT;</v>
      </c>
      <c r="AG282" s="50" t="str">
        <f t="shared" si="77"/>
        <v/>
      </c>
      <c r="AH282" s="50" t="str">
        <f t="shared" si="81"/>
        <v>COMMENT ON COLUMN TB_POPUP.UPDT_DT IS '수정 일시' ;</v>
      </c>
    </row>
    <row r="283" spans="1:34" ht="20" customHeight="1">
      <c r="A283" s="55">
        <v>279</v>
      </c>
      <c r="B283" s="26" t="s">
        <v>7</v>
      </c>
      <c r="C283" s="26" t="s">
        <v>17</v>
      </c>
      <c r="D283" s="10" t="s">
        <v>38</v>
      </c>
      <c r="E283" s="10" t="s">
        <v>17</v>
      </c>
      <c r="F283" s="92">
        <v>15</v>
      </c>
      <c r="G283" s="102" t="s">
        <v>96</v>
      </c>
      <c r="H283" s="102" t="s">
        <v>82</v>
      </c>
      <c r="I283" s="75" t="s">
        <v>72</v>
      </c>
      <c r="J283" s="61"/>
      <c r="K283" s="61"/>
      <c r="L283" s="61"/>
      <c r="M283" s="61"/>
      <c r="N283" s="61"/>
      <c r="O283" s="61"/>
      <c r="P283" s="51" t="s">
        <v>106</v>
      </c>
      <c r="Q283" s="126" t="s">
        <v>544</v>
      </c>
      <c r="R283" s="87" t="s">
        <v>592</v>
      </c>
      <c r="S283" s="112" t="s">
        <v>213</v>
      </c>
      <c r="T283" s="130"/>
      <c r="U283" s="130"/>
      <c r="V283" s="109"/>
      <c r="W283" s="90"/>
      <c r="X283" s="130"/>
      <c r="Y283" s="129" t="str">
        <f t="shared" si="78"/>
        <v>TB_POPUP</v>
      </c>
      <c r="Z283" s="50" t="str">
        <f t="shared" si="82"/>
        <v>DEL_YN VARCHAR(1) NOT NULL,</v>
      </c>
      <c r="AA283" s="50" t="str">
        <f t="shared" si="79"/>
        <v/>
      </c>
      <c r="AB283" s="50" t="str">
        <f t="shared" si="80"/>
        <v/>
      </c>
      <c r="AC283" s="50" t="str">
        <f t="shared" si="91"/>
        <v/>
      </c>
      <c r="AD283" s="50" t="str">
        <f t="shared" ref="AD283:AD346" si="92">"ALTER TABLE "&amp;$D283&amp;" ALTER COLUMN "&amp;$G283&amp;" TYPE "&amp;$P283&amp;IF(ISBLANK(Q283),"",Q283)&amp;";"</f>
        <v>ALTER TABLE TB_POPUP ALTER COLUMN DEL_YN TYPE VARCHAR(1);</v>
      </c>
      <c r="AE283" s="50" t="str">
        <f t="shared" ref="AE283:AE346" si="93">"ALTER TABLE "&amp;$D283&amp;" ADD COLUMN "&amp;$G283&amp;" "&amp;$P283&amp;IF(ISBLANK(Q283),"",$Q283)&amp;IF(ISBLANK($I283),""," NOT NULL")&amp;IF(ISBLANK($R283),""," DEFAULT '" &amp; $R283 &amp; "'") &amp; ";"</f>
        <v>ALTER TABLE TB_POPUP ADD COLUMN DEL_YN VARCHAR(1) NOT NULL DEFAULT ''N'';</v>
      </c>
      <c r="AF283" s="50" t="str">
        <f t="shared" ref="AF283:AF346" si="94">"ALTER TABLE "&amp;$D283&amp;" DROP COLUMN "&amp;$G283&amp;";"</f>
        <v>ALTER TABLE TB_POPUP DROP COLUMN DEL_YN;</v>
      </c>
      <c r="AG283" s="50" t="str">
        <f t="shared" ref="AG283:AG346" si="95">IF(ISBLANK($R283),"","ALTER TABLE " &amp; $D283 &amp; " ALTER COLUMN " &amp; G283 &amp; " SET DEFAULT " &amp; $R283 &amp; ";")</f>
        <v>ALTER TABLE TB_POPUP ALTER COLUMN DEL_YN SET DEFAULT 'N';</v>
      </c>
      <c r="AH283" s="50" t="str">
        <f t="shared" si="81"/>
        <v>COMMENT ON COLUMN TB_POPUP.DEL_YN IS '삭제 여부' ;</v>
      </c>
    </row>
    <row r="284" spans="1:34" ht="20" customHeight="1">
      <c r="A284" s="55">
        <v>280</v>
      </c>
      <c r="B284" s="26" t="s">
        <v>7</v>
      </c>
      <c r="C284" s="26" t="s">
        <v>660</v>
      </c>
      <c r="D284" s="11" t="s">
        <v>663</v>
      </c>
      <c r="E284" s="10" t="s">
        <v>661</v>
      </c>
      <c r="F284" s="92">
        <v>1</v>
      </c>
      <c r="G284" s="102" t="s">
        <v>664</v>
      </c>
      <c r="H284" s="102" t="s">
        <v>662</v>
      </c>
      <c r="I284" s="75" t="s">
        <v>72</v>
      </c>
      <c r="J284" s="69">
        <v>1</v>
      </c>
      <c r="K284" s="69"/>
      <c r="L284" s="69"/>
      <c r="M284" s="69"/>
      <c r="N284" s="69"/>
      <c r="O284" s="69"/>
      <c r="P284" s="62" t="s">
        <v>672</v>
      </c>
      <c r="Q284" s="126"/>
      <c r="R284" s="87"/>
      <c r="S284" s="102" t="s">
        <v>679</v>
      </c>
      <c r="T284" s="132" t="str">
        <f>"SEQ_"&amp;D284&amp;"_SN"</f>
        <v>SEQ_TB_QESTNAR_GROUP_SN</v>
      </c>
      <c r="U284" s="130"/>
      <c r="V284" s="109"/>
      <c r="W284" s="90"/>
      <c r="X284" s="130"/>
      <c r="Y284" s="129" t="str">
        <f t="shared" ref="Y284:Y289" si="96">D284</f>
        <v>TB_QESTNAR_GROUP</v>
      </c>
      <c r="Z284" s="50" t="str">
        <f t="shared" si="82"/>
        <v>QESTNAR_GROUP_SN INTEGER PRIMARY KEY,</v>
      </c>
      <c r="AA284" s="50" t="str">
        <f t="shared" si="79"/>
        <v/>
      </c>
      <c r="AB284" s="50" t="str">
        <f t="shared" si="80"/>
        <v>CREATE SEQUENCE SEQ_TB_QESTNAR_GROUP_SN START 100000;</v>
      </c>
      <c r="AC284" s="50" t="str">
        <f t="shared" si="91"/>
        <v>ALTER TABLE TB_QESTNAR_GROUP ALTER COLUMN QESTNAR_GROUP_SN SET DEFAULT NEXTVAL('SEQ_TB_QESTNAR_GROUP_SN');</v>
      </c>
      <c r="AD284" s="50" t="str">
        <f t="shared" si="92"/>
        <v>ALTER TABLE TB_QESTNAR_GROUP ALTER COLUMN QESTNAR_GROUP_SN TYPE INTEGER;</v>
      </c>
      <c r="AE284" s="50" t="str">
        <f t="shared" si="93"/>
        <v>ALTER TABLE TB_QESTNAR_GROUP ADD COLUMN QESTNAR_GROUP_SN INTEGER NOT NULL;</v>
      </c>
      <c r="AF284" s="50" t="str">
        <f t="shared" si="94"/>
        <v>ALTER TABLE TB_QESTNAR_GROUP DROP COLUMN QESTNAR_GROUP_SN;</v>
      </c>
      <c r="AG284" s="50" t="str">
        <f t="shared" si="95"/>
        <v/>
      </c>
      <c r="AH284" s="50" t="str">
        <f t="shared" ref="AH284:AH290" si="97">"COMMENT ON COLUMN "&amp;D284&amp;"."&amp;G284&amp;" IS '"&amp;S284&amp;"' ;"</f>
        <v>COMMENT ON COLUMN TB_QESTNAR_GROUP.QESTNAR_GROUP_SN IS '설문조사 그룹 일련번호' ;</v>
      </c>
    </row>
    <row r="285" spans="1:34" ht="20" customHeight="1">
      <c r="A285" s="55">
        <v>281</v>
      </c>
      <c r="B285" s="26" t="s">
        <v>7</v>
      </c>
      <c r="C285" s="26" t="s">
        <v>660</v>
      </c>
      <c r="D285" s="11" t="s">
        <v>663</v>
      </c>
      <c r="E285" s="10" t="s">
        <v>661</v>
      </c>
      <c r="F285" s="92">
        <v>2</v>
      </c>
      <c r="G285" s="102" t="s">
        <v>666</v>
      </c>
      <c r="H285" s="102" t="s">
        <v>665</v>
      </c>
      <c r="I285" s="75" t="s">
        <v>72</v>
      </c>
      <c r="J285" s="69"/>
      <c r="K285" s="69"/>
      <c r="L285" s="69"/>
      <c r="M285" s="69"/>
      <c r="N285" s="69"/>
      <c r="O285" s="69"/>
      <c r="P285" s="62" t="s">
        <v>673</v>
      </c>
      <c r="Q285" s="126" t="s">
        <v>548</v>
      </c>
      <c r="R285" s="87"/>
      <c r="S285" s="102" t="s">
        <v>680</v>
      </c>
      <c r="T285" s="130"/>
      <c r="U285" s="130"/>
      <c r="V285" s="109"/>
      <c r="W285" s="90"/>
      <c r="X285" s="130"/>
      <c r="Y285" s="129" t="str">
        <f t="shared" si="96"/>
        <v>TB_QESTNAR_GROUP</v>
      </c>
      <c r="Z285" s="50" t="str">
        <f t="shared" si="82"/>
        <v>QESTNAR_GROUP_CD VARCHAR(50) NOT NULL,</v>
      </c>
      <c r="AA285" s="50" t="str">
        <f t="shared" si="79"/>
        <v/>
      </c>
      <c r="AB285" s="50" t="str">
        <f t="shared" si="80"/>
        <v/>
      </c>
      <c r="AC285" s="50" t="str">
        <f t="shared" si="91"/>
        <v/>
      </c>
      <c r="AD285" s="50" t="str">
        <f t="shared" si="92"/>
        <v>ALTER TABLE TB_QESTNAR_GROUP ALTER COLUMN QESTNAR_GROUP_CD TYPE VARCHAR(50);</v>
      </c>
      <c r="AE285" s="50" t="str">
        <f t="shared" si="93"/>
        <v>ALTER TABLE TB_QESTNAR_GROUP ADD COLUMN QESTNAR_GROUP_CD VARCHAR(50) NOT NULL;</v>
      </c>
      <c r="AF285" s="50" t="str">
        <f t="shared" si="94"/>
        <v>ALTER TABLE TB_QESTNAR_GROUP DROP COLUMN QESTNAR_GROUP_CD;</v>
      </c>
      <c r="AG285" s="50" t="str">
        <f t="shared" si="95"/>
        <v/>
      </c>
      <c r="AH285" s="50" t="str">
        <f t="shared" si="97"/>
        <v>COMMENT ON COLUMN TB_QESTNAR_GROUP.QESTNAR_GROUP_CD IS '설문조사 그룹 코드' ;</v>
      </c>
    </row>
    <row r="286" spans="1:34" ht="20" customHeight="1">
      <c r="A286" s="55">
        <v>282</v>
      </c>
      <c r="B286" s="26" t="s">
        <v>7</v>
      </c>
      <c r="C286" s="26" t="s">
        <v>660</v>
      </c>
      <c r="D286" s="11" t="s">
        <v>663</v>
      </c>
      <c r="E286" s="10" t="s">
        <v>661</v>
      </c>
      <c r="F286" s="92">
        <v>3</v>
      </c>
      <c r="G286" s="102" t="s">
        <v>670</v>
      </c>
      <c r="H286" s="102" t="s">
        <v>667</v>
      </c>
      <c r="I286" s="75"/>
      <c r="J286" s="69"/>
      <c r="K286" s="69"/>
      <c r="L286" s="69"/>
      <c r="M286" s="69"/>
      <c r="N286" s="69"/>
      <c r="O286" s="69"/>
      <c r="P286" s="62" t="s">
        <v>673</v>
      </c>
      <c r="Q286" s="126" t="s">
        <v>549</v>
      </c>
      <c r="R286" s="87"/>
      <c r="S286" s="102" t="s">
        <v>681</v>
      </c>
      <c r="T286" s="130"/>
      <c r="U286" s="130"/>
      <c r="V286" s="109"/>
      <c r="W286" s="90"/>
      <c r="X286" s="130"/>
      <c r="Y286" s="129" t="str">
        <f t="shared" si="96"/>
        <v>TB_QESTNAR_GROUP</v>
      </c>
      <c r="Z286" s="50" t="str">
        <f t="shared" si="82"/>
        <v>QESTNAR_GROUP_NM VARCHAR(100),</v>
      </c>
      <c r="AA286" s="50" t="str">
        <f t="shared" si="79"/>
        <v/>
      </c>
      <c r="AB286" s="50" t="str">
        <f t="shared" si="80"/>
        <v/>
      </c>
      <c r="AC286" s="50" t="str">
        <f t="shared" si="91"/>
        <v/>
      </c>
      <c r="AD286" s="50" t="str">
        <f t="shared" si="92"/>
        <v>ALTER TABLE TB_QESTNAR_GROUP ALTER COLUMN QESTNAR_GROUP_NM TYPE VARCHAR(100);</v>
      </c>
      <c r="AE286" s="50" t="str">
        <f t="shared" si="93"/>
        <v>ALTER TABLE TB_QESTNAR_GROUP ADD COLUMN QESTNAR_GROUP_NM VARCHAR(100);</v>
      </c>
      <c r="AF286" s="50" t="str">
        <f t="shared" si="94"/>
        <v>ALTER TABLE TB_QESTNAR_GROUP DROP COLUMN QESTNAR_GROUP_NM;</v>
      </c>
      <c r="AG286" s="50" t="str">
        <f t="shared" si="95"/>
        <v/>
      </c>
      <c r="AH286" s="50" t="str">
        <f t="shared" si="97"/>
        <v>COMMENT ON COLUMN TB_QESTNAR_GROUP.QESTNAR_GROUP_NM IS '설문조사 그룹 이름' ;</v>
      </c>
    </row>
    <row r="287" spans="1:34" ht="20" customHeight="1">
      <c r="A287" s="55">
        <v>283</v>
      </c>
      <c r="B287" s="26" t="s">
        <v>7</v>
      </c>
      <c r="C287" s="26" t="s">
        <v>660</v>
      </c>
      <c r="D287" s="11" t="s">
        <v>663</v>
      </c>
      <c r="E287" s="10" t="s">
        <v>661</v>
      </c>
      <c r="F287" s="92">
        <v>4</v>
      </c>
      <c r="G287" s="102" t="s">
        <v>671</v>
      </c>
      <c r="H287" s="102" t="s">
        <v>668</v>
      </c>
      <c r="I287" s="75"/>
      <c r="J287" s="69"/>
      <c r="K287" s="69"/>
      <c r="L287" s="69"/>
      <c r="M287" s="69"/>
      <c r="N287" s="69"/>
      <c r="O287" s="69"/>
      <c r="P287" s="105" t="s">
        <v>106</v>
      </c>
      <c r="Q287" s="126" t="s">
        <v>550</v>
      </c>
      <c r="R287" s="87"/>
      <c r="S287" s="102" t="s">
        <v>682</v>
      </c>
      <c r="T287" s="130"/>
      <c r="U287" s="130"/>
      <c r="V287" s="109"/>
      <c r="W287" s="90"/>
      <c r="X287" s="130"/>
      <c r="Y287" s="129" t="str">
        <f t="shared" si="96"/>
        <v>TB_QESTNAR_GROUP</v>
      </c>
      <c r="Z287" s="50" t="str">
        <f t="shared" si="82"/>
        <v>QESTNAR_GROUP_DC VARCHAR(255),</v>
      </c>
      <c r="AA287" s="50" t="str">
        <f t="shared" si="79"/>
        <v/>
      </c>
      <c r="AB287" s="50" t="str">
        <f t="shared" si="80"/>
        <v/>
      </c>
      <c r="AC287" s="50" t="str">
        <f t="shared" si="91"/>
        <v/>
      </c>
      <c r="AD287" s="50" t="str">
        <f t="shared" si="92"/>
        <v>ALTER TABLE TB_QESTNAR_GROUP ALTER COLUMN QESTNAR_GROUP_DC TYPE VARCHAR(255);</v>
      </c>
      <c r="AE287" s="50" t="str">
        <f t="shared" si="93"/>
        <v>ALTER TABLE TB_QESTNAR_GROUP ADD COLUMN QESTNAR_GROUP_DC VARCHAR(255);</v>
      </c>
      <c r="AF287" s="50" t="str">
        <f t="shared" si="94"/>
        <v>ALTER TABLE TB_QESTNAR_GROUP DROP COLUMN QESTNAR_GROUP_DC;</v>
      </c>
      <c r="AG287" s="50" t="str">
        <f t="shared" si="95"/>
        <v/>
      </c>
      <c r="AH287" s="50" t="str">
        <f t="shared" si="97"/>
        <v>COMMENT ON COLUMN TB_QESTNAR_GROUP.QESTNAR_GROUP_DC IS '설문조사 그룹 설명' ;</v>
      </c>
    </row>
    <row r="288" spans="1:34" ht="20" customHeight="1">
      <c r="A288" s="55">
        <v>284</v>
      </c>
      <c r="B288" s="26" t="s">
        <v>7</v>
      </c>
      <c r="C288" s="26" t="s">
        <v>660</v>
      </c>
      <c r="D288" s="11" t="s">
        <v>663</v>
      </c>
      <c r="E288" s="10" t="s">
        <v>661</v>
      </c>
      <c r="F288" s="92">
        <v>5</v>
      </c>
      <c r="G288" s="102" t="s">
        <v>674</v>
      </c>
      <c r="H288" s="102" t="s">
        <v>676</v>
      </c>
      <c r="I288" s="75" t="s">
        <v>72</v>
      </c>
      <c r="J288" s="69"/>
      <c r="K288" s="69"/>
      <c r="L288" s="69"/>
      <c r="M288" s="69"/>
      <c r="N288" s="69"/>
      <c r="O288" s="69"/>
      <c r="P288" s="51" t="s">
        <v>106</v>
      </c>
      <c r="Q288" s="126" t="s">
        <v>544</v>
      </c>
      <c r="R288" s="87"/>
      <c r="S288" s="112" t="s">
        <v>675</v>
      </c>
      <c r="T288" s="130"/>
      <c r="U288" s="130" t="s">
        <v>677</v>
      </c>
      <c r="V288" s="109"/>
      <c r="W288" s="90"/>
      <c r="X288" s="130"/>
      <c r="Y288" s="129" t="str">
        <f t="shared" si="96"/>
        <v>TB_QESTNAR_GROUP</v>
      </c>
      <c r="Z288" s="50" t="str">
        <f t="shared" si="82"/>
        <v>PRIVCY_YN VARCHAR(1) NOT NULL,</v>
      </c>
      <c r="AA288" s="50" t="str">
        <f t="shared" si="79"/>
        <v/>
      </c>
      <c r="AB288" s="50" t="str">
        <f t="shared" si="80"/>
        <v/>
      </c>
      <c r="AC288" s="50" t="str">
        <f t="shared" si="91"/>
        <v/>
      </c>
      <c r="AD288" s="50" t="str">
        <f t="shared" si="92"/>
        <v>ALTER TABLE TB_QESTNAR_GROUP ALTER COLUMN PRIVCY_YN TYPE VARCHAR(1);</v>
      </c>
      <c r="AE288" s="50" t="str">
        <f t="shared" si="93"/>
        <v>ALTER TABLE TB_QESTNAR_GROUP ADD COLUMN PRIVCY_YN VARCHAR(1) NOT NULL;</v>
      </c>
      <c r="AF288" s="50" t="str">
        <f t="shared" si="94"/>
        <v>ALTER TABLE TB_QESTNAR_GROUP DROP COLUMN PRIVCY_YN;</v>
      </c>
      <c r="AG288" s="50" t="str">
        <f t="shared" si="95"/>
        <v/>
      </c>
      <c r="AH288" s="50" t="str">
        <f t="shared" si="97"/>
        <v>COMMENT ON COLUMN TB_QESTNAR_GROUP.PRIVCY_YN IS '프라이버시 여부' ;</v>
      </c>
    </row>
    <row r="289" spans="1:34" ht="20" customHeight="1">
      <c r="A289" s="55">
        <v>285</v>
      </c>
      <c r="B289" s="26" t="s">
        <v>7</v>
      </c>
      <c r="C289" s="26" t="s">
        <v>660</v>
      </c>
      <c r="D289" s="11" t="s">
        <v>663</v>
      </c>
      <c r="E289" s="10" t="s">
        <v>661</v>
      </c>
      <c r="F289" s="92">
        <v>6</v>
      </c>
      <c r="G289" s="102" t="s">
        <v>415</v>
      </c>
      <c r="H289" s="102" t="s">
        <v>669</v>
      </c>
      <c r="I289" s="75" t="s">
        <v>72</v>
      </c>
      <c r="J289" s="69"/>
      <c r="K289" s="69"/>
      <c r="L289" s="69"/>
      <c r="M289" s="69"/>
      <c r="N289" s="69"/>
      <c r="O289" s="69"/>
      <c r="P289" s="51" t="s">
        <v>106</v>
      </c>
      <c r="Q289" s="126" t="s">
        <v>544</v>
      </c>
      <c r="R289" s="87"/>
      <c r="S289" s="112" t="s">
        <v>678</v>
      </c>
      <c r="T289" s="130"/>
      <c r="U289" s="130"/>
      <c r="V289" s="109"/>
      <c r="W289" s="90"/>
      <c r="X289" s="130"/>
      <c r="Y289" s="129" t="str">
        <f t="shared" si="96"/>
        <v>TB_QESTNAR_GROUP</v>
      </c>
      <c r="Z289" s="50" t="str">
        <f t="shared" si="82"/>
        <v>USE_YN VARCHAR(1) NOT NULL,</v>
      </c>
      <c r="AA289" s="50" t="str">
        <f t="shared" si="79"/>
        <v/>
      </c>
      <c r="AB289" s="50" t="str">
        <f t="shared" si="80"/>
        <v/>
      </c>
      <c r="AC289" s="50" t="str">
        <f t="shared" si="91"/>
        <v/>
      </c>
      <c r="AD289" s="50" t="str">
        <f t="shared" si="92"/>
        <v>ALTER TABLE TB_QESTNAR_GROUP ALTER COLUMN USE_YN TYPE VARCHAR(1);</v>
      </c>
      <c r="AE289" s="50" t="str">
        <f t="shared" si="93"/>
        <v>ALTER TABLE TB_QESTNAR_GROUP ADD COLUMN USE_YN VARCHAR(1) NOT NULL;</v>
      </c>
      <c r="AF289" s="50" t="str">
        <f t="shared" si="94"/>
        <v>ALTER TABLE TB_QESTNAR_GROUP DROP COLUMN USE_YN;</v>
      </c>
      <c r="AG289" s="50" t="str">
        <f t="shared" si="95"/>
        <v/>
      </c>
      <c r="AH289" s="50" t="str">
        <f t="shared" si="97"/>
        <v>COMMENT ON COLUMN TB_QESTNAR_GROUP.USE_YN IS '사용 여부' ;</v>
      </c>
    </row>
    <row r="290" spans="1:34" ht="20" customHeight="1">
      <c r="A290" s="55">
        <v>286</v>
      </c>
      <c r="B290" s="26" t="s">
        <v>7</v>
      </c>
      <c r="C290" s="26" t="s">
        <v>660</v>
      </c>
      <c r="D290" s="11" t="s">
        <v>663</v>
      </c>
      <c r="E290" s="10" t="s">
        <v>661</v>
      </c>
      <c r="F290" s="92">
        <v>7</v>
      </c>
      <c r="G290" s="102" t="s">
        <v>107</v>
      </c>
      <c r="H290" s="51" t="s">
        <v>76</v>
      </c>
      <c r="I290" s="75" t="s">
        <v>72</v>
      </c>
      <c r="J290" s="67"/>
      <c r="K290" s="67"/>
      <c r="L290" s="82"/>
      <c r="M290" s="82"/>
      <c r="N290" s="82"/>
      <c r="O290" s="82"/>
      <c r="P290" s="105" t="s">
        <v>543</v>
      </c>
      <c r="Q290" s="126" t="s">
        <v>548</v>
      </c>
      <c r="R290" s="85"/>
      <c r="S290" s="112" t="s">
        <v>219</v>
      </c>
      <c r="T290" s="130"/>
      <c r="U290" s="130"/>
      <c r="V290" s="123" t="s">
        <v>518</v>
      </c>
      <c r="W290" s="90"/>
      <c r="X290" s="130"/>
      <c r="Y290" s="129" t="str">
        <f t="shared" ref="Y290:Y296" si="98">D290</f>
        <v>TB_QESTNAR_GROUP</v>
      </c>
      <c r="Z290" s="50" t="str">
        <f t="shared" si="82"/>
        <v>REGISTER_ID VARCHAR(50) NOT NULL,</v>
      </c>
      <c r="AA290" s="50" t="str">
        <f t="shared" si="79"/>
        <v/>
      </c>
      <c r="AB290" s="50" t="str">
        <f t="shared" si="80"/>
        <v/>
      </c>
      <c r="AC290" s="50" t="str">
        <f t="shared" si="91"/>
        <v/>
      </c>
      <c r="AD290" s="50" t="str">
        <f t="shared" si="92"/>
        <v>ALTER TABLE TB_QESTNAR_GROUP ALTER COLUMN REGISTER_ID TYPE VARCHAR(50);</v>
      </c>
      <c r="AE290" s="50" t="str">
        <f t="shared" si="93"/>
        <v>ALTER TABLE TB_QESTNAR_GROUP ADD COLUMN REGISTER_ID VARCHAR(50) NOT NULL;</v>
      </c>
      <c r="AF290" s="50" t="str">
        <f t="shared" si="94"/>
        <v>ALTER TABLE TB_QESTNAR_GROUP DROP COLUMN REGISTER_ID;</v>
      </c>
      <c r="AG290" s="50" t="str">
        <f t="shared" si="95"/>
        <v/>
      </c>
      <c r="AH290" s="50" t="str">
        <f t="shared" si="97"/>
        <v>COMMENT ON COLUMN TB_QESTNAR_GROUP.REGISTER_ID IS '등록자 ID' ;</v>
      </c>
    </row>
    <row r="291" spans="1:34" ht="20" customHeight="1">
      <c r="A291" s="55">
        <v>287</v>
      </c>
      <c r="B291" s="26" t="s">
        <v>7</v>
      </c>
      <c r="C291" s="26" t="s">
        <v>660</v>
      </c>
      <c r="D291" s="11" t="s">
        <v>663</v>
      </c>
      <c r="E291" s="10" t="s">
        <v>661</v>
      </c>
      <c r="F291" s="92">
        <v>8</v>
      </c>
      <c r="G291" s="102" t="s">
        <v>91</v>
      </c>
      <c r="H291" s="51" t="s">
        <v>77</v>
      </c>
      <c r="I291" s="75" t="s">
        <v>72</v>
      </c>
      <c r="J291" s="52"/>
      <c r="K291" s="52"/>
      <c r="L291" s="52"/>
      <c r="M291" s="52"/>
      <c r="N291" s="52"/>
      <c r="O291" s="52"/>
      <c r="P291" s="56" t="s">
        <v>106</v>
      </c>
      <c r="Q291" s="126" t="s">
        <v>549</v>
      </c>
      <c r="R291" s="85"/>
      <c r="S291" s="112" t="s">
        <v>218</v>
      </c>
      <c r="T291" s="130"/>
      <c r="U291" s="130"/>
      <c r="V291" s="109"/>
      <c r="W291" s="90"/>
      <c r="X291" s="130"/>
      <c r="Y291" s="129" t="str">
        <f t="shared" si="98"/>
        <v>TB_QESTNAR_GROUP</v>
      </c>
      <c r="Z291" s="50" t="str">
        <f t="shared" si="82"/>
        <v>REGISTER_IP VARCHAR(100) NOT NULL,</v>
      </c>
      <c r="AA291" s="50" t="str">
        <f t="shared" si="79"/>
        <v/>
      </c>
      <c r="AB291" s="50" t="str">
        <f t="shared" si="80"/>
        <v/>
      </c>
      <c r="AC291" s="50" t="str">
        <f t="shared" si="91"/>
        <v/>
      </c>
      <c r="AD291" s="50" t="str">
        <f t="shared" si="92"/>
        <v>ALTER TABLE TB_QESTNAR_GROUP ALTER COLUMN REGISTER_IP TYPE VARCHAR(100);</v>
      </c>
      <c r="AE291" s="50" t="str">
        <f t="shared" si="93"/>
        <v>ALTER TABLE TB_QESTNAR_GROUP ADD COLUMN REGISTER_IP VARCHAR(100) NOT NULL;</v>
      </c>
      <c r="AF291" s="50" t="str">
        <f t="shared" si="94"/>
        <v>ALTER TABLE TB_QESTNAR_GROUP DROP COLUMN REGISTER_IP;</v>
      </c>
      <c r="AG291" s="50" t="str">
        <f t="shared" si="95"/>
        <v/>
      </c>
      <c r="AH291" s="50" t="str">
        <f t="shared" ref="AH291:AH296" si="99">"COMMENT ON COLUMN "&amp;D291&amp;"."&amp;G291&amp;" IS '"&amp;S291&amp;"' ;"</f>
        <v>COMMENT ON COLUMN TB_QESTNAR_GROUP.REGISTER_IP IS '등록자 IP' ;</v>
      </c>
    </row>
    <row r="292" spans="1:34" ht="20" customHeight="1">
      <c r="A292" s="55">
        <v>288</v>
      </c>
      <c r="B292" s="26" t="s">
        <v>7</v>
      </c>
      <c r="C292" s="26" t="s">
        <v>660</v>
      </c>
      <c r="D292" s="11" t="s">
        <v>663</v>
      </c>
      <c r="E292" s="10" t="s">
        <v>661</v>
      </c>
      <c r="F292" s="92">
        <v>9</v>
      </c>
      <c r="G292" s="102" t="s">
        <v>92</v>
      </c>
      <c r="H292" s="101" t="s">
        <v>78</v>
      </c>
      <c r="I292" s="75" t="s">
        <v>72</v>
      </c>
      <c r="J292" s="52"/>
      <c r="K292" s="52"/>
      <c r="L292" s="52"/>
      <c r="M292" s="52"/>
      <c r="N292" s="52"/>
      <c r="O292" s="52"/>
      <c r="P292" s="51" t="s">
        <v>732</v>
      </c>
      <c r="Q292" s="126"/>
      <c r="R292" s="85"/>
      <c r="S292" s="112" t="s">
        <v>217</v>
      </c>
      <c r="T292" s="130"/>
      <c r="U292" s="130"/>
      <c r="V292" s="109"/>
      <c r="W292" s="90"/>
      <c r="X292" s="130"/>
      <c r="Y292" s="129" t="str">
        <f t="shared" si="98"/>
        <v>TB_QESTNAR_GROUP</v>
      </c>
      <c r="Z292" s="50" t="str">
        <f t="shared" si="82"/>
        <v>REG_DT TIMESTAMP NOT NULL,</v>
      </c>
      <c r="AA292" s="50" t="str">
        <f t="shared" si="79"/>
        <v/>
      </c>
      <c r="AB292" s="50" t="str">
        <f t="shared" si="80"/>
        <v/>
      </c>
      <c r="AC292" s="50" t="str">
        <f t="shared" si="91"/>
        <v/>
      </c>
      <c r="AD292" s="50" t="str">
        <f t="shared" si="92"/>
        <v>ALTER TABLE TB_QESTNAR_GROUP ALTER COLUMN REG_DT TYPE TIMESTAMP;</v>
      </c>
      <c r="AE292" s="50" t="str">
        <f t="shared" si="93"/>
        <v>ALTER TABLE TB_QESTNAR_GROUP ADD COLUMN REG_DT TIMESTAMP NOT NULL;</v>
      </c>
      <c r="AF292" s="50" t="str">
        <f t="shared" si="94"/>
        <v>ALTER TABLE TB_QESTNAR_GROUP DROP COLUMN REG_DT;</v>
      </c>
      <c r="AG292" s="50" t="str">
        <f t="shared" si="95"/>
        <v/>
      </c>
      <c r="AH292" s="50" t="str">
        <f t="shared" si="99"/>
        <v>COMMENT ON COLUMN TB_QESTNAR_GROUP.REG_DT IS '등록 일시' ;</v>
      </c>
    </row>
    <row r="293" spans="1:34" ht="20" customHeight="1">
      <c r="A293" s="55">
        <v>289</v>
      </c>
      <c r="B293" s="26" t="s">
        <v>7</v>
      </c>
      <c r="C293" s="26" t="s">
        <v>660</v>
      </c>
      <c r="D293" s="11" t="s">
        <v>663</v>
      </c>
      <c r="E293" s="10" t="s">
        <v>661</v>
      </c>
      <c r="F293" s="92">
        <v>10</v>
      </c>
      <c r="G293" s="102" t="s">
        <v>93</v>
      </c>
      <c r="H293" s="101" t="s">
        <v>80</v>
      </c>
      <c r="I293" s="52"/>
      <c r="J293" s="52"/>
      <c r="K293" s="52"/>
      <c r="L293" s="84"/>
      <c r="M293" s="84"/>
      <c r="N293" s="84"/>
      <c r="O293" s="84"/>
      <c r="P293" s="105" t="s">
        <v>543</v>
      </c>
      <c r="Q293" s="126" t="s">
        <v>548</v>
      </c>
      <c r="R293" s="85"/>
      <c r="S293" s="112" t="s">
        <v>216</v>
      </c>
      <c r="T293" s="130"/>
      <c r="U293" s="130"/>
      <c r="V293" s="123" t="s">
        <v>518</v>
      </c>
      <c r="W293" s="90"/>
      <c r="X293" s="130"/>
      <c r="Y293" s="129" t="str">
        <f t="shared" si="98"/>
        <v>TB_QESTNAR_GROUP</v>
      </c>
      <c r="Z293" s="50" t="str">
        <f t="shared" si="82"/>
        <v>UPDUSR_ID VARCHAR(50),</v>
      </c>
      <c r="AA293" s="50" t="str">
        <f t="shared" si="79"/>
        <v/>
      </c>
      <c r="AB293" s="50" t="str">
        <f t="shared" si="80"/>
        <v/>
      </c>
      <c r="AC293" s="50" t="str">
        <f t="shared" si="91"/>
        <v/>
      </c>
      <c r="AD293" s="50" t="str">
        <f t="shared" si="92"/>
        <v>ALTER TABLE TB_QESTNAR_GROUP ALTER COLUMN UPDUSR_ID TYPE VARCHAR(50);</v>
      </c>
      <c r="AE293" s="50" t="str">
        <f t="shared" si="93"/>
        <v>ALTER TABLE TB_QESTNAR_GROUP ADD COLUMN UPDUSR_ID VARCHAR(50);</v>
      </c>
      <c r="AF293" s="50" t="str">
        <f t="shared" si="94"/>
        <v>ALTER TABLE TB_QESTNAR_GROUP DROP COLUMN UPDUSR_ID;</v>
      </c>
      <c r="AG293" s="50" t="str">
        <f t="shared" si="95"/>
        <v/>
      </c>
      <c r="AH293" s="50" t="str">
        <f t="shared" si="99"/>
        <v>COMMENT ON COLUMN TB_QESTNAR_GROUP.UPDUSR_ID IS '수정자 ID' ;</v>
      </c>
    </row>
    <row r="294" spans="1:34" ht="20" customHeight="1">
      <c r="A294" s="55">
        <v>290</v>
      </c>
      <c r="B294" s="26" t="s">
        <v>7</v>
      </c>
      <c r="C294" s="26" t="s">
        <v>660</v>
      </c>
      <c r="D294" s="11" t="s">
        <v>663</v>
      </c>
      <c r="E294" s="10" t="s">
        <v>661</v>
      </c>
      <c r="F294" s="92">
        <v>11</v>
      </c>
      <c r="G294" s="102" t="s">
        <v>94</v>
      </c>
      <c r="H294" s="101" t="s">
        <v>79</v>
      </c>
      <c r="I294" s="52"/>
      <c r="J294" s="52"/>
      <c r="K294" s="52"/>
      <c r="L294" s="52"/>
      <c r="M294" s="52"/>
      <c r="N294" s="52"/>
      <c r="O294" s="52"/>
      <c r="P294" s="56" t="s">
        <v>106</v>
      </c>
      <c r="Q294" s="126" t="s">
        <v>549</v>
      </c>
      <c r="R294" s="85"/>
      <c r="S294" s="112" t="s">
        <v>215</v>
      </c>
      <c r="T294" s="130"/>
      <c r="U294" s="130"/>
      <c r="V294" s="109"/>
      <c r="W294" s="90"/>
      <c r="X294" s="130"/>
      <c r="Y294" s="129" t="str">
        <f t="shared" si="98"/>
        <v>TB_QESTNAR_GROUP</v>
      </c>
      <c r="Z294" s="50" t="str">
        <f t="shared" si="82"/>
        <v>UPDUSR_IP VARCHAR(100),</v>
      </c>
      <c r="AA294" s="50" t="str">
        <f t="shared" si="79"/>
        <v/>
      </c>
      <c r="AB294" s="50" t="str">
        <f t="shared" si="80"/>
        <v/>
      </c>
      <c r="AC294" s="50" t="str">
        <f t="shared" si="91"/>
        <v/>
      </c>
      <c r="AD294" s="50" t="str">
        <f t="shared" si="92"/>
        <v>ALTER TABLE TB_QESTNAR_GROUP ALTER COLUMN UPDUSR_IP TYPE VARCHAR(100);</v>
      </c>
      <c r="AE294" s="50" t="str">
        <f t="shared" si="93"/>
        <v>ALTER TABLE TB_QESTNAR_GROUP ADD COLUMN UPDUSR_IP VARCHAR(100);</v>
      </c>
      <c r="AF294" s="50" t="str">
        <f t="shared" si="94"/>
        <v>ALTER TABLE TB_QESTNAR_GROUP DROP COLUMN UPDUSR_IP;</v>
      </c>
      <c r="AG294" s="50" t="str">
        <f t="shared" si="95"/>
        <v/>
      </c>
      <c r="AH294" s="50" t="str">
        <f t="shared" si="99"/>
        <v>COMMENT ON COLUMN TB_QESTNAR_GROUP.UPDUSR_IP IS '수정자 IP' ;</v>
      </c>
    </row>
    <row r="295" spans="1:34" ht="20" customHeight="1">
      <c r="A295" s="55">
        <v>291</v>
      </c>
      <c r="B295" s="26" t="s">
        <v>7</v>
      </c>
      <c r="C295" s="26" t="s">
        <v>660</v>
      </c>
      <c r="D295" s="11" t="s">
        <v>663</v>
      </c>
      <c r="E295" s="10" t="s">
        <v>661</v>
      </c>
      <c r="F295" s="92">
        <v>12</v>
      </c>
      <c r="G295" s="103" t="s">
        <v>95</v>
      </c>
      <c r="H295" s="102" t="s">
        <v>81</v>
      </c>
      <c r="I295" s="61"/>
      <c r="J295" s="61"/>
      <c r="K295" s="61"/>
      <c r="L295" s="61"/>
      <c r="M295" s="61"/>
      <c r="N295" s="61"/>
      <c r="O295" s="61"/>
      <c r="P295" s="51" t="s">
        <v>732</v>
      </c>
      <c r="Q295" s="126"/>
      <c r="R295" s="82"/>
      <c r="S295" s="112" t="s">
        <v>214</v>
      </c>
      <c r="T295" s="130"/>
      <c r="U295" s="130"/>
      <c r="V295" s="109"/>
      <c r="W295" s="90"/>
      <c r="X295" s="130"/>
      <c r="Y295" s="129" t="str">
        <f t="shared" si="98"/>
        <v>TB_QESTNAR_GROUP</v>
      </c>
      <c r="Z295" s="50" t="str">
        <f t="shared" si="82"/>
        <v>UPDT_DT TIMESTAMP,</v>
      </c>
      <c r="AA295" s="50" t="str">
        <f t="shared" si="79"/>
        <v/>
      </c>
      <c r="AB295" s="50" t="str">
        <f t="shared" si="80"/>
        <v/>
      </c>
      <c r="AC295" s="50" t="str">
        <f t="shared" si="91"/>
        <v/>
      </c>
      <c r="AD295" s="50" t="str">
        <f t="shared" si="92"/>
        <v>ALTER TABLE TB_QESTNAR_GROUP ALTER COLUMN UPDT_DT TYPE TIMESTAMP;</v>
      </c>
      <c r="AE295" s="50" t="str">
        <f t="shared" si="93"/>
        <v>ALTER TABLE TB_QESTNAR_GROUP ADD COLUMN UPDT_DT TIMESTAMP;</v>
      </c>
      <c r="AF295" s="50" t="str">
        <f t="shared" si="94"/>
        <v>ALTER TABLE TB_QESTNAR_GROUP DROP COLUMN UPDT_DT;</v>
      </c>
      <c r="AG295" s="50" t="str">
        <f t="shared" si="95"/>
        <v/>
      </c>
      <c r="AH295" s="50" t="str">
        <f t="shared" si="99"/>
        <v>COMMENT ON COLUMN TB_QESTNAR_GROUP.UPDT_DT IS '수정 일시' ;</v>
      </c>
    </row>
    <row r="296" spans="1:34" ht="20" customHeight="1">
      <c r="A296" s="55">
        <v>292</v>
      </c>
      <c r="B296" s="26" t="s">
        <v>7</v>
      </c>
      <c r="C296" s="26" t="s">
        <v>660</v>
      </c>
      <c r="D296" s="11" t="s">
        <v>663</v>
      </c>
      <c r="E296" s="10" t="s">
        <v>661</v>
      </c>
      <c r="F296" s="92">
        <v>13</v>
      </c>
      <c r="G296" s="102" t="s">
        <v>96</v>
      </c>
      <c r="H296" s="102" t="s">
        <v>82</v>
      </c>
      <c r="I296" s="75" t="s">
        <v>72</v>
      </c>
      <c r="J296" s="61"/>
      <c r="K296" s="61"/>
      <c r="L296" s="61"/>
      <c r="M296" s="61"/>
      <c r="N296" s="61"/>
      <c r="O296" s="61"/>
      <c r="P296" s="51" t="s">
        <v>106</v>
      </c>
      <c r="Q296" s="126" t="s">
        <v>544</v>
      </c>
      <c r="R296" s="87" t="s">
        <v>592</v>
      </c>
      <c r="S296" s="112" t="s">
        <v>213</v>
      </c>
      <c r="T296" s="130"/>
      <c r="U296" s="130"/>
      <c r="V296" s="109"/>
      <c r="W296" s="90"/>
      <c r="X296" s="130"/>
      <c r="Y296" s="129" t="str">
        <f t="shared" si="98"/>
        <v>TB_QESTNAR_GROUP</v>
      </c>
      <c r="Z296" s="50" t="str">
        <f t="shared" si="82"/>
        <v>DEL_YN VARCHAR(1) NOT NULL,</v>
      </c>
      <c r="AA296" s="50" t="str">
        <f t="shared" si="79"/>
        <v/>
      </c>
      <c r="AB296" s="50" t="str">
        <f t="shared" si="80"/>
        <v/>
      </c>
      <c r="AC296" s="50" t="str">
        <f t="shared" si="91"/>
        <v/>
      </c>
      <c r="AD296" s="50" t="str">
        <f t="shared" si="92"/>
        <v>ALTER TABLE TB_QESTNAR_GROUP ALTER COLUMN DEL_YN TYPE VARCHAR(1);</v>
      </c>
      <c r="AE296" s="50" t="str">
        <f t="shared" si="93"/>
        <v>ALTER TABLE TB_QESTNAR_GROUP ADD COLUMN DEL_YN VARCHAR(1) NOT NULL DEFAULT ''N'';</v>
      </c>
      <c r="AF296" s="50" t="str">
        <f t="shared" si="94"/>
        <v>ALTER TABLE TB_QESTNAR_GROUP DROP COLUMN DEL_YN;</v>
      </c>
      <c r="AG296" s="50" t="str">
        <f t="shared" si="95"/>
        <v>ALTER TABLE TB_QESTNAR_GROUP ALTER COLUMN DEL_YN SET DEFAULT 'N';</v>
      </c>
      <c r="AH296" s="50" t="str">
        <f t="shared" si="99"/>
        <v>COMMENT ON COLUMN TB_QESTNAR_GROUP.DEL_YN IS '삭제 여부' ;</v>
      </c>
    </row>
    <row r="297" spans="1:34" ht="20" customHeight="1">
      <c r="A297" s="55">
        <v>293</v>
      </c>
      <c r="B297" s="26" t="s">
        <v>7</v>
      </c>
      <c r="C297" s="26" t="s">
        <v>660</v>
      </c>
      <c r="D297" s="11" t="s">
        <v>685</v>
      </c>
      <c r="E297" s="10" t="s">
        <v>683</v>
      </c>
      <c r="F297" s="92">
        <v>1</v>
      </c>
      <c r="G297" s="102" t="s">
        <v>686</v>
      </c>
      <c r="H297" s="102" t="s">
        <v>684</v>
      </c>
      <c r="I297" s="75" t="s">
        <v>699</v>
      </c>
      <c r="J297" s="69">
        <v>1</v>
      </c>
      <c r="K297" s="69"/>
      <c r="L297" s="69"/>
      <c r="M297" s="69"/>
      <c r="N297" s="69"/>
      <c r="O297" s="69"/>
      <c r="P297" s="62" t="s">
        <v>672</v>
      </c>
      <c r="Q297" s="126"/>
      <c r="R297" s="87"/>
      <c r="S297" s="102" t="s">
        <v>729</v>
      </c>
      <c r="T297" s="132" t="str">
        <f>"SEQ_"&amp;D297&amp;"_SN"</f>
        <v>SEQ_TB_QESTNAR_QESTN_SN</v>
      </c>
      <c r="U297" s="130"/>
      <c r="V297" s="109"/>
      <c r="W297" s="90"/>
      <c r="X297" s="130"/>
      <c r="Y297" s="129" t="str">
        <f t="shared" ref="Y297:Y343" si="100">D297</f>
        <v>TB_QESTNAR_QESTN</v>
      </c>
      <c r="Z297" s="50" t="str">
        <f t="shared" si="82"/>
        <v>QESTNAR_QESTN_SN INTEGER PRIMARY KEY,</v>
      </c>
      <c r="AA297" s="50" t="str">
        <f t="shared" si="79"/>
        <v/>
      </c>
      <c r="AB297" s="50" t="str">
        <f t="shared" si="80"/>
        <v>CREATE SEQUENCE SEQ_TB_QESTNAR_QESTN_SN START 100000;</v>
      </c>
      <c r="AC297" s="50" t="str">
        <f t="shared" si="91"/>
        <v>ALTER TABLE TB_QESTNAR_QESTN ALTER COLUMN QESTNAR_QESTN_SN SET DEFAULT NEXTVAL('SEQ_TB_QESTNAR_QESTN_SN');</v>
      </c>
      <c r="AD297" s="50" t="str">
        <f t="shared" si="92"/>
        <v>ALTER TABLE TB_QESTNAR_QESTN ALTER COLUMN QESTNAR_QESTN_SN TYPE INTEGER;</v>
      </c>
      <c r="AE297" s="50" t="str">
        <f t="shared" si="93"/>
        <v>ALTER TABLE TB_QESTNAR_QESTN ADD COLUMN QESTNAR_QESTN_SN INTEGER NOT NULL;</v>
      </c>
      <c r="AF297" s="50" t="str">
        <f t="shared" si="94"/>
        <v>ALTER TABLE TB_QESTNAR_QESTN DROP COLUMN QESTNAR_QESTN_SN;</v>
      </c>
      <c r="AG297" s="50" t="str">
        <f t="shared" si="95"/>
        <v/>
      </c>
      <c r="AH297" s="50" t="str">
        <f t="shared" ref="AH297:AH343" si="101">"COMMENT ON COLUMN "&amp;D297&amp;"."&amp;G297&amp;" IS '"&amp;S297&amp;"' ;"</f>
        <v>COMMENT ON COLUMN TB_QESTNAR_QESTN.QESTNAR_QESTN_SN IS '설문조사 질문 일련번호' ;</v>
      </c>
    </row>
    <row r="298" spans="1:34" ht="20" customHeight="1">
      <c r="A298" s="55">
        <v>294</v>
      </c>
      <c r="B298" s="26" t="s">
        <v>7</v>
      </c>
      <c r="C298" s="26" t="s">
        <v>660</v>
      </c>
      <c r="D298" s="11" t="s">
        <v>685</v>
      </c>
      <c r="E298" s="10" t="s">
        <v>683</v>
      </c>
      <c r="F298" s="92">
        <v>2</v>
      </c>
      <c r="G298" s="102" t="s">
        <v>664</v>
      </c>
      <c r="H298" s="102" t="s">
        <v>662</v>
      </c>
      <c r="I298" s="75" t="s">
        <v>699</v>
      </c>
      <c r="J298" s="69"/>
      <c r="K298" s="69">
        <v>1</v>
      </c>
      <c r="L298" s="11" t="s">
        <v>663</v>
      </c>
      <c r="M298" s="102" t="s">
        <v>664</v>
      </c>
      <c r="N298" s="101" t="s">
        <v>562</v>
      </c>
      <c r="O298" s="101" t="s">
        <v>563</v>
      </c>
      <c r="P298" s="62" t="s">
        <v>672</v>
      </c>
      <c r="Q298" s="126"/>
      <c r="R298" s="87"/>
      <c r="S298" s="102" t="s">
        <v>679</v>
      </c>
      <c r="T298" s="130"/>
      <c r="U298" s="130"/>
      <c r="V298" s="109"/>
      <c r="W298" s="90"/>
      <c r="X298" s="130"/>
      <c r="Y298" s="129" t="str">
        <f t="shared" si="100"/>
        <v>TB_QESTNAR_QESTN</v>
      </c>
      <c r="Z298" s="50" t="str">
        <f t="shared" si="82"/>
        <v>QESTNAR_GROUP_SN INTEGER NOT NULL,</v>
      </c>
      <c r="AA298" s="50" t="str">
        <f t="shared" si="79"/>
        <v>ALTER TABLE TB_QESTNAR_QESTN ADD CONSTRAINT TB_QESTNAR_QESTN_FKEY1 FOREIGN KEY(QESTNAR_GROUP_SN) REFERENCES TB_QESTNAR_GROUP(QESTNAR_GROUP_SN) ON UPDATE CASCADE ON DELETE SET NULL;</v>
      </c>
      <c r="AB298" s="50" t="str">
        <f t="shared" si="80"/>
        <v/>
      </c>
      <c r="AC298" s="50" t="str">
        <f t="shared" si="91"/>
        <v/>
      </c>
      <c r="AD298" s="50" t="str">
        <f t="shared" si="92"/>
        <v>ALTER TABLE TB_QESTNAR_QESTN ALTER COLUMN QESTNAR_GROUP_SN TYPE INTEGER;</v>
      </c>
      <c r="AE298" s="50" t="str">
        <f t="shared" si="93"/>
        <v>ALTER TABLE TB_QESTNAR_QESTN ADD COLUMN QESTNAR_GROUP_SN INTEGER NOT NULL;</v>
      </c>
      <c r="AF298" s="50" t="str">
        <f t="shared" si="94"/>
        <v>ALTER TABLE TB_QESTNAR_QESTN DROP COLUMN QESTNAR_GROUP_SN;</v>
      </c>
      <c r="AG298" s="50" t="str">
        <f t="shared" si="95"/>
        <v/>
      </c>
      <c r="AH298" s="50" t="str">
        <f t="shared" si="101"/>
        <v>COMMENT ON COLUMN TB_QESTNAR_QESTN.QESTNAR_GROUP_SN IS '설문조사 그룹 일련번호' ;</v>
      </c>
    </row>
    <row r="299" spans="1:34" ht="20" customHeight="1">
      <c r="A299" s="55">
        <v>295</v>
      </c>
      <c r="B299" s="26" t="s">
        <v>7</v>
      </c>
      <c r="C299" s="26" t="s">
        <v>660</v>
      </c>
      <c r="D299" s="11" t="s">
        <v>685</v>
      </c>
      <c r="E299" s="10" t="s">
        <v>683</v>
      </c>
      <c r="F299" s="92">
        <v>3</v>
      </c>
      <c r="G299" s="106" t="s">
        <v>687</v>
      </c>
      <c r="H299" s="106" t="s">
        <v>691</v>
      </c>
      <c r="I299" s="75" t="s">
        <v>72</v>
      </c>
      <c r="J299" s="45"/>
      <c r="K299" s="45"/>
      <c r="L299" s="45"/>
      <c r="M299" s="45"/>
      <c r="N299" s="45"/>
      <c r="O299" s="45"/>
      <c r="P299" s="109" t="s">
        <v>229</v>
      </c>
      <c r="Q299" s="47"/>
      <c r="R299" s="45"/>
      <c r="S299" s="106" t="s">
        <v>695</v>
      </c>
      <c r="T299" s="132"/>
      <c r="U299" s="132"/>
      <c r="V299" s="106"/>
      <c r="W299" s="45"/>
      <c r="X299" s="83"/>
      <c r="Y299" s="129" t="str">
        <f t="shared" si="100"/>
        <v>TB_QESTNAR_QESTN</v>
      </c>
      <c r="Z299" s="50" t="str">
        <f t="shared" si="82"/>
        <v>QESTNAR_QESTN_SEQ INTEGER NOT NULL,</v>
      </c>
      <c r="AA299" s="50" t="str">
        <f t="shared" si="79"/>
        <v/>
      </c>
      <c r="AB299" s="50" t="str">
        <f t="shared" si="80"/>
        <v/>
      </c>
      <c r="AC299" s="50" t="str">
        <f t="shared" si="91"/>
        <v/>
      </c>
      <c r="AD299" s="50" t="str">
        <f t="shared" si="92"/>
        <v>ALTER TABLE TB_QESTNAR_QESTN ALTER COLUMN QESTNAR_QESTN_SEQ TYPE INTEGER;</v>
      </c>
      <c r="AE299" s="50" t="str">
        <f t="shared" si="93"/>
        <v>ALTER TABLE TB_QESTNAR_QESTN ADD COLUMN QESTNAR_QESTN_SEQ INTEGER NOT NULL;</v>
      </c>
      <c r="AF299" s="50" t="str">
        <f t="shared" si="94"/>
        <v>ALTER TABLE TB_QESTNAR_QESTN DROP COLUMN QESTNAR_QESTN_SEQ;</v>
      </c>
      <c r="AG299" s="50" t="str">
        <f t="shared" si="95"/>
        <v/>
      </c>
      <c r="AH299" s="50" t="str">
        <f t="shared" si="101"/>
        <v>COMMENT ON COLUMN TB_QESTNAR_QESTN.QESTNAR_QESTN_SEQ IS '설문조사 질문 순번' ;</v>
      </c>
    </row>
    <row r="300" spans="1:34" ht="20" customHeight="1">
      <c r="A300" s="55">
        <v>296</v>
      </c>
      <c r="B300" s="26" t="s">
        <v>7</v>
      </c>
      <c r="C300" s="26" t="s">
        <v>660</v>
      </c>
      <c r="D300" s="11" t="s">
        <v>685</v>
      </c>
      <c r="E300" s="10" t="s">
        <v>683</v>
      </c>
      <c r="F300" s="92">
        <v>4</v>
      </c>
      <c r="G300" s="106" t="s">
        <v>688</v>
      </c>
      <c r="H300" s="106" t="s">
        <v>692</v>
      </c>
      <c r="I300" s="75" t="s">
        <v>72</v>
      </c>
      <c r="J300" s="45"/>
      <c r="K300" s="45"/>
      <c r="L300" s="45"/>
      <c r="M300" s="45"/>
      <c r="N300" s="45"/>
      <c r="O300" s="45"/>
      <c r="P300" s="106" t="s">
        <v>106</v>
      </c>
      <c r="Q300" s="126" t="s">
        <v>548</v>
      </c>
      <c r="R300" s="45"/>
      <c r="S300" s="106" t="s">
        <v>696</v>
      </c>
      <c r="T300" s="83"/>
      <c r="U300" s="83"/>
      <c r="V300" s="106" t="s">
        <v>208</v>
      </c>
      <c r="W300" s="45"/>
      <c r="X300" s="83" t="s">
        <v>190</v>
      </c>
      <c r="Y300" s="129" t="str">
        <f t="shared" si="100"/>
        <v>TB_QESTNAR_QESTN</v>
      </c>
      <c r="Z300" s="50" t="str">
        <f t="shared" si="82"/>
        <v>QESTNAR_QESTN_ITEM_TY_CD VARCHAR(50) NOT NULL,</v>
      </c>
      <c r="AA300" s="50" t="str">
        <f t="shared" si="79"/>
        <v/>
      </c>
      <c r="AB300" s="50" t="str">
        <f t="shared" si="80"/>
        <v/>
      </c>
      <c r="AC300" s="50" t="str">
        <f t="shared" si="91"/>
        <v/>
      </c>
      <c r="AD300" s="50" t="str">
        <f t="shared" si="92"/>
        <v>ALTER TABLE TB_QESTNAR_QESTN ALTER COLUMN QESTNAR_QESTN_ITEM_TY_CD TYPE VARCHAR(50);</v>
      </c>
      <c r="AE300" s="50" t="str">
        <f t="shared" si="93"/>
        <v>ALTER TABLE TB_QESTNAR_QESTN ADD COLUMN QESTNAR_QESTN_ITEM_TY_CD VARCHAR(50) NOT NULL;</v>
      </c>
      <c r="AF300" s="50" t="str">
        <f t="shared" si="94"/>
        <v>ALTER TABLE TB_QESTNAR_QESTN DROP COLUMN QESTNAR_QESTN_ITEM_TY_CD;</v>
      </c>
      <c r="AG300" s="50" t="str">
        <f t="shared" si="95"/>
        <v/>
      </c>
      <c r="AH300" s="50" t="str">
        <f t="shared" si="101"/>
        <v>COMMENT ON COLUMN TB_QESTNAR_QESTN.QESTNAR_QESTN_ITEM_TY_CD IS '설문조사 질문 항목 유형 코드' ;</v>
      </c>
    </row>
    <row r="301" spans="1:34" ht="20" customHeight="1">
      <c r="A301" s="55">
        <v>297</v>
      </c>
      <c r="B301" s="26" t="s">
        <v>7</v>
      </c>
      <c r="C301" s="26" t="s">
        <v>660</v>
      </c>
      <c r="D301" s="11" t="s">
        <v>685</v>
      </c>
      <c r="E301" s="10" t="s">
        <v>683</v>
      </c>
      <c r="F301" s="92">
        <v>5</v>
      </c>
      <c r="G301" s="106" t="s">
        <v>689</v>
      </c>
      <c r="H301" s="106" t="s">
        <v>693</v>
      </c>
      <c r="I301" s="45"/>
      <c r="J301" s="45"/>
      <c r="K301" s="45"/>
      <c r="L301" s="45"/>
      <c r="M301" s="45"/>
      <c r="N301" s="45"/>
      <c r="O301" s="45"/>
      <c r="P301" s="106" t="s">
        <v>106</v>
      </c>
      <c r="Q301" s="126" t="s">
        <v>552</v>
      </c>
      <c r="R301" s="45"/>
      <c r="S301" s="106" t="s">
        <v>697</v>
      </c>
      <c r="T301" s="83"/>
      <c r="U301" s="83"/>
      <c r="V301" s="106"/>
      <c r="W301" s="45"/>
      <c r="X301" s="83"/>
      <c r="Y301" s="129" t="str">
        <f t="shared" si="100"/>
        <v>TB_QESTNAR_QESTN</v>
      </c>
      <c r="Z301" s="50" t="str">
        <f t="shared" si="82"/>
        <v>QESTNAR_QESTN_ITEM_CN VARCHAR(2000),</v>
      </c>
      <c r="AA301" s="50" t="str">
        <f t="shared" si="79"/>
        <v/>
      </c>
      <c r="AB301" s="50" t="str">
        <f t="shared" si="80"/>
        <v/>
      </c>
      <c r="AC301" s="50" t="str">
        <f t="shared" si="91"/>
        <v/>
      </c>
      <c r="AD301" s="50" t="str">
        <f t="shared" si="92"/>
        <v>ALTER TABLE TB_QESTNAR_QESTN ALTER COLUMN QESTNAR_QESTN_ITEM_CN TYPE VARCHAR(2000);</v>
      </c>
      <c r="AE301" s="50" t="str">
        <f t="shared" si="93"/>
        <v>ALTER TABLE TB_QESTNAR_QESTN ADD COLUMN QESTNAR_QESTN_ITEM_CN VARCHAR(2000);</v>
      </c>
      <c r="AF301" s="50" t="str">
        <f t="shared" si="94"/>
        <v>ALTER TABLE TB_QESTNAR_QESTN DROP COLUMN QESTNAR_QESTN_ITEM_CN;</v>
      </c>
      <c r="AG301" s="50" t="str">
        <f t="shared" si="95"/>
        <v/>
      </c>
      <c r="AH301" s="50" t="str">
        <f t="shared" si="101"/>
        <v>COMMENT ON COLUMN TB_QESTNAR_QESTN.QESTNAR_QESTN_ITEM_CN IS '설문조사 질문 항목' ;</v>
      </c>
    </row>
    <row r="302" spans="1:34" ht="20" customHeight="1">
      <c r="A302" s="55">
        <v>298</v>
      </c>
      <c r="B302" s="26" t="s">
        <v>7</v>
      </c>
      <c r="C302" s="26" t="s">
        <v>660</v>
      </c>
      <c r="D302" s="11" t="s">
        <v>685</v>
      </c>
      <c r="E302" s="10" t="s">
        <v>683</v>
      </c>
      <c r="F302" s="92">
        <v>6</v>
      </c>
      <c r="G302" s="106" t="s">
        <v>690</v>
      </c>
      <c r="H302" s="106" t="s">
        <v>694</v>
      </c>
      <c r="I302" s="45" t="s">
        <v>131</v>
      </c>
      <c r="J302" s="45"/>
      <c r="K302" s="45"/>
      <c r="L302" s="45"/>
      <c r="M302" s="45"/>
      <c r="N302" s="45"/>
      <c r="O302" s="45"/>
      <c r="P302" s="51" t="s">
        <v>106</v>
      </c>
      <c r="Q302" s="126" t="s">
        <v>544</v>
      </c>
      <c r="R302" s="86"/>
      <c r="S302" s="112" t="s">
        <v>698</v>
      </c>
      <c r="T302" s="130"/>
      <c r="U302" s="130"/>
      <c r="V302" s="106" t="s">
        <v>316</v>
      </c>
      <c r="W302" s="45"/>
      <c r="X302" s="83"/>
      <c r="Y302" s="129" t="str">
        <f t="shared" si="100"/>
        <v>TB_QESTNAR_QESTN</v>
      </c>
      <c r="Z302" s="50" t="str">
        <f t="shared" si="82"/>
        <v>QESTNAR_QESTN_ESSNTL_YN VARCHAR(1) NOT NULL,</v>
      </c>
      <c r="AA302" s="50" t="str">
        <f t="shared" si="79"/>
        <v/>
      </c>
      <c r="AB302" s="50" t="str">
        <f t="shared" si="80"/>
        <v/>
      </c>
      <c r="AC302" s="50" t="str">
        <f t="shared" si="91"/>
        <v/>
      </c>
      <c r="AD302" s="50" t="str">
        <f t="shared" si="92"/>
        <v>ALTER TABLE TB_QESTNAR_QESTN ALTER COLUMN QESTNAR_QESTN_ESSNTL_YN TYPE VARCHAR(1);</v>
      </c>
      <c r="AE302" s="50" t="str">
        <f t="shared" si="93"/>
        <v>ALTER TABLE TB_QESTNAR_QESTN ADD COLUMN QESTNAR_QESTN_ESSNTL_YN VARCHAR(1) NOT NULL;</v>
      </c>
      <c r="AF302" s="50" t="str">
        <f t="shared" si="94"/>
        <v>ALTER TABLE TB_QESTNAR_QESTN DROP COLUMN QESTNAR_QESTN_ESSNTL_YN;</v>
      </c>
      <c r="AG302" s="50" t="str">
        <f t="shared" si="95"/>
        <v/>
      </c>
      <c r="AH302" s="50" t="str">
        <f t="shared" si="101"/>
        <v>COMMENT ON COLUMN TB_QESTNAR_QESTN.QESTNAR_QESTN_ESSNTL_YN IS '설문조사 질문 필수 여부' ;</v>
      </c>
    </row>
    <row r="303" spans="1:34" ht="20" customHeight="1">
      <c r="A303" s="55">
        <v>299</v>
      </c>
      <c r="B303" s="26" t="s">
        <v>7</v>
      </c>
      <c r="C303" s="26" t="s">
        <v>660</v>
      </c>
      <c r="D303" s="11" t="s">
        <v>685</v>
      </c>
      <c r="E303" s="10" t="s">
        <v>683</v>
      </c>
      <c r="F303" s="92">
        <v>7</v>
      </c>
      <c r="G303" s="102" t="s">
        <v>107</v>
      </c>
      <c r="H303" s="51" t="s">
        <v>76</v>
      </c>
      <c r="I303" s="75" t="s">
        <v>72</v>
      </c>
      <c r="J303" s="67"/>
      <c r="K303" s="67"/>
      <c r="L303" s="82"/>
      <c r="M303" s="82"/>
      <c r="N303" s="82"/>
      <c r="O303" s="82"/>
      <c r="P303" s="105" t="s">
        <v>543</v>
      </c>
      <c r="Q303" s="126" t="s">
        <v>548</v>
      </c>
      <c r="R303" s="85"/>
      <c r="S303" s="112" t="s">
        <v>219</v>
      </c>
      <c r="T303" s="130"/>
      <c r="U303" s="130"/>
      <c r="V303" s="123" t="s">
        <v>518</v>
      </c>
      <c r="W303" s="90"/>
      <c r="X303" s="130"/>
      <c r="Y303" s="129" t="str">
        <f t="shared" si="100"/>
        <v>TB_QESTNAR_QESTN</v>
      </c>
      <c r="Z303" s="50" t="str">
        <f t="shared" si="82"/>
        <v>REGISTER_ID VARCHAR(50) NOT NULL,</v>
      </c>
      <c r="AA303" s="50" t="str">
        <f t="shared" si="79"/>
        <v/>
      </c>
      <c r="AB303" s="50" t="str">
        <f t="shared" si="80"/>
        <v/>
      </c>
      <c r="AC303" s="50" t="str">
        <f t="shared" si="91"/>
        <v/>
      </c>
      <c r="AD303" s="50" t="str">
        <f t="shared" si="92"/>
        <v>ALTER TABLE TB_QESTNAR_QESTN ALTER COLUMN REGISTER_ID TYPE VARCHAR(50);</v>
      </c>
      <c r="AE303" s="50" t="str">
        <f t="shared" si="93"/>
        <v>ALTER TABLE TB_QESTNAR_QESTN ADD COLUMN REGISTER_ID VARCHAR(50) NOT NULL;</v>
      </c>
      <c r="AF303" s="50" t="str">
        <f t="shared" si="94"/>
        <v>ALTER TABLE TB_QESTNAR_QESTN DROP COLUMN REGISTER_ID;</v>
      </c>
      <c r="AG303" s="50" t="str">
        <f t="shared" si="95"/>
        <v/>
      </c>
      <c r="AH303" s="50" t="str">
        <f t="shared" si="101"/>
        <v>COMMENT ON COLUMN TB_QESTNAR_QESTN.REGISTER_ID IS '등록자 ID' ;</v>
      </c>
    </row>
    <row r="304" spans="1:34" ht="20" customHeight="1">
      <c r="A304" s="55">
        <v>300</v>
      </c>
      <c r="B304" s="26" t="s">
        <v>7</v>
      </c>
      <c r="C304" s="26" t="s">
        <v>660</v>
      </c>
      <c r="D304" s="11" t="s">
        <v>685</v>
      </c>
      <c r="E304" s="10" t="s">
        <v>683</v>
      </c>
      <c r="F304" s="92">
        <v>8</v>
      </c>
      <c r="G304" s="102" t="s">
        <v>91</v>
      </c>
      <c r="H304" s="51" t="s">
        <v>77</v>
      </c>
      <c r="I304" s="75" t="s">
        <v>72</v>
      </c>
      <c r="J304" s="52"/>
      <c r="K304" s="52"/>
      <c r="L304" s="52"/>
      <c r="M304" s="52"/>
      <c r="N304" s="52"/>
      <c r="O304" s="52"/>
      <c r="P304" s="56" t="s">
        <v>106</v>
      </c>
      <c r="Q304" s="126" t="s">
        <v>549</v>
      </c>
      <c r="R304" s="85"/>
      <c r="S304" s="112" t="s">
        <v>218</v>
      </c>
      <c r="T304" s="130"/>
      <c r="U304" s="130"/>
      <c r="V304" s="109"/>
      <c r="W304" s="90"/>
      <c r="X304" s="130"/>
      <c r="Y304" s="129" t="str">
        <f t="shared" si="100"/>
        <v>TB_QESTNAR_QESTN</v>
      </c>
      <c r="Z304" s="50" t="str">
        <f t="shared" si="82"/>
        <v>REGISTER_IP VARCHAR(100) NOT NULL,</v>
      </c>
      <c r="AA304" s="50" t="str">
        <f t="shared" si="79"/>
        <v/>
      </c>
      <c r="AB304" s="50" t="str">
        <f t="shared" si="80"/>
        <v/>
      </c>
      <c r="AC304" s="50" t="str">
        <f t="shared" si="91"/>
        <v/>
      </c>
      <c r="AD304" s="50" t="str">
        <f t="shared" si="92"/>
        <v>ALTER TABLE TB_QESTNAR_QESTN ALTER COLUMN REGISTER_IP TYPE VARCHAR(100);</v>
      </c>
      <c r="AE304" s="50" t="str">
        <f t="shared" si="93"/>
        <v>ALTER TABLE TB_QESTNAR_QESTN ADD COLUMN REGISTER_IP VARCHAR(100) NOT NULL;</v>
      </c>
      <c r="AF304" s="50" t="str">
        <f t="shared" si="94"/>
        <v>ALTER TABLE TB_QESTNAR_QESTN DROP COLUMN REGISTER_IP;</v>
      </c>
      <c r="AG304" s="50" t="str">
        <f t="shared" si="95"/>
        <v/>
      </c>
      <c r="AH304" s="50" t="str">
        <f t="shared" si="101"/>
        <v>COMMENT ON COLUMN TB_QESTNAR_QESTN.REGISTER_IP IS '등록자 IP' ;</v>
      </c>
    </row>
    <row r="305" spans="1:34" ht="20" customHeight="1">
      <c r="A305" s="55">
        <v>301</v>
      </c>
      <c r="B305" s="26" t="s">
        <v>7</v>
      </c>
      <c r="C305" s="26" t="s">
        <v>660</v>
      </c>
      <c r="D305" s="11" t="s">
        <v>685</v>
      </c>
      <c r="E305" s="10" t="s">
        <v>683</v>
      </c>
      <c r="F305" s="92">
        <v>9</v>
      </c>
      <c r="G305" s="102" t="s">
        <v>92</v>
      </c>
      <c r="H305" s="101" t="s">
        <v>78</v>
      </c>
      <c r="I305" s="75" t="s">
        <v>72</v>
      </c>
      <c r="J305" s="52"/>
      <c r="K305" s="52"/>
      <c r="L305" s="52"/>
      <c r="M305" s="52"/>
      <c r="N305" s="52"/>
      <c r="O305" s="52"/>
      <c r="P305" s="51" t="s">
        <v>732</v>
      </c>
      <c r="Q305" s="126"/>
      <c r="R305" s="85"/>
      <c r="S305" s="112" t="s">
        <v>217</v>
      </c>
      <c r="T305" s="130"/>
      <c r="U305" s="130"/>
      <c r="V305" s="109"/>
      <c r="W305" s="90"/>
      <c r="X305" s="130"/>
      <c r="Y305" s="129" t="str">
        <f t="shared" si="100"/>
        <v>TB_QESTNAR_QESTN</v>
      </c>
      <c r="Z305" s="50" t="str">
        <f t="shared" si="82"/>
        <v>REG_DT TIMESTAMP NOT NULL,</v>
      </c>
      <c r="AA305" s="50" t="str">
        <f t="shared" si="79"/>
        <v/>
      </c>
      <c r="AB305" s="50" t="str">
        <f t="shared" si="80"/>
        <v/>
      </c>
      <c r="AC305" s="50" t="str">
        <f t="shared" si="91"/>
        <v/>
      </c>
      <c r="AD305" s="50" t="str">
        <f t="shared" si="92"/>
        <v>ALTER TABLE TB_QESTNAR_QESTN ALTER COLUMN REG_DT TYPE TIMESTAMP;</v>
      </c>
      <c r="AE305" s="50" t="str">
        <f t="shared" si="93"/>
        <v>ALTER TABLE TB_QESTNAR_QESTN ADD COLUMN REG_DT TIMESTAMP NOT NULL;</v>
      </c>
      <c r="AF305" s="50" t="str">
        <f t="shared" si="94"/>
        <v>ALTER TABLE TB_QESTNAR_QESTN DROP COLUMN REG_DT;</v>
      </c>
      <c r="AG305" s="50" t="str">
        <f t="shared" si="95"/>
        <v/>
      </c>
      <c r="AH305" s="50" t="str">
        <f t="shared" si="101"/>
        <v>COMMENT ON COLUMN TB_QESTNAR_QESTN.REG_DT IS '등록 일시' ;</v>
      </c>
    </row>
    <row r="306" spans="1:34" ht="20" customHeight="1">
      <c r="A306" s="55">
        <v>302</v>
      </c>
      <c r="B306" s="26" t="s">
        <v>7</v>
      </c>
      <c r="C306" s="26" t="s">
        <v>660</v>
      </c>
      <c r="D306" s="11" t="s">
        <v>685</v>
      </c>
      <c r="E306" s="10" t="s">
        <v>683</v>
      </c>
      <c r="F306" s="92">
        <v>10</v>
      </c>
      <c r="G306" s="102" t="s">
        <v>93</v>
      </c>
      <c r="H306" s="101" t="s">
        <v>80</v>
      </c>
      <c r="I306" s="52"/>
      <c r="J306" s="52"/>
      <c r="K306" s="52"/>
      <c r="L306" s="84"/>
      <c r="M306" s="84"/>
      <c r="N306" s="84"/>
      <c r="O306" s="84"/>
      <c r="P306" s="105" t="s">
        <v>543</v>
      </c>
      <c r="Q306" s="126" t="s">
        <v>548</v>
      </c>
      <c r="R306" s="85"/>
      <c r="S306" s="112" t="s">
        <v>216</v>
      </c>
      <c r="T306" s="130"/>
      <c r="U306" s="130"/>
      <c r="V306" s="123" t="s">
        <v>518</v>
      </c>
      <c r="W306" s="90"/>
      <c r="X306" s="130"/>
      <c r="Y306" s="129" t="str">
        <f t="shared" si="100"/>
        <v>TB_QESTNAR_QESTN</v>
      </c>
      <c r="Z306" s="50" t="str">
        <f t="shared" si="82"/>
        <v>UPDUSR_ID VARCHAR(50),</v>
      </c>
      <c r="AA306" s="50" t="str">
        <f t="shared" si="79"/>
        <v/>
      </c>
      <c r="AB306" s="50" t="str">
        <f t="shared" si="80"/>
        <v/>
      </c>
      <c r="AC306" s="50" t="str">
        <f t="shared" si="91"/>
        <v/>
      </c>
      <c r="AD306" s="50" t="str">
        <f t="shared" si="92"/>
        <v>ALTER TABLE TB_QESTNAR_QESTN ALTER COLUMN UPDUSR_ID TYPE VARCHAR(50);</v>
      </c>
      <c r="AE306" s="50" t="str">
        <f t="shared" si="93"/>
        <v>ALTER TABLE TB_QESTNAR_QESTN ADD COLUMN UPDUSR_ID VARCHAR(50);</v>
      </c>
      <c r="AF306" s="50" t="str">
        <f t="shared" si="94"/>
        <v>ALTER TABLE TB_QESTNAR_QESTN DROP COLUMN UPDUSR_ID;</v>
      </c>
      <c r="AG306" s="50" t="str">
        <f t="shared" si="95"/>
        <v/>
      </c>
      <c r="AH306" s="50" t="str">
        <f t="shared" si="101"/>
        <v>COMMENT ON COLUMN TB_QESTNAR_QESTN.UPDUSR_ID IS '수정자 ID' ;</v>
      </c>
    </row>
    <row r="307" spans="1:34" ht="20" customHeight="1">
      <c r="A307" s="55">
        <v>303</v>
      </c>
      <c r="B307" s="26" t="s">
        <v>7</v>
      </c>
      <c r="C307" s="26" t="s">
        <v>660</v>
      </c>
      <c r="D307" s="11" t="s">
        <v>685</v>
      </c>
      <c r="E307" s="10" t="s">
        <v>683</v>
      </c>
      <c r="F307" s="92">
        <v>11</v>
      </c>
      <c r="G307" s="102" t="s">
        <v>94</v>
      </c>
      <c r="H307" s="101" t="s">
        <v>79</v>
      </c>
      <c r="I307" s="52"/>
      <c r="J307" s="52"/>
      <c r="K307" s="52"/>
      <c r="L307" s="52"/>
      <c r="M307" s="52"/>
      <c r="N307" s="52"/>
      <c r="O307" s="52"/>
      <c r="P307" s="56" t="s">
        <v>106</v>
      </c>
      <c r="Q307" s="126" t="s">
        <v>549</v>
      </c>
      <c r="R307" s="85"/>
      <c r="S307" s="112" t="s">
        <v>215</v>
      </c>
      <c r="T307" s="130"/>
      <c r="U307" s="130"/>
      <c r="V307" s="109"/>
      <c r="W307" s="90"/>
      <c r="X307" s="130"/>
      <c r="Y307" s="129" t="str">
        <f t="shared" si="100"/>
        <v>TB_QESTNAR_QESTN</v>
      </c>
      <c r="Z307" s="50" t="str">
        <f t="shared" si="82"/>
        <v>UPDUSR_IP VARCHAR(100),</v>
      </c>
      <c r="AA307" s="50" t="str">
        <f t="shared" si="79"/>
        <v/>
      </c>
      <c r="AB307" s="50" t="str">
        <f t="shared" si="80"/>
        <v/>
      </c>
      <c r="AC307" s="50" t="str">
        <f t="shared" si="91"/>
        <v/>
      </c>
      <c r="AD307" s="50" t="str">
        <f t="shared" si="92"/>
        <v>ALTER TABLE TB_QESTNAR_QESTN ALTER COLUMN UPDUSR_IP TYPE VARCHAR(100);</v>
      </c>
      <c r="AE307" s="50" t="str">
        <f t="shared" si="93"/>
        <v>ALTER TABLE TB_QESTNAR_QESTN ADD COLUMN UPDUSR_IP VARCHAR(100);</v>
      </c>
      <c r="AF307" s="50" t="str">
        <f t="shared" si="94"/>
        <v>ALTER TABLE TB_QESTNAR_QESTN DROP COLUMN UPDUSR_IP;</v>
      </c>
      <c r="AG307" s="50" t="str">
        <f t="shared" si="95"/>
        <v/>
      </c>
      <c r="AH307" s="50" t="str">
        <f t="shared" si="101"/>
        <v>COMMENT ON COLUMN TB_QESTNAR_QESTN.UPDUSR_IP IS '수정자 IP' ;</v>
      </c>
    </row>
    <row r="308" spans="1:34" ht="20" customHeight="1">
      <c r="A308" s="55">
        <v>304</v>
      </c>
      <c r="B308" s="26" t="s">
        <v>7</v>
      </c>
      <c r="C308" s="26" t="s">
        <v>660</v>
      </c>
      <c r="D308" s="11" t="s">
        <v>685</v>
      </c>
      <c r="E308" s="10" t="s">
        <v>683</v>
      </c>
      <c r="F308" s="92">
        <v>12</v>
      </c>
      <c r="G308" s="103" t="s">
        <v>95</v>
      </c>
      <c r="H308" s="102" t="s">
        <v>81</v>
      </c>
      <c r="I308" s="61"/>
      <c r="J308" s="61"/>
      <c r="K308" s="61"/>
      <c r="L308" s="61"/>
      <c r="M308" s="61"/>
      <c r="N308" s="61"/>
      <c r="O308" s="61"/>
      <c r="P308" s="51" t="s">
        <v>732</v>
      </c>
      <c r="Q308" s="126"/>
      <c r="R308" s="82"/>
      <c r="S308" s="112" t="s">
        <v>214</v>
      </c>
      <c r="T308" s="130"/>
      <c r="U308" s="130"/>
      <c r="V308" s="109"/>
      <c r="W308" s="90"/>
      <c r="X308" s="130"/>
      <c r="Y308" s="129" t="str">
        <f t="shared" si="100"/>
        <v>TB_QESTNAR_QESTN</v>
      </c>
      <c r="Z308" s="50" t="str">
        <f t="shared" si="82"/>
        <v>UPDT_DT TIMESTAMP,</v>
      </c>
      <c r="AA308" s="50" t="str">
        <f t="shared" si="79"/>
        <v/>
      </c>
      <c r="AB308" s="50" t="str">
        <f t="shared" si="80"/>
        <v/>
      </c>
      <c r="AC308" s="50" t="str">
        <f t="shared" si="91"/>
        <v/>
      </c>
      <c r="AD308" s="50" t="str">
        <f t="shared" si="92"/>
        <v>ALTER TABLE TB_QESTNAR_QESTN ALTER COLUMN UPDT_DT TYPE TIMESTAMP;</v>
      </c>
      <c r="AE308" s="50" t="str">
        <f t="shared" si="93"/>
        <v>ALTER TABLE TB_QESTNAR_QESTN ADD COLUMN UPDT_DT TIMESTAMP;</v>
      </c>
      <c r="AF308" s="50" t="str">
        <f t="shared" si="94"/>
        <v>ALTER TABLE TB_QESTNAR_QESTN DROP COLUMN UPDT_DT;</v>
      </c>
      <c r="AG308" s="50" t="str">
        <f t="shared" si="95"/>
        <v/>
      </c>
      <c r="AH308" s="50" t="str">
        <f t="shared" si="101"/>
        <v>COMMENT ON COLUMN TB_QESTNAR_QESTN.UPDT_DT IS '수정 일시' ;</v>
      </c>
    </row>
    <row r="309" spans="1:34" ht="20" customHeight="1">
      <c r="A309" s="55">
        <v>305</v>
      </c>
      <c r="B309" s="26" t="s">
        <v>7</v>
      </c>
      <c r="C309" s="26" t="s">
        <v>660</v>
      </c>
      <c r="D309" s="11" t="s">
        <v>685</v>
      </c>
      <c r="E309" s="10" t="s">
        <v>683</v>
      </c>
      <c r="F309" s="92">
        <v>13</v>
      </c>
      <c r="G309" s="102" t="s">
        <v>96</v>
      </c>
      <c r="H309" s="102" t="s">
        <v>82</v>
      </c>
      <c r="I309" s="75" t="s">
        <v>72</v>
      </c>
      <c r="J309" s="61"/>
      <c r="K309" s="61"/>
      <c r="L309" s="61"/>
      <c r="M309" s="61"/>
      <c r="N309" s="61"/>
      <c r="O309" s="61"/>
      <c r="P309" s="51" t="s">
        <v>106</v>
      </c>
      <c r="Q309" s="126" t="s">
        <v>544</v>
      </c>
      <c r="R309" s="87" t="s">
        <v>592</v>
      </c>
      <c r="S309" s="112" t="s">
        <v>213</v>
      </c>
      <c r="T309" s="130"/>
      <c r="U309" s="130"/>
      <c r="V309" s="109"/>
      <c r="W309" s="90"/>
      <c r="X309" s="130"/>
      <c r="Y309" s="129" t="str">
        <f t="shared" si="100"/>
        <v>TB_QESTNAR_QESTN</v>
      </c>
      <c r="Z309" s="50" t="str">
        <f t="shared" si="82"/>
        <v>DEL_YN VARCHAR(1) NOT NULL,</v>
      </c>
      <c r="AA309" s="50" t="str">
        <f t="shared" si="79"/>
        <v/>
      </c>
      <c r="AB309" s="50" t="str">
        <f t="shared" si="80"/>
        <v/>
      </c>
      <c r="AC309" s="50" t="str">
        <f t="shared" si="91"/>
        <v/>
      </c>
      <c r="AD309" s="50" t="str">
        <f t="shared" si="92"/>
        <v>ALTER TABLE TB_QESTNAR_QESTN ALTER COLUMN DEL_YN TYPE VARCHAR(1);</v>
      </c>
      <c r="AE309" s="50" t="str">
        <f t="shared" si="93"/>
        <v>ALTER TABLE TB_QESTNAR_QESTN ADD COLUMN DEL_YN VARCHAR(1) NOT NULL DEFAULT ''N'';</v>
      </c>
      <c r="AF309" s="50" t="str">
        <f t="shared" si="94"/>
        <v>ALTER TABLE TB_QESTNAR_QESTN DROP COLUMN DEL_YN;</v>
      </c>
      <c r="AG309" s="50" t="str">
        <f t="shared" si="95"/>
        <v>ALTER TABLE TB_QESTNAR_QESTN ALTER COLUMN DEL_YN SET DEFAULT 'N';</v>
      </c>
      <c r="AH309" s="50" t="str">
        <f t="shared" si="101"/>
        <v>COMMENT ON COLUMN TB_QESTNAR_QESTN.DEL_YN IS '삭제 여부' ;</v>
      </c>
    </row>
    <row r="310" spans="1:34" ht="20" customHeight="1">
      <c r="A310" s="55">
        <v>306</v>
      </c>
      <c r="B310" s="26" t="s">
        <v>7</v>
      </c>
      <c r="C310" s="26" t="s">
        <v>660</v>
      </c>
      <c r="D310" s="11" t="s">
        <v>702</v>
      </c>
      <c r="E310" s="10" t="s">
        <v>701</v>
      </c>
      <c r="F310" s="92">
        <v>1</v>
      </c>
      <c r="G310" s="102" t="s">
        <v>703</v>
      </c>
      <c r="H310" s="102" t="s">
        <v>707</v>
      </c>
      <c r="I310" s="45" t="s">
        <v>131</v>
      </c>
      <c r="J310" s="45">
        <v>1</v>
      </c>
      <c r="K310" s="61"/>
      <c r="L310" s="69"/>
      <c r="M310" s="69"/>
      <c r="N310" s="69"/>
      <c r="O310" s="69"/>
      <c r="P310" s="106" t="s">
        <v>172</v>
      </c>
      <c r="Q310" s="88"/>
      <c r="R310" s="86"/>
      <c r="S310" s="102" t="s">
        <v>711</v>
      </c>
      <c r="T310" s="132" t="str">
        <f>"SEQ_"&amp;D310&amp;"_SN"</f>
        <v>SEQ_TB_QESTNAR_QESTN_DETAIL_SN</v>
      </c>
      <c r="U310" s="132"/>
      <c r="V310" s="106" t="s">
        <v>541</v>
      </c>
      <c r="W310" s="45"/>
      <c r="X310" s="83"/>
      <c r="Y310" s="129" t="str">
        <f t="shared" si="100"/>
        <v>TB_QESTNAR_QESTN_DETAIL</v>
      </c>
      <c r="Z310" s="50" t="str">
        <f t="shared" si="82"/>
        <v>QESTNAR_QESTN_DETAIL_SN INTEGER PRIMARY KEY,</v>
      </c>
      <c r="AA310" s="50" t="str">
        <f t="shared" si="79"/>
        <v/>
      </c>
      <c r="AB310" s="50" t="str">
        <f t="shared" si="80"/>
        <v>CREATE SEQUENCE SEQ_TB_QESTNAR_QESTN_DETAIL_SN START 100000;</v>
      </c>
      <c r="AC310" s="50" t="str">
        <f t="shared" si="91"/>
        <v>ALTER TABLE TB_QESTNAR_QESTN_DETAIL ALTER COLUMN QESTNAR_QESTN_DETAIL_SN SET DEFAULT NEXTVAL('SEQ_TB_QESTNAR_QESTN_DETAIL_SN');</v>
      </c>
      <c r="AD310" s="50" t="str">
        <f t="shared" si="92"/>
        <v>ALTER TABLE TB_QESTNAR_QESTN_DETAIL ALTER COLUMN QESTNAR_QESTN_DETAIL_SN TYPE INTEGER;</v>
      </c>
      <c r="AE310" s="50" t="str">
        <f t="shared" si="93"/>
        <v>ALTER TABLE TB_QESTNAR_QESTN_DETAIL ADD COLUMN QESTNAR_QESTN_DETAIL_SN INTEGER NOT NULL;</v>
      </c>
      <c r="AF310" s="50" t="str">
        <f t="shared" si="94"/>
        <v>ALTER TABLE TB_QESTNAR_QESTN_DETAIL DROP COLUMN QESTNAR_QESTN_DETAIL_SN;</v>
      </c>
      <c r="AG310" s="50" t="str">
        <f t="shared" si="95"/>
        <v/>
      </c>
      <c r="AH310" s="50" t="str">
        <f t="shared" si="101"/>
        <v>COMMENT ON COLUMN TB_QESTNAR_QESTN_DETAIL.QESTNAR_QESTN_DETAIL_SN IS '설문조사 질문 상세 일련번호' ;</v>
      </c>
    </row>
    <row r="311" spans="1:34" ht="20" customHeight="1">
      <c r="A311" s="55">
        <v>307</v>
      </c>
      <c r="B311" s="26" t="s">
        <v>7</v>
      </c>
      <c r="C311" s="26" t="s">
        <v>660</v>
      </c>
      <c r="D311" s="11" t="s">
        <v>700</v>
      </c>
      <c r="E311" s="10" t="s">
        <v>701</v>
      </c>
      <c r="F311" s="92">
        <v>2</v>
      </c>
      <c r="G311" s="106" t="s">
        <v>704</v>
      </c>
      <c r="H311" s="106" t="s">
        <v>708</v>
      </c>
      <c r="I311" s="45" t="s">
        <v>131</v>
      </c>
      <c r="J311" s="45"/>
      <c r="K311" s="45">
        <v>1</v>
      </c>
      <c r="L311" s="11" t="s">
        <v>685</v>
      </c>
      <c r="M311" s="106" t="s">
        <v>704</v>
      </c>
      <c r="N311" s="100" t="s">
        <v>562</v>
      </c>
      <c r="O311" s="100" t="s">
        <v>564</v>
      </c>
      <c r="P311" s="106" t="s">
        <v>172</v>
      </c>
      <c r="Q311" s="97"/>
      <c r="R311" s="45"/>
      <c r="S311" s="106" t="s">
        <v>712</v>
      </c>
      <c r="T311" s="83"/>
      <c r="U311" s="83"/>
      <c r="V311" s="106"/>
      <c r="W311" s="45"/>
      <c r="X311" s="83"/>
      <c r="Y311" s="129" t="str">
        <f t="shared" si="100"/>
        <v>TB_QESTNAR_QESTN_DETAIL</v>
      </c>
      <c r="Z311" s="50" t="str">
        <f t="shared" si="82"/>
        <v>QESTNAR_QESTN_SN INTEGER NOT NULL,</v>
      </c>
      <c r="AA311" s="50" t="str">
        <f t="shared" si="79"/>
        <v>ALTER TABLE TB_QESTNAR_QESTN_DETAIL ADD CONSTRAINT TB_QESTNAR_QESTN_DETAIL_FKEY1 FOREIGN KEY(QESTNAR_QESTN_SN) REFERENCES TB_QESTNAR_QESTN(QESTNAR_QESTN_SN) ON UPDATE CASCADE ON DELETE CASCADE;</v>
      </c>
      <c r="AB311" s="50" t="str">
        <f t="shared" si="80"/>
        <v/>
      </c>
      <c r="AC311" s="50" t="str">
        <f t="shared" si="91"/>
        <v/>
      </c>
      <c r="AD311" s="50" t="str">
        <f t="shared" si="92"/>
        <v>ALTER TABLE TB_QESTNAR_QESTN_DETAIL ALTER COLUMN QESTNAR_QESTN_SN TYPE INTEGER;</v>
      </c>
      <c r="AE311" s="50" t="str">
        <f t="shared" si="93"/>
        <v>ALTER TABLE TB_QESTNAR_QESTN_DETAIL ADD COLUMN QESTNAR_QESTN_SN INTEGER NOT NULL;</v>
      </c>
      <c r="AF311" s="50" t="str">
        <f t="shared" si="94"/>
        <v>ALTER TABLE TB_QESTNAR_QESTN_DETAIL DROP COLUMN QESTNAR_QESTN_SN;</v>
      </c>
      <c r="AG311" s="50" t="str">
        <f t="shared" si="95"/>
        <v/>
      </c>
      <c r="AH311" s="50" t="str">
        <f t="shared" si="101"/>
        <v>COMMENT ON COLUMN TB_QESTNAR_QESTN_DETAIL.QESTNAR_QESTN_SN IS '설문조사 질문 일련번호' ;</v>
      </c>
    </row>
    <row r="312" spans="1:34" ht="20" customHeight="1">
      <c r="A312" s="55">
        <v>308</v>
      </c>
      <c r="B312" s="26" t="s">
        <v>7</v>
      </c>
      <c r="C312" s="26" t="s">
        <v>660</v>
      </c>
      <c r="D312" s="11" t="s">
        <v>700</v>
      </c>
      <c r="E312" s="10" t="s">
        <v>701</v>
      </c>
      <c r="F312" s="92">
        <v>3</v>
      </c>
      <c r="G312" s="102" t="s">
        <v>705</v>
      </c>
      <c r="H312" s="102" t="s">
        <v>709</v>
      </c>
      <c r="I312" s="75"/>
      <c r="J312" s="61"/>
      <c r="K312" s="61"/>
      <c r="L312" s="69"/>
      <c r="M312" s="69"/>
      <c r="N312" s="69"/>
      <c r="O312" s="69"/>
      <c r="P312" s="109" t="s">
        <v>229</v>
      </c>
      <c r="Q312" s="47"/>
      <c r="R312" s="86"/>
      <c r="S312" s="102" t="s">
        <v>713</v>
      </c>
      <c r="T312" s="132"/>
      <c r="U312" s="132"/>
      <c r="V312" s="106"/>
      <c r="W312" s="45"/>
      <c r="X312" s="83"/>
      <c r="Y312" s="129" t="str">
        <f t="shared" si="100"/>
        <v>TB_QESTNAR_QESTN_DETAIL</v>
      </c>
      <c r="Z312" s="50" t="str">
        <f t="shared" si="82"/>
        <v>QESTNAR_QESTN_DETAIL_SEQ INTEGER,</v>
      </c>
      <c r="AA312" s="50" t="str">
        <f t="shared" si="79"/>
        <v/>
      </c>
      <c r="AB312" s="50" t="str">
        <f t="shared" si="80"/>
        <v/>
      </c>
      <c r="AC312" s="50" t="str">
        <f t="shared" si="91"/>
        <v/>
      </c>
      <c r="AD312" s="50" t="str">
        <f t="shared" si="92"/>
        <v>ALTER TABLE TB_QESTNAR_QESTN_DETAIL ALTER COLUMN QESTNAR_QESTN_DETAIL_SEQ TYPE INTEGER;</v>
      </c>
      <c r="AE312" s="50" t="str">
        <f t="shared" si="93"/>
        <v>ALTER TABLE TB_QESTNAR_QESTN_DETAIL ADD COLUMN QESTNAR_QESTN_DETAIL_SEQ INTEGER;</v>
      </c>
      <c r="AF312" s="50" t="str">
        <f t="shared" si="94"/>
        <v>ALTER TABLE TB_QESTNAR_QESTN_DETAIL DROP COLUMN QESTNAR_QESTN_DETAIL_SEQ;</v>
      </c>
      <c r="AG312" s="50" t="str">
        <f t="shared" si="95"/>
        <v/>
      </c>
      <c r="AH312" s="50" t="str">
        <f t="shared" si="101"/>
        <v>COMMENT ON COLUMN TB_QESTNAR_QESTN_DETAIL.QESTNAR_QESTN_DETAIL_SEQ IS '설문조사 질문 상세 순번' ;</v>
      </c>
    </row>
    <row r="313" spans="1:34" ht="20" customHeight="1">
      <c r="A313" s="55">
        <v>309</v>
      </c>
      <c r="B313" s="26" t="s">
        <v>7</v>
      </c>
      <c r="C313" s="26" t="s">
        <v>660</v>
      </c>
      <c r="D313" s="11" t="s">
        <v>700</v>
      </c>
      <c r="E313" s="10" t="s">
        <v>701</v>
      </c>
      <c r="F313" s="92">
        <v>4</v>
      </c>
      <c r="G313" s="102" t="s">
        <v>706</v>
      </c>
      <c r="H313" s="102" t="s">
        <v>710</v>
      </c>
      <c r="I313" s="75"/>
      <c r="J313" s="61"/>
      <c r="K313" s="61"/>
      <c r="L313" s="61"/>
      <c r="M313" s="61"/>
      <c r="N313" s="61"/>
      <c r="O313" s="61"/>
      <c r="P313" s="62" t="s">
        <v>106</v>
      </c>
      <c r="Q313" s="126" t="s">
        <v>552</v>
      </c>
      <c r="R313" s="86"/>
      <c r="S313" s="102" t="s">
        <v>714</v>
      </c>
      <c r="T313" s="83"/>
      <c r="U313" s="83"/>
      <c r="V313" s="106"/>
      <c r="W313" s="45"/>
      <c r="X313" s="83"/>
      <c r="Y313" s="129" t="str">
        <f t="shared" si="100"/>
        <v>TB_QESTNAR_QESTN_DETAIL</v>
      </c>
      <c r="Z313" s="50" t="str">
        <f t="shared" si="82"/>
        <v>QESTNAR_QESTN_DETAIL_CN VARCHAR(2000),</v>
      </c>
      <c r="AA313" s="50" t="str">
        <f t="shared" si="79"/>
        <v/>
      </c>
      <c r="AB313" s="50" t="str">
        <f t="shared" si="80"/>
        <v/>
      </c>
      <c r="AC313" s="50" t="str">
        <f t="shared" si="91"/>
        <v/>
      </c>
      <c r="AD313" s="50" t="str">
        <f t="shared" si="92"/>
        <v>ALTER TABLE TB_QESTNAR_QESTN_DETAIL ALTER COLUMN QESTNAR_QESTN_DETAIL_CN TYPE VARCHAR(2000);</v>
      </c>
      <c r="AE313" s="50" t="str">
        <f t="shared" si="93"/>
        <v>ALTER TABLE TB_QESTNAR_QESTN_DETAIL ADD COLUMN QESTNAR_QESTN_DETAIL_CN VARCHAR(2000);</v>
      </c>
      <c r="AF313" s="50" t="str">
        <f t="shared" si="94"/>
        <v>ALTER TABLE TB_QESTNAR_QESTN_DETAIL DROP COLUMN QESTNAR_QESTN_DETAIL_CN;</v>
      </c>
      <c r="AG313" s="50" t="str">
        <f t="shared" si="95"/>
        <v/>
      </c>
      <c r="AH313" s="50" t="str">
        <f t="shared" si="101"/>
        <v>COMMENT ON COLUMN TB_QESTNAR_QESTN_DETAIL.QESTNAR_QESTN_DETAIL_CN IS '설문조사 질문 상세 내용' ;</v>
      </c>
    </row>
    <row r="314" spans="1:34" ht="20" customHeight="1">
      <c r="A314" s="55">
        <v>310</v>
      </c>
      <c r="B314" s="26" t="s">
        <v>7</v>
      </c>
      <c r="C314" s="26" t="s">
        <v>660</v>
      </c>
      <c r="D314" s="11" t="s">
        <v>700</v>
      </c>
      <c r="E314" s="10" t="s">
        <v>701</v>
      </c>
      <c r="F314" s="92">
        <v>5</v>
      </c>
      <c r="G314" s="102" t="s">
        <v>107</v>
      </c>
      <c r="H314" s="51" t="s">
        <v>76</v>
      </c>
      <c r="I314" s="75" t="s">
        <v>72</v>
      </c>
      <c r="J314" s="67"/>
      <c r="K314" s="67"/>
      <c r="L314" s="82"/>
      <c r="M314" s="82"/>
      <c r="N314" s="82"/>
      <c r="O314" s="82"/>
      <c r="P314" s="105" t="s">
        <v>543</v>
      </c>
      <c r="Q314" s="126" t="s">
        <v>548</v>
      </c>
      <c r="R314" s="85"/>
      <c r="S314" s="112" t="s">
        <v>219</v>
      </c>
      <c r="T314" s="83"/>
      <c r="U314" s="83"/>
      <c r="V314" s="123" t="s">
        <v>518</v>
      </c>
      <c r="W314" s="45"/>
      <c r="X314" s="83"/>
      <c r="Y314" s="129" t="str">
        <f t="shared" si="100"/>
        <v>TB_QESTNAR_QESTN_DETAIL</v>
      </c>
      <c r="Z314" s="50" t="str">
        <f t="shared" si="82"/>
        <v>REGISTER_ID VARCHAR(50) NOT NULL,</v>
      </c>
      <c r="AA314" s="50" t="str">
        <f t="shared" si="79"/>
        <v/>
      </c>
      <c r="AB314" s="50" t="str">
        <f t="shared" si="80"/>
        <v/>
      </c>
      <c r="AC314" s="50" t="str">
        <f t="shared" si="91"/>
        <v/>
      </c>
      <c r="AD314" s="50" t="str">
        <f t="shared" si="92"/>
        <v>ALTER TABLE TB_QESTNAR_QESTN_DETAIL ALTER COLUMN REGISTER_ID TYPE VARCHAR(50);</v>
      </c>
      <c r="AE314" s="50" t="str">
        <f t="shared" si="93"/>
        <v>ALTER TABLE TB_QESTNAR_QESTN_DETAIL ADD COLUMN REGISTER_ID VARCHAR(50) NOT NULL;</v>
      </c>
      <c r="AF314" s="50" t="str">
        <f t="shared" si="94"/>
        <v>ALTER TABLE TB_QESTNAR_QESTN_DETAIL DROP COLUMN REGISTER_ID;</v>
      </c>
      <c r="AG314" s="50" t="str">
        <f t="shared" si="95"/>
        <v/>
      </c>
      <c r="AH314" s="50" t="str">
        <f t="shared" si="101"/>
        <v>COMMENT ON COLUMN TB_QESTNAR_QESTN_DETAIL.REGISTER_ID IS '등록자 ID' ;</v>
      </c>
    </row>
    <row r="315" spans="1:34" ht="20" customHeight="1">
      <c r="A315" s="55">
        <v>311</v>
      </c>
      <c r="B315" s="26" t="s">
        <v>7</v>
      </c>
      <c r="C315" s="26" t="s">
        <v>660</v>
      </c>
      <c r="D315" s="11" t="s">
        <v>700</v>
      </c>
      <c r="E315" s="10" t="s">
        <v>701</v>
      </c>
      <c r="F315" s="92">
        <v>6</v>
      </c>
      <c r="G315" s="102" t="s">
        <v>91</v>
      </c>
      <c r="H315" s="51" t="s">
        <v>77</v>
      </c>
      <c r="I315" s="75" t="s">
        <v>72</v>
      </c>
      <c r="J315" s="52"/>
      <c r="K315" s="52"/>
      <c r="L315" s="52"/>
      <c r="M315" s="52"/>
      <c r="N315" s="52"/>
      <c r="O315" s="52"/>
      <c r="P315" s="56" t="s">
        <v>106</v>
      </c>
      <c r="Q315" s="126" t="s">
        <v>549</v>
      </c>
      <c r="R315" s="85"/>
      <c r="S315" s="112" t="s">
        <v>218</v>
      </c>
      <c r="T315" s="83"/>
      <c r="U315" s="83"/>
      <c r="V315" s="106"/>
      <c r="W315" s="45"/>
      <c r="X315" s="83"/>
      <c r="Y315" s="129" t="str">
        <f t="shared" si="100"/>
        <v>TB_QESTNAR_QESTN_DETAIL</v>
      </c>
      <c r="Z315" s="50" t="str">
        <f t="shared" si="82"/>
        <v>REGISTER_IP VARCHAR(100) NOT NULL,</v>
      </c>
      <c r="AA315" s="50" t="str">
        <f t="shared" si="79"/>
        <v/>
      </c>
      <c r="AB315" s="50" t="str">
        <f t="shared" si="80"/>
        <v/>
      </c>
      <c r="AC315" s="50" t="str">
        <f t="shared" si="91"/>
        <v/>
      </c>
      <c r="AD315" s="50" t="str">
        <f t="shared" si="92"/>
        <v>ALTER TABLE TB_QESTNAR_QESTN_DETAIL ALTER COLUMN REGISTER_IP TYPE VARCHAR(100);</v>
      </c>
      <c r="AE315" s="50" t="str">
        <f t="shared" si="93"/>
        <v>ALTER TABLE TB_QESTNAR_QESTN_DETAIL ADD COLUMN REGISTER_IP VARCHAR(100) NOT NULL;</v>
      </c>
      <c r="AF315" s="50" t="str">
        <f t="shared" si="94"/>
        <v>ALTER TABLE TB_QESTNAR_QESTN_DETAIL DROP COLUMN REGISTER_IP;</v>
      </c>
      <c r="AG315" s="50" t="str">
        <f t="shared" si="95"/>
        <v/>
      </c>
      <c r="AH315" s="50" t="str">
        <f t="shared" si="101"/>
        <v>COMMENT ON COLUMN TB_QESTNAR_QESTN_DETAIL.REGISTER_IP IS '등록자 IP' ;</v>
      </c>
    </row>
    <row r="316" spans="1:34" ht="20" customHeight="1">
      <c r="A316" s="55">
        <v>312</v>
      </c>
      <c r="B316" s="26" t="s">
        <v>7</v>
      </c>
      <c r="C316" s="26" t="s">
        <v>660</v>
      </c>
      <c r="D316" s="11" t="s">
        <v>700</v>
      </c>
      <c r="E316" s="10" t="s">
        <v>701</v>
      </c>
      <c r="F316" s="92">
        <v>7</v>
      </c>
      <c r="G316" s="102" t="s">
        <v>92</v>
      </c>
      <c r="H316" s="101" t="s">
        <v>78</v>
      </c>
      <c r="I316" s="75" t="s">
        <v>72</v>
      </c>
      <c r="J316" s="52"/>
      <c r="K316" s="52"/>
      <c r="L316" s="52"/>
      <c r="M316" s="52"/>
      <c r="N316" s="52"/>
      <c r="O316" s="52"/>
      <c r="P316" s="51" t="s">
        <v>732</v>
      </c>
      <c r="Q316" s="126"/>
      <c r="R316" s="85"/>
      <c r="S316" s="112" t="s">
        <v>217</v>
      </c>
      <c r="T316" s="83"/>
      <c r="U316" s="83"/>
      <c r="V316" s="106"/>
      <c r="W316" s="45"/>
      <c r="X316" s="83"/>
      <c r="Y316" s="129" t="str">
        <f t="shared" si="100"/>
        <v>TB_QESTNAR_QESTN_DETAIL</v>
      </c>
      <c r="Z316" s="50" t="str">
        <f t="shared" si="82"/>
        <v>REG_DT TIMESTAMP NOT NULL,</v>
      </c>
      <c r="AA316" s="50" t="str">
        <f t="shared" si="79"/>
        <v/>
      </c>
      <c r="AB316" s="50" t="str">
        <f t="shared" si="80"/>
        <v/>
      </c>
      <c r="AC316" s="50" t="str">
        <f t="shared" si="91"/>
        <v/>
      </c>
      <c r="AD316" s="50" t="str">
        <f t="shared" si="92"/>
        <v>ALTER TABLE TB_QESTNAR_QESTN_DETAIL ALTER COLUMN REG_DT TYPE TIMESTAMP;</v>
      </c>
      <c r="AE316" s="50" t="str">
        <f t="shared" si="93"/>
        <v>ALTER TABLE TB_QESTNAR_QESTN_DETAIL ADD COLUMN REG_DT TIMESTAMP NOT NULL;</v>
      </c>
      <c r="AF316" s="50" t="str">
        <f t="shared" si="94"/>
        <v>ALTER TABLE TB_QESTNAR_QESTN_DETAIL DROP COLUMN REG_DT;</v>
      </c>
      <c r="AG316" s="50" t="str">
        <f t="shared" si="95"/>
        <v/>
      </c>
      <c r="AH316" s="50" t="str">
        <f t="shared" si="101"/>
        <v>COMMENT ON COLUMN TB_QESTNAR_QESTN_DETAIL.REG_DT IS '등록 일시' ;</v>
      </c>
    </row>
    <row r="317" spans="1:34" ht="20" customHeight="1">
      <c r="A317" s="55">
        <v>313</v>
      </c>
      <c r="B317" s="26" t="s">
        <v>7</v>
      </c>
      <c r="C317" s="26" t="s">
        <v>660</v>
      </c>
      <c r="D317" s="11" t="s">
        <v>700</v>
      </c>
      <c r="E317" s="10" t="s">
        <v>701</v>
      </c>
      <c r="F317" s="92">
        <v>8</v>
      </c>
      <c r="G317" s="102" t="s">
        <v>93</v>
      </c>
      <c r="H317" s="101" t="s">
        <v>80</v>
      </c>
      <c r="I317" s="52"/>
      <c r="J317" s="52"/>
      <c r="K317" s="52"/>
      <c r="L317" s="84"/>
      <c r="M317" s="84"/>
      <c r="N317" s="84"/>
      <c r="O317" s="84"/>
      <c r="P317" s="105" t="s">
        <v>543</v>
      </c>
      <c r="Q317" s="126" t="s">
        <v>548</v>
      </c>
      <c r="R317" s="85"/>
      <c r="S317" s="112" t="s">
        <v>216</v>
      </c>
      <c r="T317" s="83"/>
      <c r="U317" s="83"/>
      <c r="V317" s="123" t="s">
        <v>518</v>
      </c>
      <c r="W317" s="45"/>
      <c r="X317" s="83"/>
      <c r="Y317" s="129" t="str">
        <f t="shared" si="100"/>
        <v>TB_QESTNAR_QESTN_DETAIL</v>
      </c>
      <c r="Z317" s="50" t="str">
        <f t="shared" si="82"/>
        <v>UPDUSR_ID VARCHAR(50),</v>
      </c>
      <c r="AA317" s="50" t="str">
        <f t="shared" si="79"/>
        <v/>
      </c>
      <c r="AB317" s="50" t="str">
        <f t="shared" si="80"/>
        <v/>
      </c>
      <c r="AC317" s="50" t="str">
        <f t="shared" si="91"/>
        <v/>
      </c>
      <c r="AD317" s="50" t="str">
        <f t="shared" si="92"/>
        <v>ALTER TABLE TB_QESTNAR_QESTN_DETAIL ALTER COLUMN UPDUSR_ID TYPE VARCHAR(50);</v>
      </c>
      <c r="AE317" s="50" t="str">
        <f t="shared" si="93"/>
        <v>ALTER TABLE TB_QESTNAR_QESTN_DETAIL ADD COLUMN UPDUSR_ID VARCHAR(50);</v>
      </c>
      <c r="AF317" s="50" t="str">
        <f t="shared" si="94"/>
        <v>ALTER TABLE TB_QESTNAR_QESTN_DETAIL DROP COLUMN UPDUSR_ID;</v>
      </c>
      <c r="AG317" s="50" t="str">
        <f t="shared" si="95"/>
        <v/>
      </c>
      <c r="AH317" s="50" t="str">
        <f t="shared" si="101"/>
        <v>COMMENT ON COLUMN TB_QESTNAR_QESTN_DETAIL.UPDUSR_ID IS '수정자 ID' ;</v>
      </c>
    </row>
    <row r="318" spans="1:34" ht="20" customHeight="1">
      <c r="A318" s="55">
        <v>314</v>
      </c>
      <c r="B318" s="26" t="s">
        <v>7</v>
      </c>
      <c r="C318" s="26" t="s">
        <v>660</v>
      </c>
      <c r="D318" s="11" t="s">
        <v>700</v>
      </c>
      <c r="E318" s="10" t="s">
        <v>701</v>
      </c>
      <c r="F318" s="92">
        <v>9</v>
      </c>
      <c r="G318" s="102" t="s">
        <v>94</v>
      </c>
      <c r="H318" s="101" t="s">
        <v>79</v>
      </c>
      <c r="I318" s="52"/>
      <c r="J318" s="52"/>
      <c r="K318" s="52"/>
      <c r="L318" s="52"/>
      <c r="M318" s="52"/>
      <c r="N318" s="52"/>
      <c r="O318" s="52"/>
      <c r="P318" s="56" t="s">
        <v>106</v>
      </c>
      <c r="Q318" s="126" t="s">
        <v>549</v>
      </c>
      <c r="R318" s="85"/>
      <c r="S318" s="112" t="s">
        <v>215</v>
      </c>
      <c r="T318" s="83"/>
      <c r="U318" s="83"/>
      <c r="V318" s="106"/>
      <c r="W318" s="45"/>
      <c r="X318" s="83"/>
      <c r="Y318" s="129" t="str">
        <f t="shared" si="100"/>
        <v>TB_QESTNAR_QESTN_DETAIL</v>
      </c>
      <c r="Z318" s="50" t="str">
        <f t="shared" si="82"/>
        <v>UPDUSR_IP VARCHAR(100),</v>
      </c>
      <c r="AA318" s="50" t="str">
        <f t="shared" si="79"/>
        <v/>
      </c>
      <c r="AB318" s="50" t="str">
        <f t="shared" si="80"/>
        <v/>
      </c>
      <c r="AC318" s="50" t="str">
        <f t="shared" si="91"/>
        <v/>
      </c>
      <c r="AD318" s="50" t="str">
        <f t="shared" si="92"/>
        <v>ALTER TABLE TB_QESTNAR_QESTN_DETAIL ALTER COLUMN UPDUSR_IP TYPE VARCHAR(100);</v>
      </c>
      <c r="AE318" s="50" t="str">
        <f t="shared" si="93"/>
        <v>ALTER TABLE TB_QESTNAR_QESTN_DETAIL ADD COLUMN UPDUSR_IP VARCHAR(100);</v>
      </c>
      <c r="AF318" s="50" t="str">
        <f t="shared" si="94"/>
        <v>ALTER TABLE TB_QESTNAR_QESTN_DETAIL DROP COLUMN UPDUSR_IP;</v>
      </c>
      <c r="AG318" s="50" t="str">
        <f t="shared" si="95"/>
        <v/>
      </c>
      <c r="AH318" s="50" t="str">
        <f t="shared" si="101"/>
        <v>COMMENT ON COLUMN TB_QESTNAR_QESTN_DETAIL.UPDUSR_IP IS '수정자 IP' ;</v>
      </c>
    </row>
    <row r="319" spans="1:34" ht="20" customHeight="1">
      <c r="A319" s="55">
        <v>315</v>
      </c>
      <c r="B319" s="26" t="s">
        <v>7</v>
      </c>
      <c r="C319" s="26" t="s">
        <v>660</v>
      </c>
      <c r="D319" s="11" t="s">
        <v>700</v>
      </c>
      <c r="E319" s="10" t="s">
        <v>701</v>
      </c>
      <c r="F319" s="92">
        <v>10</v>
      </c>
      <c r="G319" s="103" t="s">
        <v>95</v>
      </c>
      <c r="H319" s="102" t="s">
        <v>81</v>
      </c>
      <c r="I319" s="61"/>
      <c r="J319" s="61"/>
      <c r="K319" s="61"/>
      <c r="L319" s="61"/>
      <c r="M319" s="61"/>
      <c r="N319" s="61"/>
      <c r="O319" s="61"/>
      <c r="P319" s="51" t="s">
        <v>732</v>
      </c>
      <c r="Q319" s="126"/>
      <c r="R319" s="82"/>
      <c r="S319" s="112" t="s">
        <v>214</v>
      </c>
      <c r="T319" s="83"/>
      <c r="U319" s="83"/>
      <c r="V319" s="106"/>
      <c r="W319" s="45"/>
      <c r="X319" s="83"/>
      <c r="Y319" s="129" t="str">
        <f t="shared" si="100"/>
        <v>TB_QESTNAR_QESTN_DETAIL</v>
      </c>
      <c r="Z319" s="50" t="str">
        <f t="shared" si="82"/>
        <v>UPDT_DT TIMESTAMP,</v>
      </c>
      <c r="AA319" s="50" t="str">
        <f t="shared" si="79"/>
        <v/>
      </c>
      <c r="AB319" s="50" t="str">
        <f t="shared" si="80"/>
        <v/>
      </c>
      <c r="AC319" s="50" t="str">
        <f t="shared" si="91"/>
        <v/>
      </c>
      <c r="AD319" s="50" t="str">
        <f t="shared" si="92"/>
        <v>ALTER TABLE TB_QESTNAR_QESTN_DETAIL ALTER COLUMN UPDT_DT TYPE TIMESTAMP;</v>
      </c>
      <c r="AE319" s="50" t="str">
        <f t="shared" si="93"/>
        <v>ALTER TABLE TB_QESTNAR_QESTN_DETAIL ADD COLUMN UPDT_DT TIMESTAMP;</v>
      </c>
      <c r="AF319" s="50" t="str">
        <f t="shared" si="94"/>
        <v>ALTER TABLE TB_QESTNAR_QESTN_DETAIL DROP COLUMN UPDT_DT;</v>
      </c>
      <c r="AG319" s="50" t="str">
        <f t="shared" si="95"/>
        <v/>
      </c>
      <c r="AH319" s="50" t="str">
        <f t="shared" si="101"/>
        <v>COMMENT ON COLUMN TB_QESTNAR_QESTN_DETAIL.UPDT_DT IS '수정 일시' ;</v>
      </c>
    </row>
    <row r="320" spans="1:34" ht="20" customHeight="1">
      <c r="A320" s="55">
        <v>316</v>
      </c>
      <c r="B320" s="26" t="s">
        <v>7</v>
      </c>
      <c r="C320" s="26" t="s">
        <v>660</v>
      </c>
      <c r="D320" s="11" t="s">
        <v>700</v>
      </c>
      <c r="E320" s="10" t="s">
        <v>701</v>
      </c>
      <c r="F320" s="92">
        <v>11</v>
      </c>
      <c r="G320" s="102" t="s">
        <v>96</v>
      </c>
      <c r="H320" s="102" t="s">
        <v>82</v>
      </c>
      <c r="I320" s="75" t="s">
        <v>72</v>
      </c>
      <c r="J320" s="61"/>
      <c r="K320" s="61"/>
      <c r="L320" s="61"/>
      <c r="M320" s="61"/>
      <c r="N320" s="61"/>
      <c r="O320" s="61"/>
      <c r="P320" s="51" t="s">
        <v>106</v>
      </c>
      <c r="Q320" s="126" t="s">
        <v>544</v>
      </c>
      <c r="R320" s="87" t="s">
        <v>592</v>
      </c>
      <c r="S320" s="112" t="s">
        <v>213</v>
      </c>
      <c r="T320" s="83"/>
      <c r="U320" s="83"/>
      <c r="V320" s="106"/>
      <c r="W320" s="45"/>
      <c r="X320" s="83"/>
      <c r="Y320" s="129" t="str">
        <f t="shared" si="100"/>
        <v>TB_QESTNAR_QESTN_DETAIL</v>
      </c>
      <c r="Z320" s="50" t="str">
        <f t="shared" si="82"/>
        <v>DEL_YN VARCHAR(1) NOT NULL,</v>
      </c>
      <c r="AA320" s="50" t="str">
        <f t="shared" si="79"/>
        <v/>
      </c>
      <c r="AB320" s="50" t="str">
        <f t="shared" si="80"/>
        <v/>
      </c>
      <c r="AC320" s="50" t="str">
        <f t="shared" si="91"/>
        <v/>
      </c>
      <c r="AD320" s="50" t="str">
        <f t="shared" si="92"/>
        <v>ALTER TABLE TB_QESTNAR_QESTN_DETAIL ALTER COLUMN DEL_YN TYPE VARCHAR(1);</v>
      </c>
      <c r="AE320" s="50" t="str">
        <f t="shared" si="93"/>
        <v>ALTER TABLE TB_QESTNAR_QESTN_DETAIL ADD COLUMN DEL_YN VARCHAR(1) NOT NULL DEFAULT ''N'';</v>
      </c>
      <c r="AF320" s="50" t="str">
        <f t="shared" si="94"/>
        <v>ALTER TABLE TB_QESTNAR_QESTN_DETAIL DROP COLUMN DEL_YN;</v>
      </c>
      <c r="AG320" s="50" t="str">
        <f t="shared" si="95"/>
        <v>ALTER TABLE TB_QESTNAR_QESTN_DETAIL ALTER COLUMN DEL_YN SET DEFAULT 'N';</v>
      </c>
      <c r="AH320" s="50" t="str">
        <f t="shared" si="101"/>
        <v>COMMENT ON COLUMN TB_QESTNAR_QESTN_DETAIL.DEL_YN IS '삭제 여부' ;</v>
      </c>
    </row>
    <row r="321" spans="1:34" ht="20" customHeight="1">
      <c r="A321" s="55">
        <v>317</v>
      </c>
      <c r="B321" s="26" t="s">
        <v>7</v>
      </c>
      <c r="C321" s="26" t="s">
        <v>660</v>
      </c>
      <c r="D321" s="11" t="s">
        <v>717</v>
      </c>
      <c r="E321" s="10" t="s">
        <v>715</v>
      </c>
      <c r="F321" s="92">
        <v>1</v>
      </c>
      <c r="G321" s="102" t="s">
        <v>718</v>
      </c>
      <c r="H321" s="102" t="s">
        <v>716</v>
      </c>
      <c r="I321" s="75" t="s">
        <v>72</v>
      </c>
      <c r="J321" s="69">
        <v>1</v>
      </c>
      <c r="K321" s="69"/>
      <c r="L321" s="69"/>
      <c r="M321" s="69"/>
      <c r="N321" s="69"/>
      <c r="O321" s="69"/>
      <c r="P321" s="62" t="s">
        <v>229</v>
      </c>
      <c r="Q321" s="126"/>
      <c r="R321" s="87"/>
      <c r="S321" s="112" t="s">
        <v>719</v>
      </c>
      <c r="T321" s="132" t="str">
        <f>"SEQ_"&amp;D321&amp;"_SN"</f>
        <v>SEQ_TB_QESTNAR_ANSWER_SN</v>
      </c>
      <c r="U321" s="130"/>
      <c r="V321" s="109"/>
      <c r="W321" s="90"/>
      <c r="X321" s="130"/>
      <c r="Y321" s="129" t="str">
        <f t="shared" si="100"/>
        <v>TB_QESTNAR_ANSWER</v>
      </c>
      <c r="Z321" s="50" t="str">
        <f t="shared" si="82"/>
        <v>QESTNAR_ANSWER_SN INTEGER PRIMARY KEY,</v>
      </c>
      <c r="AA321" s="50" t="str">
        <f t="shared" si="79"/>
        <v/>
      </c>
      <c r="AB321" s="50" t="str">
        <f t="shared" si="80"/>
        <v>CREATE SEQUENCE SEQ_TB_QESTNAR_ANSWER_SN START 100000;</v>
      </c>
      <c r="AC321" s="50" t="str">
        <f t="shared" si="91"/>
        <v>ALTER TABLE TB_QESTNAR_ANSWER ALTER COLUMN QESTNAR_ANSWER_SN SET DEFAULT NEXTVAL('SEQ_TB_QESTNAR_ANSWER_SN');</v>
      </c>
      <c r="AD321" s="50" t="str">
        <f t="shared" si="92"/>
        <v>ALTER TABLE TB_QESTNAR_ANSWER ALTER COLUMN QESTNAR_ANSWER_SN TYPE INTEGER;</v>
      </c>
      <c r="AE321" s="50" t="str">
        <f t="shared" si="93"/>
        <v>ALTER TABLE TB_QESTNAR_ANSWER ADD COLUMN QESTNAR_ANSWER_SN INTEGER NOT NULL;</v>
      </c>
      <c r="AF321" s="50" t="str">
        <f t="shared" si="94"/>
        <v>ALTER TABLE TB_QESTNAR_ANSWER DROP COLUMN QESTNAR_ANSWER_SN;</v>
      </c>
      <c r="AG321" s="50" t="str">
        <f t="shared" si="95"/>
        <v/>
      </c>
      <c r="AH321" s="50" t="str">
        <f t="shared" si="101"/>
        <v>COMMENT ON COLUMN TB_QESTNAR_ANSWER.QESTNAR_ANSWER_SN IS '설문조사 답변 일련번호' ;</v>
      </c>
    </row>
    <row r="322" spans="1:34" ht="20" customHeight="1">
      <c r="A322" s="55">
        <v>318</v>
      </c>
      <c r="B322" s="26" t="s">
        <v>7</v>
      </c>
      <c r="C322" s="26" t="s">
        <v>660</v>
      </c>
      <c r="D322" s="11" t="s">
        <v>717</v>
      </c>
      <c r="E322" s="10" t="s">
        <v>715</v>
      </c>
      <c r="F322" s="92">
        <v>2</v>
      </c>
      <c r="G322" s="102" t="s">
        <v>664</v>
      </c>
      <c r="H322" s="102" t="s">
        <v>662</v>
      </c>
      <c r="I322" s="75" t="s">
        <v>72</v>
      </c>
      <c r="J322" s="69"/>
      <c r="K322" s="69">
        <v>1</v>
      </c>
      <c r="L322" s="11" t="s">
        <v>663</v>
      </c>
      <c r="M322" s="102" t="s">
        <v>664</v>
      </c>
      <c r="N322" s="100" t="s">
        <v>562</v>
      </c>
      <c r="O322" s="100" t="s">
        <v>564</v>
      </c>
      <c r="P322" s="62" t="s">
        <v>672</v>
      </c>
      <c r="Q322" s="126"/>
      <c r="R322" s="87"/>
      <c r="S322" s="112" t="s">
        <v>679</v>
      </c>
      <c r="T322" s="130"/>
      <c r="U322" s="130"/>
      <c r="V322" s="109"/>
      <c r="W322" s="90"/>
      <c r="X322" s="130"/>
      <c r="Y322" s="129" t="str">
        <f t="shared" si="100"/>
        <v>TB_QESTNAR_ANSWER</v>
      </c>
      <c r="Z322" s="50" t="str">
        <f t="shared" si="82"/>
        <v>QESTNAR_GROUP_SN INTEGER NOT NULL,</v>
      </c>
      <c r="AA322" s="50" t="str">
        <f t="shared" si="79"/>
        <v>ALTER TABLE TB_QESTNAR_ANSWER ADD CONSTRAINT TB_QESTNAR_ANSWER_FKEY1 FOREIGN KEY(QESTNAR_GROUP_SN) REFERENCES TB_QESTNAR_GROUP(QESTNAR_GROUP_SN) ON UPDATE CASCADE ON DELETE CASCADE;</v>
      </c>
      <c r="AB322" s="50" t="str">
        <f t="shared" si="80"/>
        <v/>
      </c>
      <c r="AC322" s="50" t="str">
        <f t="shared" si="91"/>
        <v/>
      </c>
      <c r="AD322" s="50" t="str">
        <f t="shared" si="92"/>
        <v>ALTER TABLE TB_QESTNAR_ANSWER ALTER COLUMN QESTNAR_GROUP_SN TYPE INTEGER;</v>
      </c>
      <c r="AE322" s="50" t="str">
        <f t="shared" si="93"/>
        <v>ALTER TABLE TB_QESTNAR_ANSWER ADD COLUMN QESTNAR_GROUP_SN INTEGER NOT NULL;</v>
      </c>
      <c r="AF322" s="50" t="str">
        <f t="shared" si="94"/>
        <v>ALTER TABLE TB_QESTNAR_ANSWER DROP COLUMN QESTNAR_GROUP_SN;</v>
      </c>
      <c r="AG322" s="50" t="str">
        <f t="shared" si="95"/>
        <v/>
      </c>
      <c r="AH322" s="50" t="str">
        <f t="shared" si="101"/>
        <v>COMMENT ON COLUMN TB_QESTNAR_ANSWER.QESTNAR_GROUP_SN IS '설문조사 그룹 일련번호' ;</v>
      </c>
    </row>
    <row r="323" spans="1:34" ht="20" customHeight="1">
      <c r="A323" s="55">
        <v>319</v>
      </c>
      <c r="B323" s="26" t="s">
        <v>7</v>
      </c>
      <c r="C323" s="26" t="s">
        <v>660</v>
      </c>
      <c r="D323" s="11" t="s">
        <v>717</v>
      </c>
      <c r="E323" s="10" t="s">
        <v>715</v>
      </c>
      <c r="F323" s="92">
        <v>3</v>
      </c>
      <c r="G323" s="100" t="s">
        <v>744</v>
      </c>
      <c r="H323" s="100" t="s">
        <v>745</v>
      </c>
      <c r="I323" s="75" t="s">
        <v>72</v>
      </c>
      <c r="J323" s="69"/>
      <c r="K323" s="69">
        <v>2</v>
      </c>
      <c r="L323" s="83" t="s">
        <v>9</v>
      </c>
      <c r="M323" s="100" t="s">
        <v>744</v>
      </c>
      <c r="N323" s="100" t="s">
        <v>562</v>
      </c>
      <c r="O323" s="100" t="s">
        <v>564</v>
      </c>
      <c r="P323" s="105" t="s">
        <v>172</v>
      </c>
      <c r="Q323" s="126"/>
      <c r="R323" s="87"/>
      <c r="S323" s="112" t="s">
        <v>109</v>
      </c>
      <c r="T323" s="130"/>
      <c r="U323" s="130"/>
      <c r="V323" s="109"/>
      <c r="W323" s="90"/>
      <c r="X323" s="130"/>
      <c r="Y323" s="129" t="str">
        <f t="shared" si="100"/>
        <v>TB_QESTNAR_ANSWER</v>
      </c>
      <c r="Z323" s="50" t="str">
        <f t="shared" si="82"/>
        <v>USER_SN INTEGER NOT NULL,</v>
      </c>
      <c r="AA323" s="50" t="str">
        <f t="shared" si="79"/>
        <v>ALTER TABLE TB_QESTNAR_ANSWER ADD CONSTRAINT TB_QESTNAR_ANSWER_FKEY2 FOREIGN KEY(USER_SN) REFERENCES TB_USER(USER_SN) ON UPDATE CASCADE ON DELETE CASCADE;</v>
      </c>
      <c r="AB323" s="50" t="str">
        <f t="shared" si="80"/>
        <v/>
      </c>
      <c r="AC323" s="50" t="str">
        <f t="shared" si="91"/>
        <v/>
      </c>
      <c r="AD323" s="50" t="str">
        <f t="shared" si="92"/>
        <v>ALTER TABLE TB_QESTNAR_ANSWER ALTER COLUMN USER_SN TYPE INTEGER;</v>
      </c>
      <c r="AE323" s="50" t="str">
        <f t="shared" si="93"/>
        <v>ALTER TABLE TB_QESTNAR_ANSWER ADD COLUMN USER_SN INTEGER NOT NULL;</v>
      </c>
      <c r="AF323" s="50" t="str">
        <f t="shared" si="94"/>
        <v>ALTER TABLE TB_QESTNAR_ANSWER DROP COLUMN USER_SN;</v>
      </c>
      <c r="AG323" s="50" t="str">
        <f t="shared" si="95"/>
        <v/>
      </c>
      <c r="AH323" s="50" t="str">
        <f t="shared" si="101"/>
        <v>COMMENT ON COLUMN TB_QESTNAR_ANSWER.USER_SN IS '사용자 일련번호' ;</v>
      </c>
    </row>
    <row r="324" spans="1:34" ht="20" customHeight="1">
      <c r="A324" s="55">
        <v>320</v>
      </c>
      <c r="B324" s="26" t="s">
        <v>7</v>
      </c>
      <c r="C324" s="26" t="s">
        <v>660</v>
      </c>
      <c r="D324" s="11" t="s">
        <v>717</v>
      </c>
      <c r="E324" s="10" t="s">
        <v>715</v>
      </c>
      <c r="F324" s="92">
        <v>4</v>
      </c>
      <c r="G324" s="102" t="s">
        <v>107</v>
      </c>
      <c r="H324" s="51" t="s">
        <v>76</v>
      </c>
      <c r="I324" s="75" t="s">
        <v>72</v>
      </c>
      <c r="J324" s="67"/>
      <c r="K324" s="67"/>
      <c r="L324" s="82"/>
      <c r="M324" s="82"/>
      <c r="N324" s="82"/>
      <c r="O324" s="82"/>
      <c r="P324" s="105" t="s">
        <v>543</v>
      </c>
      <c r="Q324" s="126" t="s">
        <v>548</v>
      </c>
      <c r="R324" s="85"/>
      <c r="S324" s="112" t="s">
        <v>219</v>
      </c>
      <c r="T324" s="83"/>
      <c r="U324" s="83"/>
      <c r="V324" s="123" t="s">
        <v>518</v>
      </c>
      <c r="W324" s="45"/>
      <c r="X324" s="83"/>
      <c r="Y324" s="129" t="str">
        <f t="shared" si="100"/>
        <v>TB_QESTNAR_ANSWER</v>
      </c>
      <c r="Z324" s="50" t="str">
        <f t="shared" si="82"/>
        <v>REGISTER_ID VARCHAR(50) NOT NULL,</v>
      </c>
      <c r="AA324" s="50" t="str">
        <f t="shared" si="79"/>
        <v/>
      </c>
      <c r="AB324" s="50" t="str">
        <f t="shared" si="80"/>
        <v/>
      </c>
      <c r="AC324" s="50" t="str">
        <f t="shared" si="91"/>
        <v/>
      </c>
      <c r="AD324" s="50" t="str">
        <f t="shared" si="92"/>
        <v>ALTER TABLE TB_QESTNAR_ANSWER ALTER COLUMN REGISTER_ID TYPE VARCHAR(50);</v>
      </c>
      <c r="AE324" s="50" t="str">
        <f t="shared" si="93"/>
        <v>ALTER TABLE TB_QESTNAR_ANSWER ADD COLUMN REGISTER_ID VARCHAR(50) NOT NULL;</v>
      </c>
      <c r="AF324" s="50" t="str">
        <f t="shared" si="94"/>
        <v>ALTER TABLE TB_QESTNAR_ANSWER DROP COLUMN REGISTER_ID;</v>
      </c>
      <c r="AG324" s="50" t="str">
        <f t="shared" si="95"/>
        <v/>
      </c>
      <c r="AH324" s="50" t="str">
        <f t="shared" si="101"/>
        <v>COMMENT ON COLUMN TB_QESTNAR_ANSWER.REGISTER_ID IS '등록자 ID' ;</v>
      </c>
    </row>
    <row r="325" spans="1:34" ht="20" customHeight="1">
      <c r="A325" s="55">
        <v>321</v>
      </c>
      <c r="B325" s="26" t="s">
        <v>7</v>
      </c>
      <c r="C325" s="26" t="s">
        <v>660</v>
      </c>
      <c r="D325" s="11" t="s">
        <v>717</v>
      </c>
      <c r="E325" s="10" t="s">
        <v>715</v>
      </c>
      <c r="F325" s="92">
        <v>5</v>
      </c>
      <c r="G325" s="102" t="s">
        <v>91</v>
      </c>
      <c r="H325" s="51" t="s">
        <v>77</v>
      </c>
      <c r="I325" s="75" t="s">
        <v>72</v>
      </c>
      <c r="J325" s="52"/>
      <c r="K325" s="52"/>
      <c r="L325" s="52"/>
      <c r="M325" s="52"/>
      <c r="N325" s="52"/>
      <c r="O325" s="52"/>
      <c r="P325" s="56" t="s">
        <v>106</v>
      </c>
      <c r="Q325" s="126" t="s">
        <v>549</v>
      </c>
      <c r="R325" s="85"/>
      <c r="S325" s="112" t="s">
        <v>218</v>
      </c>
      <c r="T325" s="83"/>
      <c r="U325" s="83"/>
      <c r="V325" s="106"/>
      <c r="W325" s="45"/>
      <c r="X325" s="83"/>
      <c r="Y325" s="129" t="str">
        <f t="shared" si="100"/>
        <v>TB_QESTNAR_ANSWER</v>
      </c>
      <c r="Z325" s="50" t="str">
        <f t="shared" si="82"/>
        <v>REGISTER_IP VARCHAR(100) NOT NULL,</v>
      </c>
      <c r="AA325" s="50" t="str">
        <f t="shared" si="79"/>
        <v/>
      </c>
      <c r="AB325" s="50" t="str">
        <f t="shared" si="80"/>
        <v/>
      </c>
      <c r="AC325" s="50" t="str">
        <f t="shared" si="91"/>
        <v/>
      </c>
      <c r="AD325" s="50" t="str">
        <f t="shared" si="92"/>
        <v>ALTER TABLE TB_QESTNAR_ANSWER ALTER COLUMN REGISTER_IP TYPE VARCHAR(100);</v>
      </c>
      <c r="AE325" s="50" t="str">
        <f t="shared" si="93"/>
        <v>ALTER TABLE TB_QESTNAR_ANSWER ADD COLUMN REGISTER_IP VARCHAR(100) NOT NULL;</v>
      </c>
      <c r="AF325" s="50" t="str">
        <f t="shared" si="94"/>
        <v>ALTER TABLE TB_QESTNAR_ANSWER DROP COLUMN REGISTER_IP;</v>
      </c>
      <c r="AG325" s="50" t="str">
        <f t="shared" si="95"/>
        <v/>
      </c>
      <c r="AH325" s="50" t="str">
        <f t="shared" si="101"/>
        <v>COMMENT ON COLUMN TB_QESTNAR_ANSWER.REGISTER_IP IS '등록자 IP' ;</v>
      </c>
    </row>
    <row r="326" spans="1:34" ht="20" customHeight="1">
      <c r="A326" s="55">
        <v>322</v>
      </c>
      <c r="B326" s="26" t="s">
        <v>7</v>
      </c>
      <c r="C326" s="26" t="s">
        <v>660</v>
      </c>
      <c r="D326" s="11" t="s">
        <v>717</v>
      </c>
      <c r="E326" s="10" t="s">
        <v>715</v>
      </c>
      <c r="F326" s="92">
        <v>6</v>
      </c>
      <c r="G326" s="102" t="s">
        <v>92</v>
      </c>
      <c r="H326" s="101" t="s">
        <v>78</v>
      </c>
      <c r="I326" s="75" t="s">
        <v>72</v>
      </c>
      <c r="J326" s="52"/>
      <c r="K326" s="52"/>
      <c r="L326" s="52"/>
      <c r="M326" s="52"/>
      <c r="N326" s="52"/>
      <c r="O326" s="52"/>
      <c r="P326" s="51" t="s">
        <v>732</v>
      </c>
      <c r="Q326" s="126"/>
      <c r="R326" s="85"/>
      <c r="S326" s="112" t="s">
        <v>217</v>
      </c>
      <c r="T326" s="83"/>
      <c r="U326" s="83"/>
      <c r="V326" s="106"/>
      <c r="W326" s="45"/>
      <c r="X326" s="83"/>
      <c r="Y326" s="129" t="str">
        <f t="shared" si="100"/>
        <v>TB_QESTNAR_ANSWER</v>
      </c>
      <c r="Z326" s="50" t="str">
        <f t="shared" si="82"/>
        <v>REG_DT TIMESTAMP NOT NULL,</v>
      </c>
      <c r="AA326" s="50" t="str">
        <f t="shared" si="79"/>
        <v/>
      </c>
      <c r="AB326" s="50" t="str">
        <f t="shared" si="80"/>
        <v/>
      </c>
      <c r="AC326" s="50" t="str">
        <f t="shared" si="91"/>
        <v/>
      </c>
      <c r="AD326" s="50" t="str">
        <f t="shared" si="92"/>
        <v>ALTER TABLE TB_QESTNAR_ANSWER ALTER COLUMN REG_DT TYPE TIMESTAMP;</v>
      </c>
      <c r="AE326" s="50" t="str">
        <f t="shared" si="93"/>
        <v>ALTER TABLE TB_QESTNAR_ANSWER ADD COLUMN REG_DT TIMESTAMP NOT NULL;</v>
      </c>
      <c r="AF326" s="50" t="str">
        <f t="shared" si="94"/>
        <v>ALTER TABLE TB_QESTNAR_ANSWER DROP COLUMN REG_DT;</v>
      </c>
      <c r="AG326" s="50" t="str">
        <f t="shared" si="95"/>
        <v/>
      </c>
      <c r="AH326" s="50" t="str">
        <f t="shared" si="101"/>
        <v>COMMENT ON COLUMN TB_QESTNAR_ANSWER.REG_DT IS '등록 일시' ;</v>
      </c>
    </row>
    <row r="327" spans="1:34" ht="20" customHeight="1">
      <c r="A327" s="55">
        <v>323</v>
      </c>
      <c r="B327" s="26" t="s">
        <v>7</v>
      </c>
      <c r="C327" s="26" t="s">
        <v>660</v>
      </c>
      <c r="D327" s="11" t="s">
        <v>717</v>
      </c>
      <c r="E327" s="10" t="s">
        <v>715</v>
      </c>
      <c r="F327" s="92">
        <v>7</v>
      </c>
      <c r="G327" s="102" t="s">
        <v>93</v>
      </c>
      <c r="H327" s="101" t="s">
        <v>80</v>
      </c>
      <c r="I327" s="52"/>
      <c r="J327" s="52"/>
      <c r="K327" s="52"/>
      <c r="L327" s="84"/>
      <c r="M327" s="84"/>
      <c r="N327" s="84"/>
      <c r="O327" s="84"/>
      <c r="P327" s="105" t="s">
        <v>543</v>
      </c>
      <c r="Q327" s="126" t="s">
        <v>548</v>
      </c>
      <c r="R327" s="85"/>
      <c r="S327" s="112" t="s">
        <v>216</v>
      </c>
      <c r="T327" s="83"/>
      <c r="U327" s="83"/>
      <c r="V327" s="123" t="s">
        <v>518</v>
      </c>
      <c r="W327" s="45"/>
      <c r="X327" s="83"/>
      <c r="Y327" s="129" t="str">
        <f t="shared" si="100"/>
        <v>TB_QESTNAR_ANSWER</v>
      </c>
      <c r="Z327" s="50" t="str">
        <f t="shared" si="82"/>
        <v>UPDUSR_ID VARCHAR(50),</v>
      </c>
      <c r="AA327" s="50" t="str">
        <f t="shared" si="79"/>
        <v/>
      </c>
      <c r="AB327" s="50" t="str">
        <f t="shared" si="80"/>
        <v/>
      </c>
      <c r="AC327" s="50" t="str">
        <f t="shared" si="91"/>
        <v/>
      </c>
      <c r="AD327" s="50" t="str">
        <f t="shared" si="92"/>
        <v>ALTER TABLE TB_QESTNAR_ANSWER ALTER COLUMN UPDUSR_ID TYPE VARCHAR(50);</v>
      </c>
      <c r="AE327" s="50" t="str">
        <f t="shared" si="93"/>
        <v>ALTER TABLE TB_QESTNAR_ANSWER ADD COLUMN UPDUSR_ID VARCHAR(50);</v>
      </c>
      <c r="AF327" s="50" t="str">
        <f t="shared" si="94"/>
        <v>ALTER TABLE TB_QESTNAR_ANSWER DROP COLUMN UPDUSR_ID;</v>
      </c>
      <c r="AG327" s="50" t="str">
        <f t="shared" si="95"/>
        <v/>
      </c>
      <c r="AH327" s="50" t="str">
        <f t="shared" si="101"/>
        <v>COMMENT ON COLUMN TB_QESTNAR_ANSWER.UPDUSR_ID IS '수정자 ID' ;</v>
      </c>
    </row>
    <row r="328" spans="1:34" ht="20" customHeight="1">
      <c r="A328" s="55">
        <v>324</v>
      </c>
      <c r="B328" s="26" t="s">
        <v>7</v>
      </c>
      <c r="C328" s="26" t="s">
        <v>660</v>
      </c>
      <c r="D328" s="11" t="s">
        <v>717</v>
      </c>
      <c r="E328" s="10" t="s">
        <v>715</v>
      </c>
      <c r="F328" s="92">
        <v>8</v>
      </c>
      <c r="G328" s="102" t="s">
        <v>94</v>
      </c>
      <c r="H328" s="101" t="s">
        <v>79</v>
      </c>
      <c r="I328" s="52"/>
      <c r="J328" s="52"/>
      <c r="K328" s="52"/>
      <c r="L328" s="52"/>
      <c r="M328" s="52"/>
      <c r="N328" s="52"/>
      <c r="O328" s="52"/>
      <c r="P328" s="56" t="s">
        <v>106</v>
      </c>
      <c r="Q328" s="126" t="s">
        <v>549</v>
      </c>
      <c r="R328" s="85"/>
      <c r="S328" s="112" t="s">
        <v>215</v>
      </c>
      <c r="T328" s="83"/>
      <c r="U328" s="83"/>
      <c r="V328" s="106"/>
      <c r="W328" s="45"/>
      <c r="X328" s="83"/>
      <c r="Y328" s="129" t="str">
        <f t="shared" si="100"/>
        <v>TB_QESTNAR_ANSWER</v>
      </c>
      <c r="Z328" s="50" t="str">
        <f t="shared" si="82"/>
        <v>UPDUSR_IP VARCHAR(100),</v>
      </c>
      <c r="AA328" s="50" t="str">
        <f t="shared" si="79"/>
        <v/>
      </c>
      <c r="AB328" s="50" t="str">
        <f t="shared" si="80"/>
        <v/>
      </c>
      <c r="AC328" s="50" t="str">
        <f t="shared" si="91"/>
        <v/>
      </c>
      <c r="AD328" s="50" t="str">
        <f t="shared" si="92"/>
        <v>ALTER TABLE TB_QESTNAR_ANSWER ALTER COLUMN UPDUSR_IP TYPE VARCHAR(100);</v>
      </c>
      <c r="AE328" s="50" t="str">
        <f t="shared" si="93"/>
        <v>ALTER TABLE TB_QESTNAR_ANSWER ADD COLUMN UPDUSR_IP VARCHAR(100);</v>
      </c>
      <c r="AF328" s="50" t="str">
        <f t="shared" si="94"/>
        <v>ALTER TABLE TB_QESTNAR_ANSWER DROP COLUMN UPDUSR_IP;</v>
      </c>
      <c r="AG328" s="50" t="str">
        <f t="shared" si="95"/>
        <v/>
      </c>
      <c r="AH328" s="50" t="str">
        <f t="shared" si="101"/>
        <v>COMMENT ON COLUMN TB_QESTNAR_ANSWER.UPDUSR_IP IS '수정자 IP' ;</v>
      </c>
    </row>
    <row r="329" spans="1:34" ht="20" customHeight="1">
      <c r="A329" s="55">
        <v>325</v>
      </c>
      <c r="B329" s="26" t="s">
        <v>7</v>
      </c>
      <c r="C329" s="26" t="s">
        <v>660</v>
      </c>
      <c r="D329" s="11" t="s">
        <v>717</v>
      </c>
      <c r="E329" s="10" t="s">
        <v>715</v>
      </c>
      <c r="F329" s="92">
        <v>9</v>
      </c>
      <c r="G329" s="103" t="s">
        <v>95</v>
      </c>
      <c r="H329" s="102" t="s">
        <v>81</v>
      </c>
      <c r="I329" s="61"/>
      <c r="J329" s="61"/>
      <c r="K329" s="61"/>
      <c r="L329" s="61"/>
      <c r="M329" s="61"/>
      <c r="N329" s="61"/>
      <c r="O329" s="61"/>
      <c r="P329" s="51" t="s">
        <v>732</v>
      </c>
      <c r="Q329" s="126"/>
      <c r="R329" s="82"/>
      <c r="S329" s="112" t="s">
        <v>214</v>
      </c>
      <c r="T329" s="83"/>
      <c r="U329" s="83"/>
      <c r="V329" s="106"/>
      <c r="W329" s="45"/>
      <c r="X329" s="83"/>
      <c r="Y329" s="129" t="str">
        <f t="shared" si="100"/>
        <v>TB_QESTNAR_ANSWER</v>
      </c>
      <c r="Z329" s="50" t="str">
        <f t="shared" si="82"/>
        <v>UPDT_DT TIMESTAMP,</v>
      </c>
      <c r="AA329" s="50" t="str">
        <f t="shared" si="79"/>
        <v/>
      </c>
      <c r="AB329" s="50" t="str">
        <f t="shared" si="80"/>
        <v/>
      </c>
      <c r="AC329" s="50" t="str">
        <f t="shared" si="91"/>
        <v/>
      </c>
      <c r="AD329" s="50" t="str">
        <f t="shared" si="92"/>
        <v>ALTER TABLE TB_QESTNAR_ANSWER ALTER COLUMN UPDT_DT TYPE TIMESTAMP;</v>
      </c>
      <c r="AE329" s="50" t="str">
        <f t="shared" si="93"/>
        <v>ALTER TABLE TB_QESTNAR_ANSWER ADD COLUMN UPDT_DT TIMESTAMP;</v>
      </c>
      <c r="AF329" s="50" t="str">
        <f t="shared" si="94"/>
        <v>ALTER TABLE TB_QESTNAR_ANSWER DROP COLUMN UPDT_DT;</v>
      </c>
      <c r="AG329" s="50" t="str">
        <f t="shared" si="95"/>
        <v/>
      </c>
      <c r="AH329" s="50" t="str">
        <f t="shared" si="101"/>
        <v>COMMENT ON COLUMN TB_QESTNAR_ANSWER.UPDT_DT IS '수정 일시' ;</v>
      </c>
    </row>
    <row r="330" spans="1:34" ht="20" customHeight="1">
      <c r="A330" s="55">
        <v>326</v>
      </c>
      <c r="B330" s="26" t="s">
        <v>7</v>
      </c>
      <c r="C330" s="26" t="s">
        <v>660</v>
      </c>
      <c r="D330" s="11" t="s">
        <v>717</v>
      </c>
      <c r="E330" s="10" t="s">
        <v>715</v>
      </c>
      <c r="F330" s="92">
        <v>10</v>
      </c>
      <c r="G330" s="102" t="s">
        <v>96</v>
      </c>
      <c r="H330" s="102" t="s">
        <v>82</v>
      </c>
      <c r="I330" s="75" t="s">
        <v>72</v>
      </c>
      <c r="J330" s="61"/>
      <c r="K330" s="61"/>
      <c r="L330" s="61"/>
      <c r="M330" s="61"/>
      <c r="N330" s="61"/>
      <c r="O330" s="61"/>
      <c r="P330" s="51" t="s">
        <v>106</v>
      </c>
      <c r="Q330" s="126" t="s">
        <v>544</v>
      </c>
      <c r="R330" s="87" t="s">
        <v>592</v>
      </c>
      <c r="S330" s="112" t="s">
        <v>213</v>
      </c>
      <c r="T330" s="83"/>
      <c r="U330" s="83"/>
      <c r="V330" s="106"/>
      <c r="W330" s="45"/>
      <c r="X330" s="83"/>
      <c r="Y330" s="129" t="str">
        <f t="shared" si="100"/>
        <v>TB_QESTNAR_ANSWER</v>
      </c>
      <c r="Z330" s="50" t="str">
        <f t="shared" si="82"/>
        <v>DEL_YN VARCHAR(1) NOT NULL,</v>
      </c>
      <c r="AA330" s="50" t="str">
        <f t="shared" si="79"/>
        <v/>
      </c>
      <c r="AB330" s="50" t="str">
        <f t="shared" si="80"/>
        <v/>
      </c>
      <c r="AC330" s="50" t="str">
        <f t="shared" si="91"/>
        <v/>
      </c>
      <c r="AD330" s="50" t="str">
        <f t="shared" si="92"/>
        <v>ALTER TABLE TB_QESTNAR_ANSWER ALTER COLUMN DEL_YN TYPE VARCHAR(1);</v>
      </c>
      <c r="AE330" s="50" t="str">
        <f t="shared" si="93"/>
        <v>ALTER TABLE TB_QESTNAR_ANSWER ADD COLUMN DEL_YN VARCHAR(1) NOT NULL DEFAULT ''N'';</v>
      </c>
      <c r="AF330" s="50" t="str">
        <f t="shared" si="94"/>
        <v>ALTER TABLE TB_QESTNAR_ANSWER DROP COLUMN DEL_YN;</v>
      </c>
      <c r="AG330" s="50" t="str">
        <f t="shared" si="95"/>
        <v>ALTER TABLE TB_QESTNAR_ANSWER ALTER COLUMN DEL_YN SET DEFAULT 'N';</v>
      </c>
      <c r="AH330" s="50" t="str">
        <f t="shared" si="101"/>
        <v>COMMENT ON COLUMN TB_QESTNAR_ANSWER.DEL_YN IS '삭제 여부' ;</v>
      </c>
    </row>
    <row r="331" spans="1:34" ht="20" customHeight="1">
      <c r="A331" s="55">
        <v>327</v>
      </c>
      <c r="B331" s="26" t="s">
        <v>7</v>
      </c>
      <c r="C331" s="26" t="s">
        <v>660</v>
      </c>
      <c r="D331" s="11" t="s">
        <v>720</v>
      </c>
      <c r="E331" s="10" t="s">
        <v>721</v>
      </c>
      <c r="F331" s="92">
        <v>1</v>
      </c>
      <c r="G331" s="102" t="s">
        <v>722</v>
      </c>
      <c r="H331" s="102" t="s">
        <v>723</v>
      </c>
      <c r="I331" s="75" t="s">
        <v>699</v>
      </c>
      <c r="J331" s="69">
        <v>1</v>
      </c>
      <c r="K331" s="69"/>
      <c r="L331" s="69"/>
      <c r="M331" s="69"/>
      <c r="N331" s="69"/>
      <c r="O331" s="69"/>
      <c r="P331" s="62" t="s">
        <v>229</v>
      </c>
      <c r="Q331" s="126"/>
      <c r="R331" s="87"/>
      <c r="S331" s="102" t="s">
        <v>730</v>
      </c>
      <c r="T331" s="132" t="str">
        <f>"SEQ_"&amp;D331&amp;"_SN"</f>
        <v>SEQ_TB_QESTNAR_ANSWER_DETAIL_SN</v>
      </c>
      <c r="U331" s="130"/>
      <c r="V331" s="109"/>
      <c r="W331" s="90"/>
      <c r="X331" s="130"/>
      <c r="Y331" s="129" t="str">
        <f t="shared" si="100"/>
        <v>TB_QESTNAR_ANSWER_DETAIL</v>
      </c>
      <c r="Z331" s="50" t="str">
        <f t="shared" si="82"/>
        <v>QESTNAR_ANSWER_DETAIL_SN INTEGER PRIMARY KEY,</v>
      </c>
      <c r="AA331" s="50" t="str">
        <f t="shared" si="79"/>
        <v/>
      </c>
      <c r="AB331" s="50" t="str">
        <f t="shared" si="80"/>
        <v>CREATE SEQUENCE SEQ_TB_QESTNAR_ANSWER_DETAIL_SN START 100000;</v>
      </c>
      <c r="AC331" s="50" t="str">
        <f t="shared" si="91"/>
        <v>ALTER TABLE TB_QESTNAR_ANSWER_DETAIL ALTER COLUMN QESTNAR_ANSWER_DETAIL_SN SET DEFAULT NEXTVAL('SEQ_TB_QESTNAR_ANSWER_DETAIL_SN');</v>
      </c>
      <c r="AD331" s="50" t="str">
        <f t="shared" si="92"/>
        <v>ALTER TABLE TB_QESTNAR_ANSWER_DETAIL ALTER COLUMN QESTNAR_ANSWER_DETAIL_SN TYPE INTEGER;</v>
      </c>
      <c r="AE331" s="50" t="str">
        <f t="shared" si="93"/>
        <v>ALTER TABLE TB_QESTNAR_ANSWER_DETAIL ADD COLUMN QESTNAR_ANSWER_DETAIL_SN INTEGER NOT NULL;</v>
      </c>
      <c r="AF331" s="50" t="str">
        <f t="shared" si="94"/>
        <v>ALTER TABLE TB_QESTNAR_ANSWER_DETAIL DROP COLUMN QESTNAR_ANSWER_DETAIL_SN;</v>
      </c>
      <c r="AG331" s="50" t="str">
        <f t="shared" si="95"/>
        <v/>
      </c>
      <c r="AH331" s="50" t="str">
        <f t="shared" si="101"/>
        <v>COMMENT ON COLUMN TB_QESTNAR_ANSWER_DETAIL.QESTNAR_ANSWER_DETAIL_SN IS '설문조사 답변 상세 일련번호' ;</v>
      </c>
    </row>
    <row r="332" spans="1:34" ht="20" customHeight="1">
      <c r="A332" s="55">
        <v>328</v>
      </c>
      <c r="B332" s="26" t="s">
        <v>7</v>
      </c>
      <c r="C332" s="26" t="s">
        <v>660</v>
      </c>
      <c r="D332" s="11" t="s">
        <v>720</v>
      </c>
      <c r="E332" s="10" t="s">
        <v>721</v>
      </c>
      <c r="F332" s="92">
        <v>2</v>
      </c>
      <c r="G332" s="102" t="s">
        <v>718</v>
      </c>
      <c r="H332" s="102" t="s">
        <v>716</v>
      </c>
      <c r="I332" s="75" t="s">
        <v>699</v>
      </c>
      <c r="J332" s="69"/>
      <c r="K332" s="69">
        <v>1</v>
      </c>
      <c r="L332" s="11" t="s">
        <v>717</v>
      </c>
      <c r="M332" s="102" t="s">
        <v>718</v>
      </c>
      <c r="N332" s="101" t="s">
        <v>562</v>
      </c>
      <c r="O332" s="101" t="s">
        <v>563</v>
      </c>
      <c r="P332" s="62" t="s">
        <v>229</v>
      </c>
      <c r="Q332" s="126"/>
      <c r="R332" s="87"/>
      <c r="S332" s="102" t="s">
        <v>719</v>
      </c>
      <c r="T332" s="130"/>
      <c r="U332" s="130"/>
      <c r="V332" s="109"/>
      <c r="W332" s="90"/>
      <c r="X332" s="130"/>
      <c r="Y332" s="129" t="str">
        <f t="shared" si="100"/>
        <v>TB_QESTNAR_ANSWER_DETAIL</v>
      </c>
      <c r="Z332" s="50" t="str">
        <f t="shared" si="82"/>
        <v>QESTNAR_ANSWER_SN INTEGER NOT NULL,</v>
      </c>
      <c r="AA332" s="50" t="str">
        <f t="shared" si="79"/>
        <v>ALTER TABLE TB_QESTNAR_ANSWER_DETAIL ADD CONSTRAINT TB_QESTNAR_ANSWER_DETAIL_FKEY1 FOREIGN KEY(QESTNAR_ANSWER_SN) REFERENCES TB_QESTNAR_ANSWER(QESTNAR_ANSWER_SN) ON UPDATE CASCADE ON DELETE SET NULL;</v>
      </c>
      <c r="AB332" s="50" t="str">
        <f t="shared" si="80"/>
        <v/>
      </c>
      <c r="AC332" s="50" t="str">
        <f t="shared" si="91"/>
        <v/>
      </c>
      <c r="AD332" s="50" t="str">
        <f t="shared" si="92"/>
        <v>ALTER TABLE TB_QESTNAR_ANSWER_DETAIL ALTER COLUMN QESTNAR_ANSWER_SN TYPE INTEGER;</v>
      </c>
      <c r="AE332" s="50" t="str">
        <f t="shared" si="93"/>
        <v>ALTER TABLE TB_QESTNAR_ANSWER_DETAIL ADD COLUMN QESTNAR_ANSWER_SN INTEGER NOT NULL;</v>
      </c>
      <c r="AF332" s="50" t="str">
        <f t="shared" si="94"/>
        <v>ALTER TABLE TB_QESTNAR_ANSWER_DETAIL DROP COLUMN QESTNAR_ANSWER_SN;</v>
      </c>
      <c r="AG332" s="50" t="str">
        <f t="shared" si="95"/>
        <v/>
      </c>
      <c r="AH332" s="50" t="str">
        <f t="shared" si="101"/>
        <v>COMMENT ON COLUMN TB_QESTNAR_ANSWER_DETAIL.QESTNAR_ANSWER_SN IS '설문조사 답변 일련번호' ;</v>
      </c>
    </row>
    <row r="333" spans="1:34" ht="20" customHeight="1">
      <c r="A333" s="55">
        <v>329</v>
      </c>
      <c r="B333" s="26" t="s">
        <v>7</v>
      </c>
      <c r="C333" s="26" t="s">
        <v>660</v>
      </c>
      <c r="D333" s="11" t="s">
        <v>720</v>
      </c>
      <c r="E333" s="10" t="s">
        <v>721</v>
      </c>
      <c r="F333" s="92">
        <v>3</v>
      </c>
      <c r="G333" s="102" t="s">
        <v>686</v>
      </c>
      <c r="H333" s="102" t="s">
        <v>684</v>
      </c>
      <c r="I333" s="75" t="s">
        <v>699</v>
      </c>
      <c r="J333" s="69"/>
      <c r="K333" s="69">
        <v>2</v>
      </c>
      <c r="L333" s="11" t="s">
        <v>685</v>
      </c>
      <c r="M333" s="102" t="s">
        <v>686</v>
      </c>
      <c r="N333" s="101" t="s">
        <v>562</v>
      </c>
      <c r="O333" s="101" t="s">
        <v>563</v>
      </c>
      <c r="P333" s="62" t="s">
        <v>229</v>
      </c>
      <c r="Q333" s="126"/>
      <c r="R333" s="87"/>
      <c r="S333" s="102" t="s">
        <v>729</v>
      </c>
      <c r="T333" s="130"/>
      <c r="U333" s="130"/>
      <c r="V333" s="109"/>
      <c r="W333" s="90"/>
      <c r="X333" s="130"/>
      <c r="Y333" s="129" t="str">
        <f t="shared" si="100"/>
        <v>TB_QESTNAR_ANSWER_DETAIL</v>
      </c>
      <c r="Z333" s="50" t="str">
        <f t="shared" si="82"/>
        <v>QESTNAR_QESTN_SN INTEGER NOT NULL,</v>
      </c>
      <c r="AA333" s="50" t="str">
        <f t="shared" si="79"/>
        <v>ALTER TABLE TB_QESTNAR_ANSWER_DETAIL ADD CONSTRAINT TB_QESTNAR_ANSWER_DETAIL_FKEY2 FOREIGN KEY(QESTNAR_QESTN_SN) REFERENCES TB_QESTNAR_QESTN(QESTNAR_QESTN_SN) ON UPDATE CASCADE ON DELETE SET NULL;</v>
      </c>
      <c r="AB333" s="50" t="str">
        <f t="shared" si="80"/>
        <v/>
      </c>
      <c r="AC333" s="50" t="str">
        <f t="shared" si="91"/>
        <v/>
      </c>
      <c r="AD333" s="50" t="str">
        <f t="shared" si="92"/>
        <v>ALTER TABLE TB_QESTNAR_ANSWER_DETAIL ALTER COLUMN QESTNAR_QESTN_SN TYPE INTEGER;</v>
      </c>
      <c r="AE333" s="50" t="str">
        <f t="shared" si="93"/>
        <v>ALTER TABLE TB_QESTNAR_ANSWER_DETAIL ADD COLUMN QESTNAR_QESTN_SN INTEGER NOT NULL;</v>
      </c>
      <c r="AF333" s="50" t="str">
        <f t="shared" si="94"/>
        <v>ALTER TABLE TB_QESTNAR_ANSWER_DETAIL DROP COLUMN QESTNAR_QESTN_SN;</v>
      </c>
      <c r="AG333" s="50" t="str">
        <f t="shared" si="95"/>
        <v/>
      </c>
      <c r="AH333" s="50" t="str">
        <f t="shared" si="101"/>
        <v>COMMENT ON COLUMN TB_QESTNAR_ANSWER_DETAIL.QESTNAR_QESTN_SN IS '설문조사 질문 일련번호' ;</v>
      </c>
    </row>
    <row r="334" spans="1:34" ht="20" customHeight="1">
      <c r="A334" s="55">
        <v>330</v>
      </c>
      <c r="B334" s="26" t="s">
        <v>7</v>
      </c>
      <c r="C334" s="26" t="s">
        <v>660</v>
      </c>
      <c r="D334" s="11" t="s">
        <v>720</v>
      </c>
      <c r="E334" s="10" t="s">
        <v>721</v>
      </c>
      <c r="F334" s="92">
        <v>4</v>
      </c>
      <c r="G334" s="102" t="s">
        <v>724</v>
      </c>
      <c r="H334" s="102" t="s">
        <v>725</v>
      </c>
      <c r="I334" s="75"/>
      <c r="J334" s="69"/>
      <c r="K334" s="69"/>
      <c r="L334" s="69"/>
      <c r="M334" s="69"/>
      <c r="N334" s="69"/>
      <c r="O334" s="69"/>
      <c r="P334" s="62" t="s">
        <v>106</v>
      </c>
      <c r="Q334" s="126" t="s">
        <v>552</v>
      </c>
      <c r="R334" s="87"/>
      <c r="S334" s="102" t="s">
        <v>731</v>
      </c>
      <c r="T334" s="130"/>
      <c r="U334" s="130" t="s">
        <v>727</v>
      </c>
      <c r="V334" s="109"/>
      <c r="W334" s="90"/>
      <c r="X334" s="130"/>
      <c r="Y334" s="129" t="str">
        <f t="shared" si="100"/>
        <v>TB_QESTNAR_ANSWER_DETAIL</v>
      </c>
      <c r="Z334" s="50" t="str">
        <f t="shared" si="82"/>
        <v>QESTNAR_ANSWER VARCHAR(2000),</v>
      </c>
      <c r="AA334" s="50" t="str">
        <f t="shared" si="79"/>
        <v/>
      </c>
      <c r="AB334" s="50" t="str">
        <f t="shared" si="80"/>
        <v/>
      </c>
      <c r="AC334" s="50" t="str">
        <f t="shared" si="91"/>
        <v/>
      </c>
      <c r="AD334" s="50" t="str">
        <f t="shared" si="92"/>
        <v>ALTER TABLE TB_QESTNAR_ANSWER_DETAIL ALTER COLUMN QESTNAR_ANSWER TYPE VARCHAR(2000);</v>
      </c>
      <c r="AE334" s="50" t="str">
        <f t="shared" si="93"/>
        <v>ALTER TABLE TB_QESTNAR_ANSWER_DETAIL ADD COLUMN QESTNAR_ANSWER VARCHAR(2000);</v>
      </c>
      <c r="AF334" s="50" t="str">
        <f t="shared" si="94"/>
        <v>ALTER TABLE TB_QESTNAR_ANSWER_DETAIL DROP COLUMN QESTNAR_ANSWER;</v>
      </c>
      <c r="AG334" s="50" t="str">
        <f t="shared" si="95"/>
        <v/>
      </c>
      <c r="AH334" s="50" t="str">
        <f t="shared" si="101"/>
        <v>COMMENT ON COLUMN TB_QESTNAR_ANSWER_DETAIL.QESTNAR_ANSWER IS '설문조사 답변' ;</v>
      </c>
    </row>
    <row r="335" spans="1:34" ht="20" customHeight="1">
      <c r="A335" s="55">
        <v>331</v>
      </c>
      <c r="B335" s="26" t="s">
        <v>7</v>
      </c>
      <c r="C335" s="26" t="s">
        <v>660</v>
      </c>
      <c r="D335" s="11" t="s">
        <v>720</v>
      </c>
      <c r="E335" s="10" t="s">
        <v>721</v>
      </c>
      <c r="F335" s="92">
        <v>5</v>
      </c>
      <c r="G335" s="102" t="s">
        <v>703</v>
      </c>
      <c r="H335" s="102" t="s">
        <v>707</v>
      </c>
      <c r="I335" s="75"/>
      <c r="J335" s="69"/>
      <c r="K335" s="69">
        <v>3</v>
      </c>
      <c r="L335" s="11" t="s">
        <v>702</v>
      </c>
      <c r="M335" s="102" t="s">
        <v>703</v>
      </c>
      <c r="N335" s="101" t="s">
        <v>562</v>
      </c>
      <c r="O335" s="101" t="s">
        <v>563</v>
      </c>
      <c r="P335" s="106" t="s">
        <v>172</v>
      </c>
      <c r="Q335" s="88"/>
      <c r="R335" s="86"/>
      <c r="S335" s="102" t="s">
        <v>711</v>
      </c>
      <c r="T335" s="130"/>
      <c r="U335" s="130" t="s">
        <v>726</v>
      </c>
      <c r="V335" s="109"/>
      <c r="W335" s="90"/>
      <c r="X335" s="130"/>
      <c r="Y335" s="129" t="str">
        <f t="shared" ref="Y335" si="102">D335</f>
        <v>TB_QESTNAR_ANSWER_DETAIL</v>
      </c>
      <c r="Z335" s="50" t="str">
        <f t="shared" si="82"/>
        <v>QESTNAR_QESTN_DETAIL_SN INTEGER,</v>
      </c>
      <c r="AA335" s="50" t="str">
        <f t="shared" si="79"/>
        <v>ALTER TABLE TB_QESTNAR_ANSWER_DETAIL ADD CONSTRAINT TB_QESTNAR_ANSWER_DETAIL_FKEY3 FOREIGN KEY(QESTNAR_QESTN_DETAIL_SN) REFERENCES TB_QESTNAR_QESTN_DETAIL(QESTNAR_QESTN_DETAIL_SN) ON UPDATE CASCADE ON DELETE SET NULL;</v>
      </c>
      <c r="AB335" s="50" t="str">
        <f t="shared" si="80"/>
        <v/>
      </c>
      <c r="AC335" s="50" t="str">
        <f t="shared" si="91"/>
        <v/>
      </c>
      <c r="AD335" s="50" t="str">
        <f t="shared" si="92"/>
        <v>ALTER TABLE TB_QESTNAR_ANSWER_DETAIL ALTER COLUMN QESTNAR_QESTN_DETAIL_SN TYPE INTEGER;</v>
      </c>
      <c r="AE335" s="50" t="str">
        <f t="shared" si="93"/>
        <v>ALTER TABLE TB_QESTNAR_ANSWER_DETAIL ADD COLUMN QESTNAR_QESTN_DETAIL_SN INTEGER;</v>
      </c>
      <c r="AF335" s="50" t="str">
        <f t="shared" si="94"/>
        <v>ALTER TABLE TB_QESTNAR_ANSWER_DETAIL DROP COLUMN QESTNAR_QESTN_DETAIL_SN;</v>
      </c>
      <c r="AG335" s="50" t="str">
        <f t="shared" si="95"/>
        <v/>
      </c>
      <c r="AH335" s="50" t="str">
        <f t="shared" ref="AH335" si="103">"COMMENT ON COLUMN "&amp;D335&amp;"."&amp;G335&amp;" IS '"&amp;S335&amp;"' ;"</f>
        <v>COMMENT ON COLUMN TB_QESTNAR_ANSWER_DETAIL.QESTNAR_QESTN_DETAIL_SN IS '설문조사 질문 상세 일련번호' ;</v>
      </c>
    </row>
    <row r="336" spans="1:34" ht="20" customHeight="1">
      <c r="A336" s="55">
        <v>332</v>
      </c>
      <c r="B336" s="26" t="s">
        <v>7</v>
      </c>
      <c r="C336" s="26" t="s">
        <v>660</v>
      </c>
      <c r="D336" s="11" t="s">
        <v>720</v>
      </c>
      <c r="E336" s="10" t="s">
        <v>721</v>
      </c>
      <c r="F336" s="92">
        <v>6</v>
      </c>
      <c r="G336" s="109" t="s">
        <v>514</v>
      </c>
      <c r="H336" s="109" t="s">
        <v>513</v>
      </c>
      <c r="I336" s="90"/>
      <c r="J336" s="90"/>
      <c r="K336" s="90">
        <v>4</v>
      </c>
      <c r="L336" s="10" t="s">
        <v>371</v>
      </c>
      <c r="M336" s="101" t="s">
        <v>372</v>
      </c>
      <c r="N336" s="101" t="s">
        <v>562</v>
      </c>
      <c r="O336" s="101" t="s">
        <v>563</v>
      </c>
      <c r="P336" s="109" t="s">
        <v>229</v>
      </c>
      <c r="Q336" s="92"/>
      <c r="R336" s="90"/>
      <c r="S336" s="109" t="s">
        <v>532</v>
      </c>
      <c r="T336" s="130"/>
      <c r="U336" s="130" t="s">
        <v>728</v>
      </c>
      <c r="V336" s="109" t="s">
        <v>591</v>
      </c>
      <c r="W336" s="90"/>
      <c r="X336" s="130"/>
      <c r="Y336" s="129" t="str">
        <f t="shared" si="100"/>
        <v>TB_QESTNAR_ANSWER_DETAIL</v>
      </c>
      <c r="Z336" s="50" t="str">
        <f t="shared" si="82"/>
        <v>ATCH_FILE_SN INTEGER,</v>
      </c>
      <c r="AA336" s="50" t="str">
        <f t="shared" si="79"/>
        <v>ALTER TABLE TB_QESTNAR_ANSWER_DETAIL ADD CONSTRAINT TB_QESTNAR_ANSWER_DETAIL_FKEY4 FOREIGN KEY(ATCH_FILE_SN) REFERENCES TB_ATCH_FILE(ATCH_FILE_SN) ON UPDATE CASCADE ON DELETE SET NULL;</v>
      </c>
      <c r="AB336" s="50" t="str">
        <f t="shared" si="80"/>
        <v/>
      </c>
      <c r="AC336" s="50" t="str">
        <f t="shared" si="91"/>
        <v/>
      </c>
      <c r="AD336" s="50" t="str">
        <f t="shared" si="92"/>
        <v>ALTER TABLE TB_QESTNAR_ANSWER_DETAIL ALTER COLUMN ATCH_FILE_SN TYPE INTEGER;</v>
      </c>
      <c r="AE336" s="50" t="str">
        <f t="shared" si="93"/>
        <v>ALTER TABLE TB_QESTNAR_ANSWER_DETAIL ADD COLUMN ATCH_FILE_SN INTEGER;</v>
      </c>
      <c r="AF336" s="50" t="str">
        <f t="shared" si="94"/>
        <v>ALTER TABLE TB_QESTNAR_ANSWER_DETAIL DROP COLUMN ATCH_FILE_SN;</v>
      </c>
      <c r="AG336" s="50" t="str">
        <f t="shared" si="95"/>
        <v/>
      </c>
      <c r="AH336" s="50" t="str">
        <f t="shared" si="101"/>
        <v>COMMENT ON COLUMN TB_QESTNAR_ANSWER_DETAIL.ATCH_FILE_SN IS '첨부 파일 일련번호' ;</v>
      </c>
    </row>
    <row r="337" spans="1:34" ht="20" customHeight="1">
      <c r="A337" s="55">
        <v>333</v>
      </c>
      <c r="B337" s="26" t="s">
        <v>7</v>
      </c>
      <c r="C337" s="26" t="s">
        <v>660</v>
      </c>
      <c r="D337" s="11" t="s">
        <v>720</v>
      </c>
      <c r="E337" s="10" t="s">
        <v>721</v>
      </c>
      <c r="F337" s="92">
        <v>7</v>
      </c>
      <c r="G337" s="102" t="s">
        <v>107</v>
      </c>
      <c r="H337" s="51" t="s">
        <v>76</v>
      </c>
      <c r="I337" s="75" t="s">
        <v>72</v>
      </c>
      <c r="J337" s="67"/>
      <c r="K337" s="67"/>
      <c r="L337" s="82"/>
      <c r="M337" s="82"/>
      <c r="N337" s="82"/>
      <c r="O337" s="82"/>
      <c r="P337" s="105" t="s">
        <v>543</v>
      </c>
      <c r="Q337" s="126" t="s">
        <v>548</v>
      </c>
      <c r="R337" s="85"/>
      <c r="S337" s="112" t="s">
        <v>219</v>
      </c>
      <c r="T337" s="83"/>
      <c r="U337" s="83"/>
      <c r="V337" s="123" t="s">
        <v>518</v>
      </c>
      <c r="W337" s="45"/>
      <c r="X337" s="83"/>
      <c r="Y337" s="129" t="str">
        <f t="shared" si="100"/>
        <v>TB_QESTNAR_ANSWER_DETAIL</v>
      </c>
      <c r="Z337" s="50" t="str">
        <f t="shared" si="82"/>
        <v>REGISTER_ID VARCHAR(50) NOT NULL,</v>
      </c>
      <c r="AA337" s="50" t="str">
        <f t="shared" si="79"/>
        <v/>
      </c>
      <c r="AB337" s="50" t="str">
        <f t="shared" si="80"/>
        <v/>
      </c>
      <c r="AC337" s="50" t="str">
        <f t="shared" si="91"/>
        <v/>
      </c>
      <c r="AD337" s="50" t="str">
        <f t="shared" si="92"/>
        <v>ALTER TABLE TB_QESTNAR_ANSWER_DETAIL ALTER COLUMN REGISTER_ID TYPE VARCHAR(50);</v>
      </c>
      <c r="AE337" s="50" t="str">
        <f t="shared" si="93"/>
        <v>ALTER TABLE TB_QESTNAR_ANSWER_DETAIL ADD COLUMN REGISTER_ID VARCHAR(50) NOT NULL;</v>
      </c>
      <c r="AF337" s="50" t="str">
        <f t="shared" si="94"/>
        <v>ALTER TABLE TB_QESTNAR_ANSWER_DETAIL DROP COLUMN REGISTER_ID;</v>
      </c>
      <c r="AG337" s="50" t="str">
        <f t="shared" si="95"/>
        <v/>
      </c>
      <c r="AH337" s="50" t="str">
        <f t="shared" si="101"/>
        <v>COMMENT ON COLUMN TB_QESTNAR_ANSWER_DETAIL.REGISTER_ID IS '등록자 ID' ;</v>
      </c>
    </row>
    <row r="338" spans="1:34" ht="20" customHeight="1">
      <c r="A338" s="55">
        <v>334</v>
      </c>
      <c r="B338" s="26" t="s">
        <v>7</v>
      </c>
      <c r="C338" s="26" t="s">
        <v>660</v>
      </c>
      <c r="D338" s="11" t="s">
        <v>720</v>
      </c>
      <c r="E338" s="10" t="s">
        <v>721</v>
      </c>
      <c r="F338" s="92">
        <v>8</v>
      </c>
      <c r="G338" s="102" t="s">
        <v>91</v>
      </c>
      <c r="H338" s="51" t="s">
        <v>77</v>
      </c>
      <c r="I338" s="75" t="s">
        <v>72</v>
      </c>
      <c r="J338" s="52"/>
      <c r="K338" s="52"/>
      <c r="L338" s="52"/>
      <c r="M338" s="52"/>
      <c r="N338" s="52"/>
      <c r="O338" s="52"/>
      <c r="P338" s="56" t="s">
        <v>106</v>
      </c>
      <c r="Q338" s="126" t="s">
        <v>549</v>
      </c>
      <c r="R338" s="85"/>
      <c r="S338" s="112" t="s">
        <v>218</v>
      </c>
      <c r="T338" s="83"/>
      <c r="U338" s="83"/>
      <c r="V338" s="106"/>
      <c r="W338" s="45"/>
      <c r="X338" s="83"/>
      <c r="Y338" s="129" t="str">
        <f t="shared" si="100"/>
        <v>TB_QESTNAR_ANSWER_DETAIL</v>
      </c>
      <c r="Z338" s="50" t="str">
        <f t="shared" si="82"/>
        <v>REGISTER_IP VARCHAR(100) NOT NULL,</v>
      </c>
      <c r="AA338" s="50" t="str">
        <f t="shared" si="79"/>
        <v/>
      </c>
      <c r="AB338" s="50" t="str">
        <f t="shared" si="80"/>
        <v/>
      </c>
      <c r="AC338" s="50" t="str">
        <f t="shared" si="91"/>
        <v/>
      </c>
      <c r="AD338" s="50" t="str">
        <f t="shared" si="92"/>
        <v>ALTER TABLE TB_QESTNAR_ANSWER_DETAIL ALTER COLUMN REGISTER_IP TYPE VARCHAR(100);</v>
      </c>
      <c r="AE338" s="50" t="str">
        <f t="shared" si="93"/>
        <v>ALTER TABLE TB_QESTNAR_ANSWER_DETAIL ADD COLUMN REGISTER_IP VARCHAR(100) NOT NULL;</v>
      </c>
      <c r="AF338" s="50" t="str">
        <f t="shared" si="94"/>
        <v>ALTER TABLE TB_QESTNAR_ANSWER_DETAIL DROP COLUMN REGISTER_IP;</v>
      </c>
      <c r="AG338" s="50" t="str">
        <f t="shared" si="95"/>
        <v/>
      </c>
      <c r="AH338" s="50" t="str">
        <f t="shared" si="101"/>
        <v>COMMENT ON COLUMN TB_QESTNAR_ANSWER_DETAIL.REGISTER_IP IS '등록자 IP' ;</v>
      </c>
    </row>
    <row r="339" spans="1:34" ht="20" customHeight="1">
      <c r="A339" s="55">
        <v>335</v>
      </c>
      <c r="B339" s="26" t="s">
        <v>7</v>
      </c>
      <c r="C339" s="26" t="s">
        <v>660</v>
      </c>
      <c r="D339" s="11" t="s">
        <v>720</v>
      </c>
      <c r="E339" s="10" t="s">
        <v>721</v>
      </c>
      <c r="F339" s="92">
        <v>9</v>
      </c>
      <c r="G339" s="102" t="s">
        <v>92</v>
      </c>
      <c r="H339" s="101" t="s">
        <v>78</v>
      </c>
      <c r="I339" s="75" t="s">
        <v>72</v>
      </c>
      <c r="J339" s="52"/>
      <c r="K339" s="52"/>
      <c r="L339" s="52"/>
      <c r="M339" s="52"/>
      <c r="N339" s="52"/>
      <c r="O339" s="52"/>
      <c r="P339" s="51" t="s">
        <v>732</v>
      </c>
      <c r="Q339" s="126"/>
      <c r="R339" s="85"/>
      <c r="S339" s="112" t="s">
        <v>217</v>
      </c>
      <c r="T339" s="83"/>
      <c r="U339" s="83"/>
      <c r="V339" s="106"/>
      <c r="W339" s="45"/>
      <c r="X339" s="83"/>
      <c r="Y339" s="129" t="str">
        <f t="shared" si="100"/>
        <v>TB_QESTNAR_ANSWER_DETAIL</v>
      </c>
      <c r="Z339" s="50" t="str">
        <f t="shared" si="82"/>
        <v>REG_DT TIMESTAMP NOT NULL,</v>
      </c>
      <c r="AA339" s="50" t="str">
        <f t="shared" si="79"/>
        <v/>
      </c>
      <c r="AB339" s="50" t="str">
        <f t="shared" si="80"/>
        <v/>
      </c>
      <c r="AC339" s="50" t="str">
        <f t="shared" ref="AC339:AC403" si="104">IF(ISBLANK(T339),"","ALTER TABLE "&amp;D339&amp;" ALTER COLUMN "&amp;G339&amp;" SET DEFAULT NEXTVAL('"&amp;T339&amp;"');")</f>
        <v/>
      </c>
      <c r="AD339" s="50" t="str">
        <f t="shared" si="92"/>
        <v>ALTER TABLE TB_QESTNAR_ANSWER_DETAIL ALTER COLUMN REG_DT TYPE TIMESTAMP;</v>
      </c>
      <c r="AE339" s="50" t="str">
        <f t="shared" si="93"/>
        <v>ALTER TABLE TB_QESTNAR_ANSWER_DETAIL ADD COLUMN REG_DT TIMESTAMP NOT NULL;</v>
      </c>
      <c r="AF339" s="50" t="str">
        <f t="shared" si="94"/>
        <v>ALTER TABLE TB_QESTNAR_ANSWER_DETAIL DROP COLUMN REG_DT;</v>
      </c>
      <c r="AG339" s="50" t="str">
        <f t="shared" si="95"/>
        <v/>
      </c>
      <c r="AH339" s="50" t="str">
        <f t="shared" si="101"/>
        <v>COMMENT ON COLUMN TB_QESTNAR_ANSWER_DETAIL.REG_DT IS '등록 일시' ;</v>
      </c>
    </row>
    <row r="340" spans="1:34" ht="20" customHeight="1">
      <c r="A340" s="55">
        <v>336</v>
      </c>
      <c r="B340" s="26" t="s">
        <v>7</v>
      </c>
      <c r="C340" s="26" t="s">
        <v>660</v>
      </c>
      <c r="D340" s="11" t="s">
        <v>720</v>
      </c>
      <c r="E340" s="10" t="s">
        <v>721</v>
      </c>
      <c r="F340" s="92">
        <v>10</v>
      </c>
      <c r="G340" s="102" t="s">
        <v>93</v>
      </c>
      <c r="H340" s="101" t="s">
        <v>80</v>
      </c>
      <c r="I340" s="52"/>
      <c r="J340" s="52"/>
      <c r="K340" s="52"/>
      <c r="L340" s="84"/>
      <c r="M340" s="84"/>
      <c r="N340" s="84"/>
      <c r="O340" s="84"/>
      <c r="P340" s="105" t="s">
        <v>543</v>
      </c>
      <c r="Q340" s="126" t="s">
        <v>548</v>
      </c>
      <c r="R340" s="85"/>
      <c r="S340" s="112" t="s">
        <v>216</v>
      </c>
      <c r="T340" s="83"/>
      <c r="U340" s="83"/>
      <c r="V340" s="123" t="s">
        <v>518</v>
      </c>
      <c r="W340" s="45"/>
      <c r="X340" s="83"/>
      <c r="Y340" s="129" t="str">
        <f t="shared" si="100"/>
        <v>TB_QESTNAR_ANSWER_DETAIL</v>
      </c>
      <c r="Z340" s="50" t="str">
        <f t="shared" ref="Z340:Z404" si="105">G340&amp;" "&amp;P340&amp;Q340&amp;IF(ISBLANK(J340),""," PRIMARY KEY")&amp;IF(AND(ISBLANK(J340),I340="Y")," NOT NULL","")&amp;","</f>
        <v>UPDUSR_ID VARCHAR(50),</v>
      </c>
      <c r="AA340" s="50" t="str">
        <f t="shared" si="79"/>
        <v/>
      </c>
      <c r="AB340" s="50" t="str">
        <f t="shared" si="80"/>
        <v/>
      </c>
      <c r="AC340" s="50" t="str">
        <f t="shared" si="104"/>
        <v/>
      </c>
      <c r="AD340" s="50" t="str">
        <f t="shared" si="92"/>
        <v>ALTER TABLE TB_QESTNAR_ANSWER_DETAIL ALTER COLUMN UPDUSR_ID TYPE VARCHAR(50);</v>
      </c>
      <c r="AE340" s="50" t="str">
        <f t="shared" si="93"/>
        <v>ALTER TABLE TB_QESTNAR_ANSWER_DETAIL ADD COLUMN UPDUSR_ID VARCHAR(50);</v>
      </c>
      <c r="AF340" s="50" t="str">
        <f t="shared" si="94"/>
        <v>ALTER TABLE TB_QESTNAR_ANSWER_DETAIL DROP COLUMN UPDUSR_ID;</v>
      </c>
      <c r="AG340" s="50" t="str">
        <f t="shared" si="95"/>
        <v/>
      </c>
      <c r="AH340" s="50" t="str">
        <f t="shared" si="101"/>
        <v>COMMENT ON COLUMN TB_QESTNAR_ANSWER_DETAIL.UPDUSR_ID IS '수정자 ID' ;</v>
      </c>
    </row>
    <row r="341" spans="1:34" ht="20" customHeight="1">
      <c r="A341" s="55">
        <v>337</v>
      </c>
      <c r="B341" s="26" t="s">
        <v>7</v>
      </c>
      <c r="C341" s="26" t="s">
        <v>660</v>
      </c>
      <c r="D341" s="11" t="s">
        <v>720</v>
      </c>
      <c r="E341" s="10" t="s">
        <v>721</v>
      </c>
      <c r="F341" s="92">
        <v>11</v>
      </c>
      <c r="G341" s="102" t="s">
        <v>94</v>
      </c>
      <c r="H341" s="101" t="s">
        <v>79</v>
      </c>
      <c r="I341" s="52"/>
      <c r="J341" s="52"/>
      <c r="K341" s="52"/>
      <c r="L341" s="52"/>
      <c r="M341" s="52"/>
      <c r="N341" s="52"/>
      <c r="O341" s="52"/>
      <c r="P341" s="56" t="s">
        <v>106</v>
      </c>
      <c r="Q341" s="126" t="s">
        <v>549</v>
      </c>
      <c r="R341" s="85"/>
      <c r="S341" s="112" t="s">
        <v>215</v>
      </c>
      <c r="T341" s="83"/>
      <c r="U341" s="83"/>
      <c r="V341" s="106"/>
      <c r="W341" s="45"/>
      <c r="X341" s="83"/>
      <c r="Y341" s="129" t="str">
        <f t="shared" si="100"/>
        <v>TB_QESTNAR_ANSWER_DETAIL</v>
      </c>
      <c r="Z341" s="50" t="str">
        <f t="shared" si="105"/>
        <v>UPDUSR_IP VARCHAR(100),</v>
      </c>
      <c r="AA341" s="50" t="str">
        <f t="shared" si="79"/>
        <v/>
      </c>
      <c r="AB341" s="50" t="str">
        <f t="shared" si="80"/>
        <v/>
      </c>
      <c r="AC341" s="50" t="str">
        <f t="shared" si="104"/>
        <v/>
      </c>
      <c r="AD341" s="50" t="str">
        <f t="shared" si="92"/>
        <v>ALTER TABLE TB_QESTNAR_ANSWER_DETAIL ALTER COLUMN UPDUSR_IP TYPE VARCHAR(100);</v>
      </c>
      <c r="AE341" s="50" t="str">
        <f t="shared" si="93"/>
        <v>ALTER TABLE TB_QESTNAR_ANSWER_DETAIL ADD COLUMN UPDUSR_IP VARCHAR(100);</v>
      </c>
      <c r="AF341" s="50" t="str">
        <f t="shared" si="94"/>
        <v>ALTER TABLE TB_QESTNAR_ANSWER_DETAIL DROP COLUMN UPDUSR_IP;</v>
      </c>
      <c r="AG341" s="50" t="str">
        <f t="shared" si="95"/>
        <v/>
      </c>
      <c r="AH341" s="50" t="str">
        <f t="shared" si="101"/>
        <v>COMMENT ON COLUMN TB_QESTNAR_ANSWER_DETAIL.UPDUSR_IP IS '수정자 IP' ;</v>
      </c>
    </row>
    <row r="342" spans="1:34" ht="20" customHeight="1">
      <c r="A342" s="55">
        <v>338</v>
      </c>
      <c r="B342" s="26" t="s">
        <v>7</v>
      </c>
      <c r="C342" s="26" t="s">
        <v>660</v>
      </c>
      <c r="D342" s="11" t="s">
        <v>720</v>
      </c>
      <c r="E342" s="10" t="s">
        <v>721</v>
      </c>
      <c r="F342" s="92">
        <v>12</v>
      </c>
      <c r="G342" s="103" t="s">
        <v>95</v>
      </c>
      <c r="H342" s="102" t="s">
        <v>81</v>
      </c>
      <c r="I342" s="61"/>
      <c r="J342" s="61"/>
      <c r="K342" s="61"/>
      <c r="L342" s="61"/>
      <c r="M342" s="61"/>
      <c r="N342" s="61"/>
      <c r="O342" s="61"/>
      <c r="P342" s="51" t="s">
        <v>732</v>
      </c>
      <c r="Q342" s="126"/>
      <c r="R342" s="82"/>
      <c r="S342" s="112" t="s">
        <v>214</v>
      </c>
      <c r="T342" s="83"/>
      <c r="U342" s="83"/>
      <c r="V342" s="106"/>
      <c r="W342" s="45"/>
      <c r="X342" s="83"/>
      <c r="Y342" s="129" t="str">
        <f t="shared" si="100"/>
        <v>TB_QESTNAR_ANSWER_DETAIL</v>
      </c>
      <c r="Z342" s="50" t="str">
        <f t="shared" si="105"/>
        <v>UPDT_DT TIMESTAMP,</v>
      </c>
      <c r="AA342" s="50" t="str">
        <f t="shared" si="79"/>
        <v/>
      </c>
      <c r="AB342" s="50" t="str">
        <f t="shared" si="80"/>
        <v/>
      </c>
      <c r="AC342" s="50" t="str">
        <f t="shared" si="104"/>
        <v/>
      </c>
      <c r="AD342" s="50" t="str">
        <f t="shared" si="92"/>
        <v>ALTER TABLE TB_QESTNAR_ANSWER_DETAIL ALTER COLUMN UPDT_DT TYPE TIMESTAMP;</v>
      </c>
      <c r="AE342" s="50" t="str">
        <f t="shared" si="93"/>
        <v>ALTER TABLE TB_QESTNAR_ANSWER_DETAIL ADD COLUMN UPDT_DT TIMESTAMP;</v>
      </c>
      <c r="AF342" s="50" t="str">
        <f t="shared" si="94"/>
        <v>ALTER TABLE TB_QESTNAR_ANSWER_DETAIL DROP COLUMN UPDT_DT;</v>
      </c>
      <c r="AG342" s="50" t="str">
        <f t="shared" si="95"/>
        <v/>
      </c>
      <c r="AH342" s="50" t="str">
        <f t="shared" si="101"/>
        <v>COMMENT ON COLUMN TB_QESTNAR_ANSWER_DETAIL.UPDT_DT IS '수정 일시' ;</v>
      </c>
    </row>
    <row r="343" spans="1:34" ht="20" customHeight="1">
      <c r="A343" s="55">
        <v>339</v>
      </c>
      <c r="B343" s="26" t="s">
        <v>7</v>
      </c>
      <c r="C343" s="26" t="s">
        <v>660</v>
      </c>
      <c r="D343" s="11" t="s">
        <v>720</v>
      </c>
      <c r="E343" s="10" t="s">
        <v>721</v>
      </c>
      <c r="F343" s="92">
        <v>13</v>
      </c>
      <c r="G343" s="102" t="s">
        <v>96</v>
      </c>
      <c r="H343" s="102" t="s">
        <v>82</v>
      </c>
      <c r="I343" s="75" t="s">
        <v>72</v>
      </c>
      <c r="J343" s="61"/>
      <c r="K343" s="61"/>
      <c r="L343" s="61"/>
      <c r="M343" s="61"/>
      <c r="N343" s="61"/>
      <c r="O343" s="61"/>
      <c r="P343" s="51" t="s">
        <v>106</v>
      </c>
      <c r="Q343" s="126" t="s">
        <v>544</v>
      </c>
      <c r="R343" s="87" t="s">
        <v>592</v>
      </c>
      <c r="S343" s="112" t="s">
        <v>213</v>
      </c>
      <c r="T343" s="83"/>
      <c r="U343" s="83"/>
      <c r="V343" s="106"/>
      <c r="W343" s="45"/>
      <c r="X343" s="83"/>
      <c r="Y343" s="129" t="str">
        <f t="shared" si="100"/>
        <v>TB_QESTNAR_ANSWER_DETAIL</v>
      </c>
      <c r="Z343" s="50" t="str">
        <f t="shared" si="105"/>
        <v>DEL_YN VARCHAR(1) NOT NULL,</v>
      </c>
      <c r="AA343" s="50" t="str">
        <f t="shared" si="79"/>
        <v/>
      </c>
      <c r="AB343" s="50" t="str">
        <f t="shared" si="80"/>
        <v/>
      </c>
      <c r="AC343" s="50" t="str">
        <f t="shared" si="104"/>
        <v/>
      </c>
      <c r="AD343" s="50" t="str">
        <f t="shared" si="92"/>
        <v>ALTER TABLE TB_QESTNAR_ANSWER_DETAIL ALTER COLUMN DEL_YN TYPE VARCHAR(1);</v>
      </c>
      <c r="AE343" s="50" t="str">
        <f t="shared" si="93"/>
        <v>ALTER TABLE TB_QESTNAR_ANSWER_DETAIL ADD COLUMN DEL_YN VARCHAR(1) NOT NULL DEFAULT ''N'';</v>
      </c>
      <c r="AF343" s="50" t="str">
        <f t="shared" si="94"/>
        <v>ALTER TABLE TB_QESTNAR_ANSWER_DETAIL DROP COLUMN DEL_YN;</v>
      </c>
      <c r="AG343" s="50" t="str">
        <f t="shared" si="95"/>
        <v>ALTER TABLE TB_QESTNAR_ANSWER_DETAIL ALTER COLUMN DEL_YN SET DEFAULT 'N';</v>
      </c>
      <c r="AH343" s="50" t="str">
        <f t="shared" si="101"/>
        <v>COMMENT ON COLUMN TB_QESTNAR_ANSWER_DETAIL.DEL_YN IS '삭제 여부' ;</v>
      </c>
    </row>
    <row r="344" spans="1:34" ht="20" customHeight="1">
      <c r="A344" s="55">
        <v>340</v>
      </c>
      <c r="B344" s="26" t="s">
        <v>7</v>
      </c>
      <c r="C344" s="26" t="s">
        <v>19</v>
      </c>
      <c r="D344" s="10" t="s">
        <v>371</v>
      </c>
      <c r="E344" s="10" t="s">
        <v>118</v>
      </c>
      <c r="F344" s="92">
        <v>1</v>
      </c>
      <c r="G344" s="109" t="s">
        <v>372</v>
      </c>
      <c r="H344" s="109" t="s">
        <v>374</v>
      </c>
      <c r="I344" s="90" t="s">
        <v>357</v>
      </c>
      <c r="J344" s="90">
        <v>1</v>
      </c>
      <c r="K344" s="90"/>
      <c r="L344" s="10"/>
      <c r="M344" s="101"/>
      <c r="N344" s="101"/>
      <c r="O344" s="101"/>
      <c r="P344" s="51" t="s">
        <v>229</v>
      </c>
      <c r="Q344" s="124"/>
      <c r="R344" s="90"/>
      <c r="S344" s="109" t="s">
        <v>376</v>
      </c>
      <c r="T344" s="132" t="str">
        <f>"SEQ_"&amp;D344&amp;"_SN"</f>
        <v>SEQ_TB_ATCH_FILE_SN</v>
      </c>
      <c r="U344" s="132"/>
      <c r="V344" s="109"/>
      <c r="W344" s="90"/>
      <c r="X344" s="130"/>
      <c r="Y344" s="129" t="str">
        <f t="shared" si="78"/>
        <v>TB_ATCH_FILE</v>
      </c>
      <c r="Z344" s="50" t="str">
        <f t="shared" si="105"/>
        <v>ATCH_FILE_SN INTEGER PRIMARY KEY,</v>
      </c>
      <c r="AA344" s="50" t="str">
        <f t="shared" si="79"/>
        <v/>
      </c>
      <c r="AB344" s="50" t="str">
        <f t="shared" si="80"/>
        <v>CREATE SEQUENCE SEQ_TB_ATCH_FILE_SN START 100000;</v>
      </c>
      <c r="AC344" s="50" t="str">
        <f t="shared" si="104"/>
        <v>ALTER TABLE TB_ATCH_FILE ALTER COLUMN ATCH_FILE_SN SET DEFAULT NEXTVAL('SEQ_TB_ATCH_FILE_SN');</v>
      </c>
      <c r="AD344" s="50" t="str">
        <f t="shared" si="92"/>
        <v>ALTER TABLE TB_ATCH_FILE ALTER COLUMN ATCH_FILE_SN TYPE INTEGER;</v>
      </c>
      <c r="AE344" s="50" t="str">
        <f t="shared" si="93"/>
        <v>ALTER TABLE TB_ATCH_FILE ADD COLUMN ATCH_FILE_SN INTEGER NOT NULL;</v>
      </c>
      <c r="AF344" s="50" t="str">
        <f t="shared" si="94"/>
        <v>ALTER TABLE TB_ATCH_FILE DROP COLUMN ATCH_FILE_SN;</v>
      </c>
      <c r="AG344" s="50" t="str">
        <f t="shared" si="95"/>
        <v/>
      </c>
      <c r="AH344" s="50" t="str">
        <f t="shared" si="81"/>
        <v>COMMENT ON COLUMN TB_ATCH_FILE.ATCH_FILE_SN IS '첨부 파일 일련번호' ;</v>
      </c>
    </row>
    <row r="345" spans="1:34" ht="20" customHeight="1">
      <c r="A345" s="55">
        <v>341</v>
      </c>
      <c r="B345" s="26" t="s">
        <v>7</v>
      </c>
      <c r="C345" s="26" t="s">
        <v>19</v>
      </c>
      <c r="D345" s="10" t="s">
        <v>371</v>
      </c>
      <c r="E345" s="10" t="s">
        <v>118</v>
      </c>
      <c r="F345" s="92">
        <v>2</v>
      </c>
      <c r="G345" s="102" t="s">
        <v>92</v>
      </c>
      <c r="H345" s="101" t="s">
        <v>78</v>
      </c>
      <c r="I345" s="75" t="s">
        <v>72</v>
      </c>
      <c r="J345" s="90"/>
      <c r="K345" s="90"/>
      <c r="L345" s="90"/>
      <c r="M345" s="90"/>
      <c r="N345" s="90"/>
      <c r="O345" s="90"/>
      <c r="P345" s="51" t="s">
        <v>732</v>
      </c>
      <c r="Q345" s="126"/>
      <c r="R345" s="85"/>
      <c r="S345" s="112" t="s">
        <v>217</v>
      </c>
      <c r="T345" s="130"/>
      <c r="U345" s="130"/>
      <c r="V345" s="109"/>
      <c r="W345" s="90"/>
      <c r="X345" s="130"/>
      <c r="Y345" s="129" t="str">
        <f t="shared" si="78"/>
        <v>TB_ATCH_FILE</v>
      </c>
      <c r="Z345" s="50" t="str">
        <f t="shared" si="105"/>
        <v>REG_DT TIMESTAMP NOT NULL,</v>
      </c>
      <c r="AA345" s="50" t="str">
        <f t="shared" si="79"/>
        <v/>
      </c>
      <c r="AB345" s="50" t="str">
        <f t="shared" si="80"/>
        <v/>
      </c>
      <c r="AC345" s="50" t="str">
        <f t="shared" si="104"/>
        <v/>
      </c>
      <c r="AD345" s="50" t="str">
        <f t="shared" si="92"/>
        <v>ALTER TABLE TB_ATCH_FILE ALTER COLUMN REG_DT TYPE TIMESTAMP;</v>
      </c>
      <c r="AE345" s="50" t="str">
        <f t="shared" si="93"/>
        <v>ALTER TABLE TB_ATCH_FILE ADD COLUMN REG_DT TIMESTAMP NOT NULL;</v>
      </c>
      <c r="AF345" s="50" t="str">
        <f t="shared" si="94"/>
        <v>ALTER TABLE TB_ATCH_FILE DROP COLUMN REG_DT;</v>
      </c>
      <c r="AG345" s="50" t="str">
        <f t="shared" si="95"/>
        <v/>
      </c>
      <c r="AH345" s="50" t="str">
        <f t="shared" si="81"/>
        <v>COMMENT ON COLUMN TB_ATCH_FILE.REG_DT IS '등록 일시' ;</v>
      </c>
    </row>
    <row r="346" spans="1:34" ht="20" customHeight="1">
      <c r="A346" s="55">
        <v>342</v>
      </c>
      <c r="B346" s="26" t="s">
        <v>7</v>
      </c>
      <c r="C346" s="26" t="s">
        <v>19</v>
      </c>
      <c r="D346" s="10" t="s">
        <v>371</v>
      </c>
      <c r="E346" s="10" t="s">
        <v>118</v>
      </c>
      <c r="F346" s="92">
        <v>3</v>
      </c>
      <c r="G346" s="102" t="s">
        <v>96</v>
      </c>
      <c r="H346" s="102" t="s">
        <v>82</v>
      </c>
      <c r="I346" s="75" t="s">
        <v>72</v>
      </c>
      <c r="J346" s="61"/>
      <c r="K346" s="61"/>
      <c r="L346" s="61"/>
      <c r="M346" s="61"/>
      <c r="N346" s="61"/>
      <c r="O346" s="61"/>
      <c r="P346" s="51" t="s">
        <v>106</v>
      </c>
      <c r="Q346" s="126" t="s">
        <v>544</v>
      </c>
      <c r="R346" s="87" t="s">
        <v>592</v>
      </c>
      <c r="S346" s="112" t="s">
        <v>213</v>
      </c>
      <c r="T346" s="130"/>
      <c r="U346" s="130"/>
      <c r="V346" s="109"/>
      <c r="W346" s="90"/>
      <c r="X346" s="130"/>
      <c r="Y346" s="129" t="str">
        <f t="shared" si="78"/>
        <v>TB_ATCH_FILE</v>
      </c>
      <c r="Z346" s="50" t="str">
        <f t="shared" si="105"/>
        <v>DEL_YN VARCHAR(1) NOT NULL,</v>
      </c>
      <c r="AA346" s="50" t="str">
        <f t="shared" si="79"/>
        <v/>
      </c>
      <c r="AB346" s="50" t="str">
        <f t="shared" si="80"/>
        <v/>
      </c>
      <c r="AC346" s="50" t="str">
        <f t="shared" si="104"/>
        <v/>
      </c>
      <c r="AD346" s="50" t="str">
        <f t="shared" si="92"/>
        <v>ALTER TABLE TB_ATCH_FILE ALTER COLUMN DEL_YN TYPE VARCHAR(1);</v>
      </c>
      <c r="AE346" s="50" t="str">
        <f t="shared" si="93"/>
        <v>ALTER TABLE TB_ATCH_FILE ADD COLUMN DEL_YN VARCHAR(1) NOT NULL DEFAULT ''N'';</v>
      </c>
      <c r="AF346" s="50" t="str">
        <f t="shared" si="94"/>
        <v>ALTER TABLE TB_ATCH_FILE DROP COLUMN DEL_YN;</v>
      </c>
      <c r="AG346" s="50" t="str">
        <f t="shared" si="95"/>
        <v>ALTER TABLE TB_ATCH_FILE ALTER COLUMN DEL_YN SET DEFAULT 'N';</v>
      </c>
      <c r="AH346" s="50" t="str">
        <f t="shared" si="81"/>
        <v>COMMENT ON COLUMN TB_ATCH_FILE.DEL_YN IS '삭제 여부' ;</v>
      </c>
    </row>
    <row r="347" spans="1:34" ht="20" customHeight="1">
      <c r="A347" s="55">
        <v>343</v>
      </c>
      <c r="B347" s="26" t="s">
        <v>7</v>
      </c>
      <c r="C347" s="26" t="s">
        <v>19</v>
      </c>
      <c r="D347" s="10" t="s">
        <v>378</v>
      </c>
      <c r="E347" s="10" t="s">
        <v>379</v>
      </c>
      <c r="F347" s="92">
        <v>1</v>
      </c>
      <c r="G347" s="109" t="s">
        <v>372</v>
      </c>
      <c r="H347" s="109" t="s">
        <v>374</v>
      </c>
      <c r="I347" s="90" t="s">
        <v>380</v>
      </c>
      <c r="J347" s="90">
        <v>1</v>
      </c>
      <c r="K347" s="90">
        <v>1</v>
      </c>
      <c r="L347" s="10" t="s">
        <v>371</v>
      </c>
      <c r="M347" s="101" t="s">
        <v>372</v>
      </c>
      <c r="N347" s="101" t="s">
        <v>562</v>
      </c>
      <c r="O347" s="101" t="s">
        <v>563</v>
      </c>
      <c r="P347" s="51" t="s">
        <v>229</v>
      </c>
      <c r="Q347" s="124"/>
      <c r="R347" s="45"/>
      <c r="S347" s="106" t="s">
        <v>376</v>
      </c>
      <c r="T347" s="132"/>
      <c r="U347" s="132"/>
      <c r="V347" s="109"/>
      <c r="W347" s="90"/>
      <c r="X347" s="130"/>
      <c r="Y347" s="129" t="str">
        <f t="shared" si="78"/>
        <v>TB_ATCH_FILE_DETAIL</v>
      </c>
      <c r="Z347" s="50" t="str">
        <f t="shared" si="105"/>
        <v>ATCH_FILE_SN INTEGER PRIMARY KEY,</v>
      </c>
      <c r="AA347" s="50" t="str">
        <f t="shared" si="79"/>
        <v>ALTER TABLE TB_ATCH_FILE_DETAIL ADD CONSTRAINT TB_ATCH_FILE_DETAIL_FKEY1 FOREIGN KEY(ATCH_FILE_SN) REFERENCES TB_ATCH_FILE(ATCH_FILE_SN) ON UPDATE CASCADE ON DELETE SET NULL;</v>
      </c>
      <c r="AB347" s="50" t="str">
        <f t="shared" si="80"/>
        <v/>
      </c>
      <c r="AC347" s="50" t="str">
        <f t="shared" si="104"/>
        <v/>
      </c>
      <c r="AD347" s="50" t="str">
        <f t="shared" ref="AD347:AD411" si="106">"ALTER TABLE "&amp;$D347&amp;" ALTER COLUMN "&amp;$G347&amp;" TYPE "&amp;$P347&amp;IF(ISBLANK(Q347),"",Q347)&amp;";"</f>
        <v>ALTER TABLE TB_ATCH_FILE_DETAIL ALTER COLUMN ATCH_FILE_SN TYPE INTEGER;</v>
      </c>
      <c r="AE347" s="50" t="str">
        <f t="shared" ref="AE347:AE410" si="107">"ALTER TABLE "&amp;$D347&amp;" ADD COLUMN "&amp;$G347&amp;" "&amp;$P347&amp;IF(ISBLANK(Q347),"",$Q347)&amp;IF(ISBLANK($I347),""," NOT NULL")&amp;IF(ISBLANK($R347),""," DEFAULT '" &amp; $R347 &amp; "'") &amp; ";"</f>
        <v>ALTER TABLE TB_ATCH_FILE_DETAIL ADD COLUMN ATCH_FILE_SN INTEGER NOT NULL;</v>
      </c>
      <c r="AF347" s="50" t="str">
        <f t="shared" ref="AF347:AF411" si="108">"ALTER TABLE "&amp;$D347&amp;" DROP COLUMN "&amp;$G347&amp;";"</f>
        <v>ALTER TABLE TB_ATCH_FILE_DETAIL DROP COLUMN ATCH_FILE_SN;</v>
      </c>
      <c r="AG347" s="50" t="str">
        <f t="shared" ref="AG347:AG411" si="109">IF(ISBLANK($R347),"","ALTER TABLE " &amp; $D347 &amp; " ALTER COLUMN " &amp; G347 &amp; " SET DEFAULT " &amp; $R347 &amp; ";")</f>
        <v/>
      </c>
      <c r="AH347" s="50" t="str">
        <f t="shared" si="81"/>
        <v>COMMENT ON COLUMN TB_ATCH_FILE_DETAIL.ATCH_FILE_SN IS '첨부 파일 일련번호' ;</v>
      </c>
    </row>
    <row r="348" spans="1:34" ht="20" customHeight="1">
      <c r="A348" s="55">
        <v>344</v>
      </c>
      <c r="B348" s="26" t="s">
        <v>7</v>
      </c>
      <c r="C348" s="26" t="s">
        <v>19</v>
      </c>
      <c r="D348" s="10" t="s">
        <v>378</v>
      </c>
      <c r="E348" s="10" t="s">
        <v>379</v>
      </c>
      <c r="F348" s="92">
        <v>2</v>
      </c>
      <c r="G348" s="109" t="s">
        <v>394</v>
      </c>
      <c r="H348" s="109" t="s">
        <v>381</v>
      </c>
      <c r="I348" s="90" t="s">
        <v>380</v>
      </c>
      <c r="J348" s="90">
        <v>2</v>
      </c>
      <c r="K348" s="90"/>
      <c r="L348" s="90"/>
      <c r="M348" s="90"/>
      <c r="N348" s="90"/>
      <c r="O348" s="90"/>
      <c r="P348" s="109" t="s">
        <v>229</v>
      </c>
      <c r="Q348" s="47"/>
      <c r="R348" s="90"/>
      <c r="S348" s="109" t="s">
        <v>395</v>
      </c>
      <c r="T348" s="132"/>
      <c r="U348" s="132"/>
      <c r="V348" s="109"/>
      <c r="W348" s="90"/>
      <c r="X348" s="130"/>
      <c r="Y348" s="129" t="str">
        <f t="shared" si="78"/>
        <v>TB_ATCH_FILE_DETAIL</v>
      </c>
      <c r="Z348" s="50" t="str">
        <f t="shared" si="105"/>
        <v>FILE_SEQ INTEGER PRIMARY KEY,</v>
      </c>
      <c r="AA348" s="50" t="str">
        <f t="shared" si="79"/>
        <v/>
      </c>
      <c r="AB348" s="50" t="str">
        <f t="shared" si="80"/>
        <v/>
      </c>
      <c r="AC348" s="50" t="str">
        <f t="shared" si="104"/>
        <v/>
      </c>
      <c r="AD348" s="50" t="str">
        <f t="shared" si="106"/>
        <v>ALTER TABLE TB_ATCH_FILE_DETAIL ALTER COLUMN FILE_SEQ TYPE INTEGER;</v>
      </c>
      <c r="AE348" s="50" t="str">
        <f t="shared" si="107"/>
        <v>ALTER TABLE TB_ATCH_FILE_DETAIL ADD COLUMN FILE_SEQ INTEGER NOT NULL;</v>
      </c>
      <c r="AF348" s="50" t="str">
        <f t="shared" si="108"/>
        <v>ALTER TABLE TB_ATCH_FILE_DETAIL DROP COLUMN FILE_SEQ;</v>
      </c>
      <c r="AG348" s="50" t="str">
        <f t="shared" si="109"/>
        <v/>
      </c>
      <c r="AH348" s="50" t="str">
        <f t="shared" si="81"/>
        <v>COMMENT ON COLUMN TB_ATCH_FILE_DETAIL.FILE_SEQ IS '파일 순번' ;</v>
      </c>
    </row>
    <row r="349" spans="1:34" ht="20" customHeight="1">
      <c r="A349" s="55">
        <v>345</v>
      </c>
      <c r="B349" s="26" t="s">
        <v>7</v>
      </c>
      <c r="C349" s="26" t="s">
        <v>19</v>
      </c>
      <c r="D349" s="10" t="s">
        <v>378</v>
      </c>
      <c r="E349" s="10" t="s">
        <v>379</v>
      </c>
      <c r="F349" s="92">
        <v>3</v>
      </c>
      <c r="G349" s="109" t="s">
        <v>387</v>
      </c>
      <c r="H349" s="109" t="s">
        <v>382</v>
      </c>
      <c r="I349" s="90" t="s">
        <v>380</v>
      </c>
      <c r="J349" s="90"/>
      <c r="K349" s="90"/>
      <c r="L349" s="90"/>
      <c r="M349" s="90"/>
      <c r="N349" s="90"/>
      <c r="O349" s="90"/>
      <c r="P349" s="109" t="s">
        <v>402</v>
      </c>
      <c r="Q349" s="126" t="s">
        <v>552</v>
      </c>
      <c r="R349" s="90"/>
      <c r="S349" s="109" t="s">
        <v>396</v>
      </c>
      <c r="T349" s="130"/>
      <c r="U349" s="130"/>
      <c r="V349" s="109"/>
      <c r="W349" s="90"/>
      <c r="X349" s="130"/>
      <c r="Y349" s="129" t="str">
        <f t="shared" si="78"/>
        <v>TB_ATCH_FILE_DETAIL</v>
      </c>
      <c r="Z349" s="50" t="str">
        <f t="shared" si="105"/>
        <v>FILE_STRE_PATH VARCHAR(2000) NOT NULL,</v>
      </c>
      <c r="AA349" s="50" t="str">
        <f t="shared" si="79"/>
        <v/>
      </c>
      <c r="AB349" s="50" t="str">
        <f t="shared" si="80"/>
        <v/>
      </c>
      <c r="AC349" s="50" t="str">
        <f t="shared" si="104"/>
        <v/>
      </c>
      <c r="AD349" s="50" t="str">
        <f t="shared" si="106"/>
        <v>ALTER TABLE TB_ATCH_FILE_DETAIL ALTER COLUMN FILE_STRE_PATH TYPE VARCHAR(2000);</v>
      </c>
      <c r="AE349" s="50" t="str">
        <f t="shared" si="107"/>
        <v>ALTER TABLE TB_ATCH_FILE_DETAIL ADD COLUMN FILE_STRE_PATH VARCHAR(2000) NOT NULL;</v>
      </c>
      <c r="AF349" s="50" t="str">
        <f t="shared" si="108"/>
        <v>ALTER TABLE TB_ATCH_FILE_DETAIL DROP COLUMN FILE_STRE_PATH;</v>
      </c>
      <c r="AG349" s="50" t="str">
        <f t="shared" si="109"/>
        <v/>
      </c>
      <c r="AH349" s="50" t="str">
        <f t="shared" si="81"/>
        <v>COMMENT ON COLUMN TB_ATCH_FILE_DETAIL.FILE_STRE_PATH IS '파일 저장 경로' ;</v>
      </c>
    </row>
    <row r="350" spans="1:34" ht="20" customHeight="1">
      <c r="A350" s="55">
        <v>346</v>
      </c>
      <c r="B350" s="26" t="s">
        <v>7</v>
      </c>
      <c r="C350" s="26" t="s">
        <v>19</v>
      </c>
      <c r="D350" s="10" t="s">
        <v>378</v>
      </c>
      <c r="E350" s="10" t="s">
        <v>379</v>
      </c>
      <c r="F350" s="92">
        <v>4</v>
      </c>
      <c r="G350" s="109" t="s">
        <v>388</v>
      </c>
      <c r="H350" s="109" t="s">
        <v>389</v>
      </c>
      <c r="I350" s="90" t="s">
        <v>380</v>
      </c>
      <c r="J350" s="90"/>
      <c r="K350" s="90"/>
      <c r="L350" s="90"/>
      <c r="M350" s="90"/>
      <c r="N350" s="90"/>
      <c r="O350" s="90"/>
      <c r="P350" s="109" t="s">
        <v>402</v>
      </c>
      <c r="Q350" s="126" t="s">
        <v>550</v>
      </c>
      <c r="R350" s="90"/>
      <c r="S350" s="109" t="s">
        <v>397</v>
      </c>
      <c r="T350" s="130"/>
      <c r="U350" s="130"/>
      <c r="V350" s="109"/>
      <c r="W350" s="90"/>
      <c r="X350" s="130"/>
      <c r="Y350" s="129" t="str">
        <f t="shared" si="78"/>
        <v>TB_ATCH_FILE_DETAIL</v>
      </c>
      <c r="Z350" s="50" t="str">
        <f t="shared" si="105"/>
        <v>STRE_FILE_NM VARCHAR(255) NOT NULL,</v>
      </c>
      <c r="AA350" s="50" t="str">
        <f t="shared" si="79"/>
        <v/>
      </c>
      <c r="AB350" s="50" t="str">
        <f t="shared" si="80"/>
        <v/>
      </c>
      <c r="AC350" s="50" t="str">
        <f t="shared" si="104"/>
        <v/>
      </c>
      <c r="AD350" s="50" t="str">
        <f t="shared" si="106"/>
        <v>ALTER TABLE TB_ATCH_FILE_DETAIL ALTER COLUMN STRE_FILE_NM TYPE VARCHAR(255);</v>
      </c>
      <c r="AE350" s="50" t="str">
        <f t="shared" si="107"/>
        <v>ALTER TABLE TB_ATCH_FILE_DETAIL ADD COLUMN STRE_FILE_NM VARCHAR(255) NOT NULL;</v>
      </c>
      <c r="AF350" s="50" t="str">
        <f t="shared" si="108"/>
        <v>ALTER TABLE TB_ATCH_FILE_DETAIL DROP COLUMN STRE_FILE_NM;</v>
      </c>
      <c r="AG350" s="50" t="str">
        <f t="shared" si="109"/>
        <v/>
      </c>
      <c r="AH350" s="50" t="str">
        <f t="shared" si="81"/>
        <v>COMMENT ON COLUMN TB_ATCH_FILE_DETAIL.STRE_FILE_NM IS '저장 파일 이름' ;</v>
      </c>
    </row>
    <row r="351" spans="1:34" ht="20" customHeight="1">
      <c r="A351" s="55">
        <v>347</v>
      </c>
      <c r="B351" s="26" t="s">
        <v>7</v>
      </c>
      <c r="C351" s="26" t="s">
        <v>19</v>
      </c>
      <c r="D351" s="10" t="s">
        <v>378</v>
      </c>
      <c r="E351" s="10" t="s">
        <v>379</v>
      </c>
      <c r="F351" s="92">
        <v>5</v>
      </c>
      <c r="G351" s="109" t="s">
        <v>390</v>
      </c>
      <c r="H351" s="109" t="s">
        <v>383</v>
      </c>
      <c r="I351" s="90" t="s">
        <v>380</v>
      </c>
      <c r="J351" s="90"/>
      <c r="K351" s="90"/>
      <c r="L351" s="90"/>
      <c r="M351" s="90"/>
      <c r="N351" s="90"/>
      <c r="O351" s="90"/>
      <c r="P351" s="109" t="s">
        <v>402</v>
      </c>
      <c r="Q351" s="126" t="s">
        <v>550</v>
      </c>
      <c r="R351" s="90"/>
      <c r="S351" s="109" t="s">
        <v>398</v>
      </c>
      <c r="T351" s="130"/>
      <c r="U351" s="130"/>
      <c r="V351" s="109"/>
      <c r="W351" s="90"/>
      <c r="X351" s="130"/>
      <c r="Y351" s="129" t="str">
        <f t="shared" si="78"/>
        <v>TB_ATCH_FILE_DETAIL</v>
      </c>
      <c r="Z351" s="50" t="str">
        <f t="shared" si="105"/>
        <v>ORIGNL_FILE_NM VARCHAR(255) NOT NULL,</v>
      </c>
      <c r="AA351" s="50" t="str">
        <f t="shared" si="79"/>
        <v/>
      </c>
      <c r="AB351" s="50" t="str">
        <f t="shared" si="80"/>
        <v/>
      </c>
      <c r="AC351" s="50" t="str">
        <f t="shared" si="104"/>
        <v/>
      </c>
      <c r="AD351" s="50" t="str">
        <f t="shared" si="106"/>
        <v>ALTER TABLE TB_ATCH_FILE_DETAIL ALTER COLUMN ORIGNL_FILE_NM TYPE VARCHAR(255);</v>
      </c>
      <c r="AE351" s="50" t="str">
        <f t="shared" si="107"/>
        <v>ALTER TABLE TB_ATCH_FILE_DETAIL ADD COLUMN ORIGNL_FILE_NM VARCHAR(255) NOT NULL;</v>
      </c>
      <c r="AF351" s="50" t="str">
        <f t="shared" si="108"/>
        <v>ALTER TABLE TB_ATCH_FILE_DETAIL DROP COLUMN ORIGNL_FILE_NM;</v>
      </c>
      <c r="AG351" s="50" t="str">
        <f t="shared" si="109"/>
        <v/>
      </c>
      <c r="AH351" s="50" t="str">
        <f t="shared" si="81"/>
        <v>COMMENT ON COLUMN TB_ATCH_FILE_DETAIL.ORIGNL_FILE_NM IS '원 파일 이름' ;</v>
      </c>
    </row>
    <row r="352" spans="1:34" ht="20" customHeight="1">
      <c r="A352" s="55">
        <v>348</v>
      </c>
      <c r="B352" s="26" t="s">
        <v>7</v>
      </c>
      <c r="C352" s="26" t="s">
        <v>19</v>
      </c>
      <c r="D352" s="10" t="s">
        <v>378</v>
      </c>
      <c r="E352" s="10" t="s">
        <v>379</v>
      </c>
      <c r="F352" s="92">
        <v>6</v>
      </c>
      <c r="G352" s="109" t="s">
        <v>391</v>
      </c>
      <c r="H352" s="109" t="s">
        <v>384</v>
      </c>
      <c r="I352" s="90" t="s">
        <v>380</v>
      </c>
      <c r="J352" s="90"/>
      <c r="K352" s="90"/>
      <c r="L352" s="90"/>
      <c r="M352" s="90"/>
      <c r="N352" s="90"/>
      <c r="O352" s="90"/>
      <c r="P352" s="109" t="s">
        <v>402</v>
      </c>
      <c r="Q352" s="126" t="s">
        <v>547</v>
      </c>
      <c r="R352" s="90"/>
      <c r="S352" s="109" t="s">
        <v>399</v>
      </c>
      <c r="T352" s="130"/>
      <c r="U352" s="130"/>
      <c r="V352" s="109"/>
      <c r="W352" s="90"/>
      <c r="X352" s="130"/>
      <c r="Y352" s="129" t="str">
        <f t="shared" ref="Y352:Y423" si="110">D352</f>
        <v>TB_ATCH_FILE_DETAIL</v>
      </c>
      <c r="Z352" s="50" t="str">
        <f t="shared" si="105"/>
        <v>FILE_EXTSN VARCHAR(20) NOT NULL,</v>
      </c>
      <c r="AA352" s="50" t="str">
        <f t="shared" ref="AA352:AA416" si="111">IF(ISBLANK(K352),"","ALTER TABLE " &amp; D352 &amp; " ADD CONSTRAINT " &amp; D352 &amp; "_FKEY" &amp; K352 &amp;  " FOREIGN KEY(" &amp;G352 &amp; ") REFERENCES " &amp; L352 &amp; "(" &amp; M352 &amp; ") "&amp;N352&amp;" "&amp;O352&amp;";")</f>
        <v/>
      </c>
      <c r="AB352" s="50" t="str">
        <f t="shared" ref="AB352:AB416" si="112">IF(ISBLANK(T352),"","CREATE SEQUENCE "&amp;T352&amp;" START 100000;")</f>
        <v/>
      </c>
      <c r="AC352" s="50" t="str">
        <f t="shared" si="104"/>
        <v/>
      </c>
      <c r="AD352" s="50" t="str">
        <f t="shared" si="106"/>
        <v>ALTER TABLE TB_ATCH_FILE_DETAIL ALTER COLUMN FILE_EXTSN TYPE VARCHAR(20);</v>
      </c>
      <c r="AE352" s="50" t="str">
        <f t="shared" si="107"/>
        <v>ALTER TABLE TB_ATCH_FILE_DETAIL ADD COLUMN FILE_EXTSN VARCHAR(20) NOT NULL;</v>
      </c>
      <c r="AF352" s="50" t="str">
        <f t="shared" si="108"/>
        <v>ALTER TABLE TB_ATCH_FILE_DETAIL DROP COLUMN FILE_EXTSN;</v>
      </c>
      <c r="AG352" s="50" t="str">
        <f t="shared" si="109"/>
        <v/>
      </c>
      <c r="AH352" s="50" t="str">
        <f t="shared" ref="AH352:AH423" si="113">"COMMENT ON COLUMN "&amp;D352&amp;"."&amp;G352&amp;" IS '"&amp;S352&amp;"' ;"</f>
        <v>COMMENT ON COLUMN TB_ATCH_FILE_DETAIL.FILE_EXTSN IS '파일 확장자' ;</v>
      </c>
    </row>
    <row r="353" spans="1:34" ht="20" customHeight="1">
      <c r="A353" s="55">
        <v>349</v>
      </c>
      <c r="B353" s="26" t="s">
        <v>7</v>
      </c>
      <c r="C353" s="26" t="s">
        <v>19</v>
      </c>
      <c r="D353" s="10" t="s">
        <v>378</v>
      </c>
      <c r="E353" s="10" t="s">
        <v>379</v>
      </c>
      <c r="F353" s="92">
        <v>7</v>
      </c>
      <c r="G353" s="109" t="s">
        <v>392</v>
      </c>
      <c r="H353" s="109" t="s">
        <v>385</v>
      </c>
      <c r="I353" s="90"/>
      <c r="J353" s="90"/>
      <c r="K353" s="90"/>
      <c r="L353" s="90"/>
      <c r="M353" s="90"/>
      <c r="N353" s="90"/>
      <c r="O353" s="90"/>
      <c r="P353" s="109" t="s">
        <v>403</v>
      </c>
      <c r="Q353" s="92"/>
      <c r="R353" s="90"/>
      <c r="S353" s="109" t="s">
        <v>400</v>
      </c>
      <c r="T353" s="130"/>
      <c r="U353" s="130"/>
      <c r="V353" s="109"/>
      <c r="W353" s="90"/>
      <c r="X353" s="130"/>
      <c r="Y353" s="129" t="str">
        <f t="shared" si="110"/>
        <v>TB_ATCH_FILE_DETAIL</v>
      </c>
      <c r="Z353" s="50" t="str">
        <f t="shared" si="105"/>
        <v>FILE_CN TEXT,</v>
      </c>
      <c r="AA353" s="50" t="str">
        <f t="shared" si="111"/>
        <v/>
      </c>
      <c r="AB353" s="50" t="str">
        <f t="shared" si="112"/>
        <v/>
      </c>
      <c r="AC353" s="50" t="str">
        <f t="shared" si="104"/>
        <v/>
      </c>
      <c r="AD353" s="50" t="str">
        <f t="shared" si="106"/>
        <v>ALTER TABLE TB_ATCH_FILE_DETAIL ALTER COLUMN FILE_CN TYPE TEXT;</v>
      </c>
      <c r="AE353" s="50" t="str">
        <f t="shared" si="107"/>
        <v>ALTER TABLE TB_ATCH_FILE_DETAIL ADD COLUMN FILE_CN TEXT;</v>
      </c>
      <c r="AF353" s="50" t="str">
        <f t="shared" si="108"/>
        <v>ALTER TABLE TB_ATCH_FILE_DETAIL DROP COLUMN FILE_CN;</v>
      </c>
      <c r="AG353" s="50" t="str">
        <f t="shared" si="109"/>
        <v/>
      </c>
      <c r="AH353" s="50" t="str">
        <f t="shared" si="113"/>
        <v>COMMENT ON COLUMN TB_ATCH_FILE_DETAIL.FILE_CN IS '파일 내용' ;</v>
      </c>
    </row>
    <row r="354" spans="1:34" ht="20" customHeight="1">
      <c r="A354" s="55">
        <v>350</v>
      </c>
      <c r="B354" s="26" t="s">
        <v>7</v>
      </c>
      <c r="C354" s="26" t="s">
        <v>19</v>
      </c>
      <c r="D354" s="10" t="s">
        <v>378</v>
      </c>
      <c r="E354" s="10" t="s">
        <v>379</v>
      </c>
      <c r="F354" s="92">
        <v>8</v>
      </c>
      <c r="G354" s="109" t="s">
        <v>393</v>
      </c>
      <c r="H354" s="109" t="s">
        <v>386</v>
      </c>
      <c r="I354" s="90" t="s">
        <v>380</v>
      </c>
      <c r="J354" s="90"/>
      <c r="K354" s="90"/>
      <c r="L354" s="90"/>
      <c r="M354" s="90"/>
      <c r="N354" s="90"/>
      <c r="O354" s="90"/>
      <c r="P354" s="109" t="s">
        <v>173</v>
      </c>
      <c r="Q354" s="47" t="s">
        <v>193</v>
      </c>
      <c r="R354" s="90"/>
      <c r="S354" s="109" t="s">
        <v>401</v>
      </c>
      <c r="T354" s="130"/>
      <c r="U354" s="130"/>
      <c r="V354" s="109"/>
      <c r="W354" s="90"/>
      <c r="X354" s="130"/>
      <c r="Y354" s="129" t="str">
        <f t="shared" si="110"/>
        <v>TB_ATCH_FILE_DETAIL</v>
      </c>
      <c r="Z354" s="50" t="str">
        <f t="shared" si="105"/>
        <v>FILE_SIZE NUMERIC(10,3) NOT NULL,</v>
      </c>
      <c r="AA354" s="50" t="str">
        <f t="shared" si="111"/>
        <v/>
      </c>
      <c r="AB354" s="50" t="str">
        <f t="shared" si="112"/>
        <v/>
      </c>
      <c r="AC354" s="50" t="str">
        <f t="shared" si="104"/>
        <v/>
      </c>
      <c r="AD354" s="50" t="str">
        <f t="shared" si="106"/>
        <v>ALTER TABLE TB_ATCH_FILE_DETAIL ALTER COLUMN FILE_SIZE TYPE NUMERIC(10,3);</v>
      </c>
      <c r="AE354" s="50" t="str">
        <f t="shared" si="107"/>
        <v>ALTER TABLE TB_ATCH_FILE_DETAIL ADD COLUMN FILE_SIZE NUMERIC(10,3) NOT NULL;</v>
      </c>
      <c r="AF354" s="50" t="str">
        <f t="shared" si="108"/>
        <v>ALTER TABLE TB_ATCH_FILE_DETAIL DROP COLUMN FILE_SIZE;</v>
      </c>
      <c r="AG354" s="50" t="str">
        <f t="shared" si="109"/>
        <v/>
      </c>
      <c r="AH354" s="50" t="str">
        <f t="shared" si="113"/>
        <v>COMMENT ON COLUMN TB_ATCH_FILE_DETAIL.FILE_SIZE IS '파일 크기' ;</v>
      </c>
    </row>
    <row r="355" spans="1:34" ht="20" customHeight="1">
      <c r="A355" s="55">
        <v>351</v>
      </c>
      <c r="B355" s="26" t="s">
        <v>7</v>
      </c>
      <c r="C355" s="26" t="s">
        <v>19</v>
      </c>
      <c r="D355" s="10" t="s">
        <v>40</v>
      </c>
      <c r="E355" s="10" t="s">
        <v>41</v>
      </c>
      <c r="F355" s="92">
        <v>1</v>
      </c>
      <c r="G355" s="109" t="s">
        <v>408</v>
      </c>
      <c r="H355" s="109" t="s">
        <v>404</v>
      </c>
      <c r="I355" s="90" t="s">
        <v>425</v>
      </c>
      <c r="J355" s="90">
        <v>1</v>
      </c>
      <c r="K355" s="90"/>
      <c r="L355" s="90"/>
      <c r="M355" s="90"/>
      <c r="N355" s="90"/>
      <c r="O355" s="90"/>
      <c r="P355" s="109" t="s">
        <v>426</v>
      </c>
      <c r="Q355" s="92"/>
      <c r="R355" s="90"/>
      <c r="S355" s="109" t="s">
        <v>483</v>
      </c>
      <c r="T355" s="132" t="str">
        <f>"SEQ_"&amp;D355&amp;"_SN"</f>
        <v>SEQ_TB_MENU_SN</v>
      </c>
      <c r="U355" s="132"/>
      <c r="V355" s="109"/>
      <c r="W355" s="90"/>
      <c r="X355" s="130"/>
      <c r="Y355" s="129" t="str">
        <f t="shared" si="110"/>
        <v>TB_MENU</v>
      </c>
      <c r="Z355" s="50" t="str">
        <f t="shared" si="105"/>
        <v>MENU_SN INTEGER PRIMARY KEY,</v>
      </c>
      <c r="AA355" s="50" t="str">
        <f t="shared" si="111"/>
        <v/>
      </c>
      <c r="AB355" s="50" t="str">
        <f t="shared" si="112"/>
        <v>CREATE SEQUENCE SEQ_TB_MENU_SN START 100000;</v>
      </c>
      <c r="AC355" s="50" t="str">
        <f t="shared" si="104"/>
        <v>ALTER TABLE TB_MENU ALTER COLUMN MENU_SN SET DEFAULT NEXTVAL('SEQ_TB_MENU_SN');</v>
      </c>
      <c r="AD355" s="50" t="str">
        <f t="shared" si="106"/>
        <v>ALTER TABLE TB_MENU ALTER COLUMN MENU_SN TYPE INTEGER;</v>
      </c>
      <c r="AE355" s="50" t="str">
        <f t="shared" si="107"/>
        <v>ALTER TABLE TB_MENU ADD COLUMN MENU_SN INTEGER NOT NULL;</v>
      </c>
      <c r="AF355" s="50" t="str">
        <f t="shared" si="108"/>
        <v>ALTER TABLE TB_MENU DROP COLUMN MENU_SN;</v>
      </c>
      <c r="AG355" s="50" t="str">
        <f t="shared" si="109"/>
        <v/>
      </c>
      <c r="AH355" s="50" t="str">
        <f t="shared" si="113"/>
        <v>COMMENT ON COLUMN TB_MENU.MENU_SN IS '메뉴 일련번호' ;</v>
      </c>
    </row>
    <row r="356" spans="1:34" ht="20" customHeight="1">
      <c r="A356" s="55">
        <v>352</v>
      </c>
      <c r="B356" s="26" t="s">
        <v>7</v>
      </c>
      <c r="C356" s="26" t="s">
        <v>19</v>
      </c>
      <c r="D356" s="10" t="s">
        <v>40</v>
      </c>
      <c r="E356" s="10" t="s">
        <v>41</v>
      </c>
      <c r="F356" s="92">
        <v>2</v>
      </c>
      <c r="G356" s="109" t="s">
        <v>409</v>
      </c>
      <c r="H356" s="109" t="s">
        <v>405</v>
      </c>
      <c r="I356" s="90"/>
      <c r="J356" s="90"/>
      <c r="K356" s="90"/>
      <c r="L356" s="90"/>
      <c r="M356" s="90"/>
      <c r="N356" s="90"/>
      <c r="O356" s="90"/>
      <c r="P356" s="109" t="s">
        <v>426</v>
      </c>
      <c r="Q356" s="92"/>
      <c r="R356" s="90"/>
      <c r="S356" s="109" t="s">
        <v>478</v>
      </c>
      <c r="T356" s="132"/>
      <c r="U356" s="130"/>
      <c r="V356" s="109"/>
      <c r="W356" s="90"/>
      <c r="X356" s="130"/>
      <c r="Y356" s="129" t="str">
        <f t="shared" si="110"/>
        <v>TB_MENU</v>
      </c>
      <c r="Z356" s="50" t="str">
        <f t="shared" si="105"/>
        <v>UPPER_MENU_SN INTEGER,</v>
      </c>
      <c r="AA356" s="50" t="str">
        <f t="shared" si="111"/>
        <v/>
      </c>
      <c r="AB356" s="50" t="str">
        <f t="shared" si="112"/>
        <v/>
      </c>
      <c r="AC356" s="50" t="str">
        <f t="shared" si="104"/>
        <v/>
      </c>
      <c r="AD356" s="50" t="str">
        <f t="shared" si="106"/>
        <v>ALTER TABLE TB_MENU ALTER COLUMN UPPER_MENU_SN TYPE INTEGER;</v>
      </c>
      <c r="AE356" s="50" t="str">
        <f t="shared" si="107"/>
        <v>ALTER TABLE TB_MENU ADD COLUMN UPPER_MENU_SN INTEGER;</v>
      </c>
      <c r="AF356" s="50" t="str">
        <f t="shared" si="108"/>
        <v>ALTER TABLE TB_MENU DROP COLUMN UPPER_MENU_SN;</v>
      </c>
      <c r="AG356" s="50" t="str">
        <f t="shared" si="109"/>
        <v/>
      </c>
      <c r="AH356" s="50" t="str">
        <f t="shared" si="113"/>
        <v>COMMENT ON COLUMN TB_MENU.UPPER_MENU_SN IS '상위 메뉴 일련번호' ;</v>
      </c>
    </row>
    <row r="357" spans="1:34" ht="20" customHeight="1">
      <c r="A357" s="55">
        <v>353</v>
      </c>
      <c r="B357" s="26" t="s">
        <v>7</v>
      </c>
      <c r="C357" s="26" t="s">
        <v>19</v>
      </c>
      <c r="D357" s="10" t="s">
        <v>40</v>
      </c>
      <c r="E357" s="10" t="s">
        <v>41</v>
      </c>
      <c r="F357" s="92">
        <v>3</v>
      </c>
      <c r="G357" s="109" t="s">
        <v>410</v>
      </c>
      <c r="H357" s="109" t="s">
        <v>411</v>
      </c>
      <c r="I357" s="90" t="s">
        <v>425</v>
      </c>
      <c r="J357" s="90"/>
      <c r="K357" s="90"/>
      <c r="L357" s="90"/>
      <c r="M357" s="90"/>
      <c r="N357" s="90"/>
      <c r="O357" s="90"/>
      <c r="P357" s="109" t="s">
        <v>427</v>
      </c>
      <c r="Q357" s="126"/>
      <c r="R357" s="90"/>
      <c r="S357" s="109" t="s">
        <v>479</v>
      </c>
      <c r="T357" s="130"/>
      <c r="U357" s="130" t="s">
        <v>569</v>
      </c>
      <c r="V357" s="134" t="s">
        <v>759</v>
      </c>
      <c r="W357" s="90"/>
      <c r="X357" s="130"/>
      <c r="Y357" s="129" t="str">
        <f t="shared" si="110"/>
        <v>TB_MENU</v>
      </c>
      <c r="Z357" s="50" t="str">
        <f t="shared" si="105"/>
        <v>MENU_NM VARCHAR NOT NULL,</v>
      </c>
      <c r="AA357" s="50" t="str">
        <f t="shared" si="111"/>
        <v/>
      </c>
      <c r="AB357" s="50" t="str">
        <f t="shared" si="112"/>
        <v/>
      </c>
      <c r="AC357" s="50" t="str">
        <f t="shared" si="104"/>
        <v/>
      </c>
      <c r="AD357" s="50" t="str">
        <f t="shared" si="106"/>
        <v>ALTER TABLE TB_MENU ALTER COLUMN MENU_NM TYPE VARCHAR;</v>
      </c>
      <c r="AE357" s="50" t="str">
        <f t="shared" si="107"/>
        <v>ALTER TABLE TB_MENU ADD COLUMN MENU_NM VARCHAR NOT NULL;</v>
      </c>
      <c r="AF357" s="50" t="str">
        <f t="shared" si="108"/>
        <v>ALTER TABLE TB_MENU DROP COLUMN MENU_NM;</v>
      </c>
      <c r="AG357" s="50" t="str">
        <f t="shared" si="109"/>
        <v/>
      </c>
      <c r="AH357" s="50" t="str">
        <f t="shared" si="113"/>
        <v>COMMENT ON COLUMN TB_MENU.MENU_NM IS '메뉴 이름' ;</v>
      </c>
    </row>
    <row r="358" spans="1:34" ht="20" customHeight="1">
      <c r="A358" s="55">
        <v>354</v>
      </c>
      <c r="B358" s="26" t="s">
        <v>7</v>
      </c>
      <c r="C358" s="26" t="s">
        <v>19</v>
      </c>
      <c r="D358" s="10" t="s">
        <v>40</v>
      </c>
      <c r="E358" s="10" t="s">
        <v>41</v>
      </c>
      <c r="F358" s="92">
        <v>4</v>
      </c>
      <c r="G358" s="109" t="s">
        <v>646</v>
      </c>
      <c r="H358" s="109" t="s">
        <v>647</v>
      </c>
      <c r="I358" s="90" t="s">
        <v>131</v>
      </c>
      <c r="J358" s="90"/>
      <c r="K358" s="90"/>
      <c r="L358" s="90"/>
      <c r="M358" s="90"/>
      <c r="N358" s="90"/>
      <c r="O358" s="90"/>
      <c r="P358" s="109" t="s">
        <v>106</v>
      </c>
      <c r="Q358" s="126" t="s">
        <v>550</v>
      </c>
      <c r="R358" s="90"/>
      <c r="S358" s="109" t="s">
        <v>648</v>
      </c>
      <c r="T358" s="130"/>
      <c r="U358" s="130"/>
      <c r="V358" s="109"/>
      <c r="W358" s="90"/>
      <c r="X358" s="130"/>
      <c r="Y358" s="129" t="str">
        <f t="shared" ref="Y358" si="114">D358</f>
        <v>TB_MENU</v>
      </c>
      <c r="Z358" s="50" t="str">
        <f t="shared" si="105"/>
        <v>MENU_CD VARCHAR(255) NOT NULL,</v>
      </c>
      <c r="AA358" s="50" t="str">
        <f t="shared" si="111"/>
        <v/>
      </c>
      <c r="AB358" s="50" t="str">
        <f t="shared" si="112"/>
        <v/>
      </c>
      <c r="AC358" s="50" t="str">
        <f t="shared" si="104"/>
        <v/>
      </c>
      <c r="AD358" s="50" t="str">
        <f t="shared" si="106"/>
        <v>ALTER TABLE TB_MENU ALTER COLUMN MENU_CD TYPE VARCHAR(255);</v>
      </c>
      <c r="AE358" s="50" t="str">
        <f t="shared" si="107"/>
        <v>ALTER TABLE TB_MENU ADD COLUMN MENU_CD VARCHAR(255) NOT NULL;</v>
      </c>
      <c r="AF358" s="50" t="str">
        <f t="shared" si="108"/>
        <v>ALTER TABLE TB_MENU DROP COLUMN MENU_CD;</v>
      </c>
      <c r="AG358" s="50" t="str">
        <f t="shared" si="109"/>
        <v/>
      </c>
      <c r="AH358" s="50" t="str">
        <f t="shared" ref="AH358" si="115">"COMMENT ON COLUMN "&amp;D358&amp;"."&amp;G358&amp;" IS '"&amp;S358&amp;"' ;"</f>
        <v>COMMENT ON COLUMN TB_MENU.MENU_CD IS '메뉴 코드' ;</v>
      </c>
    </row>
    <row r="359" spans="1:34" ht="20" customHeight="1">
      <c r="A359" s="55">
        <v>355</v>
      </c>
      <c r="B359" s="26" t="s">
        <v>7</v>
      </c>
      <c r="C359" s="26" t="s">
        <v>19</v>
      </c>
      <c r="D359" s="10" t="s">
        <v>40</v>
      </c>
      <c r="E359" s="10" t="s">
        <v>41</v>
      </c>
      <c r="F359" s="92">
        <v>5</v>
      </c>
      <c r="G359" s="109" t="s">
        <v>430</v>
      </c>
      <c r="H359" s="109" t="s">
        <v>429</v>
      </c>
      <c r="I359" s="90"/>
      <c r="J359" s="90"/>
      <c r="K359" s="90"/>
      <c r="L359" s="90"/>
      <c r="M359" s="90"/>
      <c r="N359" s="90"/>
      <c r="O359" s="90"/>
      <c r="P359" s="109" t="s">
        <v>427</v>
      </c>
      <c r="Q359" s="126" t="s">
        <v>552</v>
      </c>
      <c r="R359" s="90"/>
      <c r="S359" s="109" t="s">
        <v>480</v>
      </c>
      <c r="T359" s="130"/>
      <c r="U359" s="130"/>
      <c r="V359" s="109"/>
      <c r="W359" s="90"/>
      <c r="X359" s="130"/>
      <c r="Y359" s="129" t="str">
        <f t="shared" si="110"/>
        <v>TB_MENU</v>
      </c>
      <c r="Z359" s="50" t="str">
        <f t="shared" si="105"/>
        <v>MENU_URL VARCHAR(2000),</v>
      </c>
      <c r="AA359" s="50" t="str">
        <f t="shared" si="111"/>
        <v/>
      </c>
      <c r="AB359" s="50" t="str">
        <f t="shared" si="112"/>
        <v/>
      </c>
      <c r="AC359" s="50" t="str">
        <f t="shared" si="104"/>
        <v/>
      </c>
      <c r="AD359" s="50" t="str">
        <f t="shared" si="106"/>
        <v>ALTER TABLE TB_MENU ALTER COLUMN MENU_URL TYPE VARCHAR(2000);</v>
      </c>
      <c r="AE359" s="50" t="str">
        <f t="shared" si="107"/>
        <v>ALTER TABLE TB_MENU ADD COLUMN MENU_URL VARCHAR(2000);</v>
      </c>
      <c r="AF359" s="50" t="str">
        <f t="shared" si="108"/>
        <v>ALTER TABLE TB_MENU DROP COLUMN MENU_URL;</v>
      </c>
      <c r="AG359" s="50" t="str">
        <f t="shared" si="109"/>
        <v/>
      </c>
      <c r="AH359" s="50" t="str">
        <f t="shared" si="113"/>
        <v>COMMENT ON COLUMN TB_MENU.MENU_URL IS '메뉴 URL' ;</v>
      </c>
    </row>
    <row r="360" spans="1:34" ht="20" customHeight="1">
      <c r="A360" s="55">
        <v>356</v>
      </c>
      <c r="B360" s="26" t="s">
        <v>7</v>
      </c>
      <c r="C360" s="26" t="s">
        <v>19</v>
      </c>
      <c r="D360" s="10" t="s">
        <v>40</v>
      </c>
      <c r="E360" s="10" t="s">
        <v>41</v>
      </c>
      <c r="F360" s="92">
        <v>6</v>
      </c>
      <c r="G360" s="109" t="s">
        <v>571</v>
      </c>
      <c r="H360" s="109" t="s">
        <v>570</v>
      </c>
      <c r="I360" s="90" t="s">
        <v>572</v>
      </c>
      <c r="J360" s="90"/>
      <c r="K360" s="90"/>
      <c r="L360" s="90"/>
      <c r="M360" s="90"/>
      <c r="N360" s="90"/>
      <c r="O360" s="90"/>
      <c r="P360" s="51" t="s">
        <v>106</v>
      </c>
      <c r="Q360" s="126" t="s">
        <v>544</v>
      </c>
      <c r="R360" s="90"/>
      <c r="S360" s="109" t="s">
        <v>573</v>
      </c>
      <c r="T360" s="130"/>
      <c r="U360" s="130"/>
      <c r="V360" s="109" t="s">
        <v>574</v>
      </c>
      <c r="W360" s="90"/>
      <c r="X360" s="130"/>
      <c r="Y360" s="129" t="str">
        <f t="shared" si="110"/>
        <v>TB_MENU</v>
      </c>
      <c r="Z360" s="50" t="str">
        <f t="shared" si="105"/>
        <v>PARNTS_MENU_YN VARCHAR(1) NOT NULL,</v>
      </c>
      <c r="AA360" s="50" t="str">
        <f t="shared" si="111"/>
        <v/>
      </c>
      <c r="AB360" s="50" t="str">
        <f t="shared" si="112"/>
        <v/>
      </c>
      <c r="AC360" s="50" t="str">
        <f t="shared" si="104"/>
        <v/>
      </c>
      <c r="AD360" s="50" t="str">
        <f t="shared" si="106"/>
        <v>ALTER TABLE TB_MENU ALTER COLUMN PARNTS_MENU_YN TYPE VARCHAR(1);</v>
      </c>
      <c r="AE360" s="50" t="str">
        <f t="shared" si="107"/>
        <v>ALTER TABLE TB_MENU ADD COLUMN PARNTS_MENU_YN VARCHAR(1) NOT NULL;</v>
      </c>
      <c r="AF360" s="50" t="str">
        <f t="shared" si="108"/>
        <v>ALTER TABLE TB_MENU DROP COLUMN PARNTS_MENU_YN;</v>
      </c>
      <c r="AG360" s="50" t="str">
        <f t="shared" si="109"/>
        <v/>
      </c>
      <c r="AH360" s="50" t="str">
        <f t="shared" si="113"/>
        <v>COMMENT ON COLUMN TB_MENU.PARNTS_MENU_YN IS '부모 메뉴 여부' ;</v>
      </c>
    </row>
    <row r="361" spans="1:34" ht="20" customHeight="1">
      <c r="A361" s="55">
        <v>357</v>
      </c>
      <c r="B361" s="26" t="s">
        <v>7</v>
      </c>
      <c r="C361" s="26" t="s">
        <v>19</v>
      </c>
      <c r="D361" s="10" t="s">
        <v>40</v>
      </c>
      <c r="E361" s="10" t="s">
        <v>41</v>
      </c>
      <c r="F361" s="92">
        <v>7</v>
      </c>
      <c r="G361" s="109" t="s">
        <v>412</v>
      </c>
      <c r="H361" s="109" t="s">
        <v>406</v>
      </c>
      <c r="I361" s="90" t="s">
        <v>425</v>
      </c>
      <c r="J361" s="90"/>
      <c r="K361" s="90"/>
      <c r="L361" s="90"/>
      <c r="M361" s="90"/>
      <c r="N361" s="90"/>
      <c r="O361" s="90"/>
      <c r="P361" s="109" t="s">
        <v>229</v>
      </c>
      <c r="Q361" s="47"/>
      <c r="R361" s="90"/>
      <c r="S361" s="109" t="s">
        <v>481</v>
      </c>
      <c r="T361" s="132"/>
      <c r="U361" s="132"/>
      <c r="V361" s="109"/>
      <c r="W361" s="90"/>
      <c r="X361" s="130"/>
      <c r="Y361" s="129" t="str">
        <f t="shared" si="110"/>
        <v>TB_MENU</v>
      </c>
      <c r="Z361" s="50" t="str">
        <f t="shared" si="105"/>
        <v>MENU_SEQ INTEGER NOT NULL,</v>
      </c>
      <c r="AA361" s="50" t="str">
        <f t="shared" si="111"/>
        <v/>
      </c>
      <c r="AB361" s="50" t="str">
        <f t="shared" si="112"/>
        <v/>
      </c>
      <c r="AC361" s="50" t="str">
        <f t="shared" si="104"/>
        <v/>
      </c>
      <c r="AD361" s="50" t="str">
        <f t="shared" si="106"/>
        <v>ALTER TABLE TB_MENU ALTER COLUMN MENU_SEQ TYPE INTEGER;</v>
      </c>
      <c r="AE361" s="50" t="str">
        <f t="shared" si="107"/>
        <v>ALTER TABLE TB_MENU ADD COLUMN MENU_SEQ INTEGER NOT NULL;</v>
      </c>
      <c r="AF361" s="50" t="str">
        <f t="shared" si="108"/>
        <v>ALTER TABLE TB_MENU DROP COLUMN MENU_SEQ;</v>
      </c>
      <c r="AG361" s="50" t="str">
        <f t="shared" si="109"/>
        <v/>
      </c>
      <c r="AH361" s="50" t="str">
        <f t="shared" si="113"/>
        <v>COMMENT ON COLUMN TB_MENU.MENU_SEQ IS '메뉴 순번' ;</v>
      </c>
    </row>
    <row r="362" spans="1:34" ht="20" customHeight="1">
      <c r="A362" s="55">
        <v>358</v>
      </c>
      <c r="B362" s="26" t="s">
        <v>7</v>
      </c>
      <c r="C362" s="26" t="s">
        <v>19</v>
      </c>
      <c r="D362" s="10" t="s">
        <v>40</v>
      </c>
      <c r="E362" s="10" t="s">
        <v>41</v>
      </c>
      <c r="F362" s="92">
        <v>8</v>
      </c>
      <c r="G362" s="109" t="s">
        <v>599</v>
      </c>
      <c r="H362" s="109" t="s">
        <v>600</v>
      </c>
      <c r="I362" s="90"/>
      <c r="J362" s="90"/>
      <c r="K362" s="90"/>
      <c r="L362" s="90"/>
      <c r="M362" s="90"/>
      <c r="N362" s="90"/>
      <c r="O362" s="90"/>
      <c r="P362" s="51" t="s">
        <v>106</v>
      </c>
      <c r="Q362" s="126" t="s">
        <v>544</v>
      </c>
      <c r="R362" s="90"/>
      <c r="S362" s="109" t="s">
        <v>601</v>
      </c>
      <c r="T362" s="132"/>
      <c r="U362" s="132"/>
      <c r="V362" s="109"/>
      <c r="W362" s="90"/>
      <c r="X362" s="130"/>
      <c r="Y362" s="129" t="str">
        <f t="shared" ref="Y362" si="116">D362</f>
        <v>TB_MENU</v>
      </c>
      <c r="Z362" s="50" t="str">
        <f t="shared" si="105"/>
        <v>MENU_DC_SET_YN VARCHAR(1),</v>
      </c>
      <c r="AA362" s="50" t="str">
        <f t="shared" si="111"/>
        <v/>
      </c>
      <c r="AB362" s="50" t="str">
        <f t="shared" si="112"/>
        <v/>
      </c>
      <c r="AC362" s="50" t="str">
        <f t="shared" si="104"/>
        <v/>
      </c>
      <c r="AD362" s="50" t="str">
        <f t="shared" si="106"/>
        <v>ALTER TABLE TB_MENU ALTER COLUMN MENU_DC_SET_YN TYPE VARCHAR(1);</v>
      </c>
      <c r="AE362" s="50" t="str">
        <f t="shared" si="107"/>
        <v>ALTER TABLE TB_MENU ADD COLUMN MENU_DC_SET_YN VARCHAR(1);</v>
      </c>
      <c r="AF362" s="50" t="str">
        <f t="shared" si="108"/>
        <v>ALTER TABLE TB_MENU DROP COLUMN MENU_DC_SET_YN;</v>
      </c>
      <c r="AG362" s="50" t="str">
        <f t="shared" si="109"/>
        <v/>
      </c>
      <c r="AH362" s="50" t="str">
        <f t="shared" ref="AH362" si="117">"COMMENT ON COLUMN "&amp;D362&amp;"."&amp;G362&amp;" IS '"&amp;S362&amp;"' ;"</f>
        <v>COMMENT ON COLUMN TB_MENU.MENU_DC_SET_YN IS '메뉴 설명 설정 여부' ;</v>
      </c>
    </row>
    <row r="363" spans="1:34" ht="20" customHeight="1">
      <c r="A363" s="55">
        <v>359</v>
      </c>
      <c r="B363" s="26" t="s">
        <v>7</v>
      </c>
      <c r="C363" s="26" t="s">
        <v>19</v>
      </c>
      <c r="D363" s="10" t="s">
        <v>40</v>
      </c>
      <c r="E363" s="10" t="s">
        <v>41</v>
      </c>
      <c r="F363" s="92">
        <v>9</v>
      </c>
      <c r="G363" s="109" t="s">
        <v>413</v>
      </c>
      <c r="H363" s="109" t="s">
        <v>407</v>
      </c>
      <c r="I363" s="90"/>
      <c r="J363" s="90"/>
      <c r="K363" s="90"/>
      <c r="L363" s="90"/>
      <c r="M363" s="90"/>
      <c r="N363" s="90"/>
      <c r="O363" s="90"/>
      <c r="P363" s="105" t="s">
        <v>586</v>
      </c>
      <c r="Q363" s="126" t="s">
        <v>550</v>
      </c>
      <c r="R363" s="90"/>
      <c r="S363" s="109" t="s">
        <v>587</v>
      </c>
      <c r="T363" s="132"/>
      <c r="U363" s="132"/>
      <c r="V363" s="109" t="s">
        <v>589</v>
      </c>
      <c r="W363" s="90"/>
      <c r="X363" s="130"/>
      <c r="Y363" s="129" t="str">
        <f t="shared" si="110"/>
        <v>TB_MENU</v>
      </c>
      <c r="Z363" s="50" t="str">
        <f t="shared" si="105"/>
        <v>MENU_DC VARCHAR(255),</v>
      </c>
      <c r="AA363" s="50" t="str">
        <f t="shared" si="111"/>
        <v/>
      </c>
      <c r="AB363" s="50" t="str">
        <f t="shared" si="112"/>
        <v/>
      </c>
      <c r="AC363" s="50" t="str">
        <f t="shared" si="104"/>
        <v/>
      </c>
      <c r="AD363" s="50" t="str">
        <f t="shared" si="106"/>
        <v>ALTER TABLE TB_MENU ALTER COLUMN MENU_DC TYPE VARCHAR(255);</v>
      </c>
      <c r="AE363" s="50" t="str">
        <f t="shared" si="107"/>
        <v>ALTER TABLE TB_MENU ADD COLUMN MENU_DC VARCHAR(255);</v>
      </c>
      <c r="AF363" s="50" t="str">
        <f t="shared" si="108"/>
        <v>ALTER TABLE TB_MENU DROP COLUMN MENU_DC;</v>
      </c>
      <c r="AG363" s="50" t="str">
        <f t="shared" si="109"/>
        <v/>
      </c>
      <c r="AH363" s="50" t="str">
        <f t="shared" si="113"/>
        <v>COMMENT ON COLUMN TB_MENU.MENU_DC IS '메뉴 설명' ;</v>
      </c>
    </row>
    <row r="364" spans="1:34" ht="20" customHeight="1">
      <c r="A364" s="55">
        <v>360</v>
      </c>
      <c r="B364" s="26" t="s">
        <v>7</v>
      </c>
      <c r="C364" s="26" t="s">
        <v>19</v>
      </c>
      <c r="D364" s="10" t="s">
        <v>40</v>
      </c>
      <c r="E364" s="10" t="s">
        <v>41</v>
      </c>
      <c r="F364" s="92">
        <v>10</v>
      </c>
      <c r="G364" s="109" t="s">
        <v>585</v>
      </c>
      <c r="H364" s="109" t="s">
        <v>584</v>
      </c>
      <c r="I364" s="90"/>
      <c r="J364" s="90"/>
      <c r="K364" s="90"/>
      <c r="L364" s="90"/>
      <c r="M364" s="90"/>
      <c r="N364" s="90"/>
      <c r="O364" s="90"/>
      <c r="P364" s="109" t="s">
        <v>428</v>
      </c>
      <c r="Q364" s="92"/>
      <c r="R364" s="90"/>
      <c r="S364" s="109" t="s">
        <v>588</v>
      </c>
      <c r="T364" s="130"/>
      <c r="U364" s="130"/>
      <c r="V364" s="109" t="s">
        <v>590</v>
      </c>
      <c r="W364" s="90"/>
      <c r="X364" s="130"/>
      <c r="Y364" s="129" t="str">
        <f t="shared" si="110"/>
        <v>TB_MENU</v>
      </c>
      <c r="Z364" s="50" t="str">
        <f t="shared" si="105"/>
        <v>MENU_DETAIL_DC TEXT,</v>
      </c>
      <c r="AA364" s="50" t="str">
        <f t="shared" si="111"/>
        <v/>
      </c>
      <c r="AB364" s="50" t="str">
        <f t="shared" si="112"/>
        <v/>
      </c>
      <c r="AC364" s="50" t="str">
        <f t="shared" si="104"/>
        <v/>
      </c>
      <c r="AD364" s="50" t="str">
        <f t="shared" si="106"/>
        <v>ALTER TABLE TB_MENU ALTER COLUMN MENU_DETAIL_DC TYPE TEXT;</v>
      </c>
      <c r="AE364" s="50" t="str">
        <f t="shared" si="107"/>
        <v>ALTER TABLE TB_MENU ADD COLUMN MENU_DETAIL_DC TEXT;</v>
      </c>
      <c r="AF364" s="50" t="str">
        <f t="shared" si="108"/>
        <v>ALTER TABLE TB_MENU DROP COLUMN MENU_DETAIL_DC;</v>
      </c>
      <c r="AG364" s="50" t="str">
        <f t="shared" si="109"/>
        <v/>
      </c>
      <c r="AH364" s="50" t="str">
        <f t="shared" si="113"/>
        <v>COMMENT ON COLUMN TB_MENU.MENU_DETAIL_DC IS '메뉴 상세 설명' ;</v>
      </c>
    </row>
    <row r="365" spans="1:34" ht="20" customHeight="1">
      <c r="A365" s="55">
        <v>361</v>
      </c>
      <c r="B365" s="26" t="s">
        <v>7</v>
      </c>
      <c r="C365" s="26" t="s">
        <v>19</v>
      </c>
      <c r="D365" s="10" t="s">
        <v>40</v>
      </c>
      <c r="E365" s="10" t="s">
        <v>41</v>
      </c>
      <c r="F365" s="92">
        <v>11</v>
      </c>
      <c r="G365" s="109" t="s">
        <v>758</v>
      </c>
      <c r="H365" s="109" t="s">
        <v>754</v>
      </c>
      <c r="I365" s="90"/>
      <c r="J365" s="90"/>
      <c r="K365" s="90"/>
      <c r="L365" s="90"/>
      <c r="M365" s="90"/>
      <c r="N365" s="90"/>
      <c r="O365" s="90"/>
      <c r="P365" s="51" t="s">
        <v>106</v>
      </c>
      <c r="Q365" s="126" t="s">
        <v>544</v>
      </c>
      <c r="R365" s="90" t="s">
        <v>756</v>
      </c>
      <c r="S365" s="109" t="s">
        <v>757</v>
      </c>
      <c r="T365" s="130"/>
      <c r="U365" s="130"/>
      <c r="V365" s="109" t="s">
        <v>755</v>
      </c>
      <c r="W365" s="90"/>
      <c r="X365" s="130"/>
      <c r="Y365" s="129" t="str">
        <f t="shared" si="110"/>
        <v>TB_MENU</v>
      </c>
      <c r="Z365" s="50" t="str">
        <f t="shared" si="105"/>
        <v>NEW_WINDOW_YN VARCHAR(1),</v>
      </c>
      <c r="AA365" s="50" t="str">
        <f t="shared" si="111"/>
        <v/>
      </c>
      <c r="AB365" s="50" t="str">
        <f t="shared" si="112"/>
        <v/>
      </c>
      <c r="AC365" s="50" t="str">
        <f t="shared" si="104"/>
        <v/>
      </c>
      <c r="AD365" s="50" t="str">
        <f t="shared" si="106"/>
        <v>ALTER TABLE TB_MENU ALTER COLUMN NEW_WINDOW_YN TYPE VARCHAR(1);</v>
      </c>
      <c r="AE365" s="50" t="str">
        <f t="shared" si="107"/>
        <v>ALTER TABLE TB_MENU ADD COLUMN NEW_WINDOW_YN VARCHAR(1) DEFAULT 'N';</v>
      </c>
      <c r="AF365" s="50" t="str">
        <f t="shared" si="108"/>
        <v>ALTER TABLE TB_MENU DROP COLUMN NEW_WINDOW_YN;</v>
      </c>
      <c r="AG365" s="50" t="str">
        <f t="shared" si="109"/>
        <v>ALTER TABLE TB_MENU ALTER COLUMN NEW_WINDOW_YN SET DEFAULT N;</v>
      </c>
      <c r="AH365" s="50" t="str">
        <f t="shared" si="113"/>
        <v>COMMENT ON COLUMN TB_MENU.NEW_WINDOW_YN IS '새창 여부' ;</v>
      </c>
    </row>
    <row r="366" spans="1:34" ht="20" customHeight="1">
      <c r="A366" s="55">
        <v>362</v>
      </c>
      <c r="B366" s="26" t="s">
        <v>7</v>
      </c>
      <c r="C366" s="26" t="s">
        <v>19</v>
      </c>
      <c r="D366" s="10" t="s">
        <v>40</v>
      </c>
      <c r="E366" s="10" t="s">
        <v>41</v>
      </c>
      <c r="F366" s="92">
        <v>12</v>
      </c>
      <c r="G366" s="109" t="s">
        <v>514</v>
      </c>
      <c r="H366" s="109" t="s">
        <v>513</v>
      </c>
      <c r="I366" s="90"/>
      <c r="J366" s="90"/>
      <c r="K366" s="90">
        <v>1</v>
      </c>
      <c r="L366" s="10" t="s">
        <v>371</v>
      </c>
      <c r="M366" s="101" t="s">
        <v>372</v>
      </c>
      <c r="N366" s="101" t="s">
        <v>562</v>
      </c>
      <c r="O366" s="101" t="s">
        <v>563</v>
      </c>
      <c r="P366" s="109" t="s">
        <v>229</v>
      </c>
      <c r="Q366" s="92"/>
      <c r="R366" s="90"/>
      <c r="S366" s="109" t="s">
        <v>532</v>
      </c>
      <c r="T366" s="130"/>
      <c r="U366" s="130"/>
      <c r="V366" s="109" t="s">
        <v>591</v>
      </c>
      <c r="W366" s="90"/>
      <c r="X366" s="130"/>
      <c r="Y366" s="129" t="str">
        <f t="shared" si="110"/>
        <v>TB_MENU</v>
      </c>
      <c r="Z366" s="50" t="str">
        <f t="shared" si="105"/>
        <v>ATCH_FILE_SN INTEGER,</v>
      </c>
      <c r="AA366" s="50" t="str">
        <f t="shared" si="111"/>
        <v>ALTER TABLE TB_MENU ADD CONSTRAINT TB_MENU_FKEY1 FOREIGN KEY(ATCH_FILE_SN) REFERENCES TB_ATCH_FILE(ATCH_FILE_SN) ON UPDATE CASCADE ON DELETE SET NULL;</v>
      </c>
      <c r="AB366" s="50" t="str">
        <f t="shared" si="112"/>
        <v/>
      </c>
      <c r="AC366" s="50" t="str">
        <f t="shared" si="104"/>
        <v/>
      </c>
      <c r="AD366" s="50" t="str">
        <f t="shared" si="106"/>
        <v>ALTER TABLE TB_MENU ALTER COLUMN ATCH_FILE_SN TYPE INTEGER;</v>
      </c>
      <c r="AE366" s="50" t="str">
        <f t="shared" si="107"/>
        <v>ALTER TABLE TB_MENU ADD COLUMN ATCH_FILE_SN INTEGER;</v>
      </c>
      <c r="AF366" s="50" t="str">
        <f t="shared" si="108"/>
        <v>ALTER TABLE TB_MENU DROP COLUMN ATCH_FILE_SN;</v>
      </c>
      <c r="AG366" s="50" t="str">
        <f t="shared" si="109"/>
        <v/>
      </c>
      <c r="AH366" s="50" t="str">
        <f t="shared" si="113"/>
        <v>COMMENT ON COLUMN TB_MENU.ATCH_FILE_SN IS '첨부 파일 일련번호' ;</v>
      </c>
    </row>
    <row r="367" spans="1:34" ht="20" customHeight="1">
      <c r="A367" s="55">
        <v>363</v>
      </c>
      <c r="B367" s="26" t="s">
        <v>7</v>
      </c>
      <c r="C367" s="26" t="s">
        <v>19</v>
      </c>
      <c r="D367" s="10" t="s">
        <v>40</v>
      </c>
      <c r="E367" s="10" t="s">
        <v>41</v>
      </c>
      <c r="F367" s="92">
        <v>13</v>
      </c>
      <c r="G367" s="109" t="s">
        <v>415</v>
      </c>
      <c r="H367" s="109" t="s">
        <v>414</v>
      </c>
      <c r="I367" s="90" t="s">
        <v>425</v>
      </c>
      <c r="J367" s="90"/>
      <c r="K367" s="90"/>
      <c r="L367" s="90"/>
      <c r="M367" s="90"/>
      <c r="N367" s="90"/>
      <c r="O367" s="90"/>
      <c r="P367" s="51" t="s">
        <v>106</v>
      </c>
      <c r="Q367" s="126" t="s">
        <v>544</v>
      </c>
      <c r="R367" s="90"/>
      <c r="S367" s="109" t="s">
        <v>472</v>
      </c>
      <c r="T367" s="130"/>
      <c r="U367" s="130"/>
      <c r="V367" s="109"/>
      <c r="W367" s="90"/>
      <c r="X367" s="130"/>
      <c r="Y367" s="129" t="str">
        <f t="shared" si="110"/>
        <v>TB_MENU</v>
      </c>
      <c r="Z367" s="50" t="str">
        <f t="shared" si="105"/>
        <v>USE_YN VARCHAR(1) NOT NULL,</v>
      </c>
      <c r="AA367" s="50" t="str">
        <f t="shared" si="111"/>
        <v/>
      </c>
      <c r="AB367" s="50" t="str">
        <f t="shared" si="112"/>
        <v/>
      </c>
      <c r="AC367" s="50" t="str">
        <f t="shared" si="104"/>
        <v/>
      </c>
      <c r="AD367" s="50" t="str">
        <f t="shared" si="106"/>
        <v>ALTER TABLE TB_MENU ALTER COLUMN USE_YN TYPE VARCHAR(1);</v>
      </c>
      <c r="AE367" s="50" t="str">
        <f t="shared" si="107"/>
        <v>ALTER TABLE TB_MENU ADD COLUMN USE_YN VARCHAR(1) NOT NULL;</v>
      </c>
      <c r="AF367" s="50" t="str">
        <f t="shared" si="108"/>
        <v>ALTER TABLE TB_MENU DROP COLUMN USE_YN;</v>
      </c>
      <c r="AG367" s="50" t="str">
        <f t="shared" si="109"/>
        <v/>
      </c>
      <c r="AH367" s="50" t="str">
        <f t="shared" si="113"/>
        <v>COMMENT ON COLUMN TB_MENU.USE_YN IS '사용 여부' ;</v>
      </c>
    </row>
    <row r="368" spans="1:34" ht="20" customHeight="1">
      <c r="A368" s="55">
        <v>364</v>
      </c>
      <c r="B368" s="26" t="s">
        <v>7</v>
      </c>
      <c r="C368" s="26" t="s">
        <v>19</v>
      </c>
      <c r="D368" s="10" t="s">
        <v>40</v>
      </c>
      <c r="E368" s="10" t="s">
        <v>41</v>
      </c>
      <c r="F368" s="92">
        <v>14</v>
      </c>
      <c r="G368" s="102" t="s">
        <v>107</v>
      </c>
      <c r="H368" s="51" t="s">
        <v>76</v>
      </c>
      <c r="I368" s="75" t="s">
        <v>72</v>
      </c>
      <c r="J368" s="67"/>
      <c r="K368" s="67"/>
      <c r="L368" s="82"/>
      <c r="M368" s="82"/>
      <c r="N368" s="82"/>
      <c r="O368" s="82"/>
      <c r="P368" s="105" t="s">
        <v>543</v>
      </c>
      <c r="Q368" s="126" t="s">
        <v>548</v>
      </c>
      <c r="R368" s="85"/>
      <c r="S368" s="112" t="s">
        <v>219</v>
      </c>
      <c r="T368" s="130"/>
      <c r="U368" s="130"/>
      <c r="V368" s="123" t="s">
        <v>518</v>
      </c>
      <c r="W368" s="90"/>
      <c r="X368" s="130"/>
      <c r="Y368" s="129" t="str">
        <f t="shared" si="110"/>
        <v>TB_MENU</v>
      </c>
      <c r="Z368" s="50" t="str">
        <f t="shared" si="105"/>
        <v>REGISTER_ID VARCHAR(50) NOT NULL,</v>
      </c>
      <c r="AA368" s="50" t="str">
        <f t="shared" si="111"/>
        <v/>
      </c>
      <c r="AB368" s="50" t="str">
        <f t="shared" si="112"/>
        <v/>
      </c>
      <c r="AC368" s="50" t="str">
        <f t="shared" si="104"/>
        <v/>
      </c>
      <c r="AD368" s="50" t="str">
        <f t="shared" si="106"/>
        <v>ALTER TABLE TB_MENU ALTER COLUMN REGISTER_ID TYPE VARCHAR(50);</v>
      </c>
      <c r="AE368" s="50" t="str">
        <f t="shared" si="107"/>
        <v>ALTER TABLE TB_MENU ADD COLUMN REGISTER_ID VARCHAR(50) NOT NULL;</v>
      </c>
      <c r="AF368" s="50" t="str">
        <f t="shared" si="108"/>
        <v>ALTER TABLE TB_MENU DROP COLUMN REGISTER_ID;</v>
      </c>
      <c r="AG368" s="50" t="str">
        <f t="shared" si="109"/>
        <v/>
      </c>
      <c r="AH368" s="50" t="str">
        <f t="shared" si="113"/>
        <v>COMMENT ON COLUMN TB_MENU.REGISTER_ID IS '등록자 ID' ;</v>
      </c>
    </row>
    <row r="369" spans="1:34" ht="20" customHeight="1">
      <c r="A369" s="55">
        <v>365</v>
      </c>
      <c r="B369" s="26" t="s">
        <v>7</v>
      </c>
      <c r="C369" s="26" t="s">
        <v>19</v>
      </c>
      <c r="D369" s="10" t="s">
        <v>40</v>
      </c>
      <c r="E369" s="10" t="s">
        <v>41</v>
      </c>
      <c r="F369" s="92">
        <v>15</v>
      </c>
      <c r="G369" s="102" t="s">
        <v>91</v>
      </c>
      <c r="H369" s="51" t="s">
        <v>77</v>
      </c>
      <c r="I369" s="75" t="s">
        <v>72</v>
      </c>
      <c r="J369" s="52"/>
      <c r="K369" s="52"/>
      <c r="L369" s="52"/>
      <c r="M369" s="52"/>
      <c r="N369" s="52"/>
      <c r="O369" s="52"/>
      <c r="P369" s="56" t="s">
        <v>106</v>
      </c>
      <c r="Q369" s="127" t="s">
        <v>549</v>
      </c>
      <c r="R369" s="85"/>
      <c r="S369" s="112" t="s">
        <v>218</v>
      </c>
      <c r="T369" s="130"/>
      <c r="U369" s="130"/>
      <c r="V369" s="109"/>
      <c r="W369" s="90"/>
      <c r="X369" s="130"/>
      <c r="Y369" s="129" t="str">
        <f t="shared" si="110"/>
        <v>TB_MENU</v>
      </c>
      <c r="Z369" s="50" t="str">
        <f t="shared" si="105"/>
        <v>REGISTER_IP VARCHAR(100) NOT NULL,</v>
      </c>
      <c r="AA369" s="50" t="str">
        <f t="shared" si="111"/>
        <v/>
      </c>
      <c r="AB369" s="50" t="str">
        <f t="shared" si="112"/>
        <v/>
      </c>
      <c r="AC369" s="50" t="str">
        <f t="shared" si="104"/>
        <v/>
      </c>
      <c r="AD369" s="50" t="str">
        <f t="shared" si="106"/>
        <v>ALTER TABLE TB_MENU ALTER COLUMN REGISTER_IP TYPE VARCHAR(100);</v>
      </c>
      <c r="AE369" s="50" t="str">
        <f t="shared" si="107"/>
        <v>ALTER TABLE TB_MENU ADD COLUMN REGISTER_IP VARCHAR(100) NOT NULL;</v>
      </c>
      <c r="AF369" s="50" t="str">
        <f t="shared" si="108"/>
        <v>ALTER TABLE TB_MENU DROP COLUMN REGISTER_IP;</v>
      </c>
      <c r="AG369" s="50" t="str">
        <f t="shared" si="109"/>
        <v/>
      </c>
      <c r="AH369" s="50" t="str">
        <f t="shared" si="113"/>
        <v>COMMENT ON COLUMN TB_MENU.REGISTER_IP IS '등록자 IP' ;</v>
      </c>
    </row>
    <row r="370" spans="1:34" ht="20" customHeight="1">
      <c r="A370" s="55">
        <v>366</v>
      </c>
      <c r="B370" s="26" t="s">
        <v>7</v>
      </c>
      <c r="C370" s="26" t="s">
        <v>19</v>
      </c>
      <c r="D370" s="10" t="s">
        <v>40</v>
      </c>
      <c r="E370" s="10" t="s">
        <v>41</v>
      </c>
      <c r="F370" s="92">
        <v>16</v>
      </c>
      <c r="G370" s="102" t="s">
        <v>92</v>
      </c>
      <c r="H370" s="101" t="s">
        <v>78</v>
      </c>
      <c r="I370" s="75" t="s">
        <v>72</v>
      </c>
      <c r="J370" s="52"/>
      <c r="K370" s="52"/>
      <c r="L370" s="52"/>
      <c r="M370" s="52"/>
      <c r="N370" s="52"/>
      <c r="O370" s="52"/>
      <c r="P370" s="51" t="s">
        <v>732</v>
      </c>
      <c r="Q370" s="127"/>
      <c r="R370" s="85"/>
      <c r="S370" s="112" t="s">
        <v>217</v>
      </c>
      <c r="T370" s="130"/>
      <c r="U370" s="130"/>
      <c r="V370" s="109"/>
      <c r="W370" s="90"/>
      <c r="X370" s="130"/>
      <c r="Y370" s="129" t="str">
        <f t="shared" si="110"/>
        <v>TB_MENU</v>
      </c>
      <c r="Z370" s="50" t="str">
        <f t="shared" si="105"/>
        <v>REG_DT TIMESTAMP NOT NULL,</v>
      </c>
      <c r="AA370" s="50" t="str">
        <f t="shared" si="111"/>
        <v/>
      </c>
      <c r="AB370" s="50" t="str">
        <f t="shared" si="112"/>
        <v/>
      </c>
      <c r="AC370" s="50" t="str">
        <f t="shared" si="104"/>
        <v/>
      </c>
      <c r="AD370" s="50" t="str">
        <f t="shared" si="106"/>
        <v>ALTER TABLE TB_MENU ALTER COLUMN REG_DT TYPE TIMESTAMP;</v>
      </c>
      <c r="AE370" s="50" t="str">
        <f t="shared" si="107"/>
        <v>ALTER TABLE TB_MENU ADD COLUMN REG_DT TIMESTAMP NOT NULL;</v>
      </c>
      <c r="AF370" s="50" t="str">
        <f t="shared" si="108"/>
        <v>ALTER TABLE TB_MENU DROP COLUMN REG_DT;</v>
      </c>
      <c r="AG370" s="50" t="str">
        <f t="shared" si="109"/>
        <v/>
      </c>
      <c r="AH370" s="50" t="str">
        <f t="shared" si="113"/>
        <v>COMMENT ON COLUMN TB_MENU.REG_DT IS '등록 일시' ;</v>
      </c>
    </row>
    <row r="371" spans="1:34" ht="20" customHeight="1">
      <c r="A371" s="55">
        <v>367</v>
      </c>
      <c r="B371" s="26" t="s">
        <v>7</v>
      </c>
      <c r="C371" s="26" t="s">
        <v>19</v>
      </c>
      <c r="D371" s="10" t="s">
        <v>40</v>
      </c>
      <c r="E371" s="10" t="s">
        <v>41</v>
      </c>
      <c r="F371" s="92">
        <v>17</v>
      </c>
      <c r="G371" s="102" t="s">
        <v>93</v>
      </c>
      <c r="H371" s="101" t="s">
        <v>80</v>
      </c>
      <c r="I371" s="52"/>
      <c r="J371" s="52"/>
      <c r="K371" s="52"/>
      <c r="L371" s="84"/>
      <c r="M371" s="84"/>
      <c r="N371" s="84"/>
      <c r="O371" s="84"/>
      <c r="P371" s="105" t="s">
        <v>543</v>
      </c>
      <c r="Q371" s="126" t="s">
        <v>548</v>
      </c>
      <c r="R371" s="85"/>
      <c r="S371" s="112" t="s">
        <v>216</v>
      </c>
      <c r="T371" s="130"/>
      <c r="U371" s="130"/>
      <c r="V371" s="123" t="s">
        <v>518</v>
      </c>
      <c r="W371" s="90"/>
      <c r="X371" s="130"/>
      <c r="Y371" s="129" t="str">
        <f t="shared" si="110"/>
        <v>TB_MENU</v>
      </c>
      <c r="Z371" s="50" t="str">
        <f t="shared" si="105"/>
        <v>UPDUSR_ID VARCHAR(50),</v>
      </c>
      <c r="AA371" s="50" t="str">
        <f t="shared" si="111"/>
        <v/>
      </c>
      <c r="AB371" s="50" t="str">
        <f t="shared" si="112"/>
        <v/>
      </c>
      <c r="AC371" s="50" t="str">
        <f t="shared" si="104"/>
        <v/>
      </c>
      <c r="AD371" s="50" t="str">
        <f t="shared" si="106"/>
        <v>ALTER TABLE TB_MENU ALTER COLUMN UPDUSR_ID TYPE VARCHAR(50);</v>
      </c>
      <c r="AE371" s="50" t="str">
        <f t="shared" si="107"/>
        <v>ALTER TABLE TB_MENU ADD COLUMN UPDUSR_ID VARCHAR(50);</v>
      </c>
      <c r="AF371" s="50" t="str">
        <f t="shared" si="108"/>
        <v>ALTER TABLE TB_MENU DROP COLUMN UPDUSR_ID;</v>
      </c>
      <c r="AG371" s="50" t="str">
        <f t="shared" si="109"/>
        <v/>
      </c>
      <c r="AH371" s="50" t="str">
        <f t="shared" si="113"/>
        <v>COMMENT ON COLUMN TB_MENU.UPDUSR_ID IS '수정자 ID' ;</v>
      </c>
    </row>
    <row r="372" spans="1:34" ht="20" customHeight="1">
      <c r="A372" s="55">
        <v>368</v>
      </c>
      <c r="B372" s="26" t="s">
        <v>7</v>
      </c>
      <c r="C372" s="26" t="s">
        <v>19</v>
      </c>
      <c r="D372" s="10" t="s">
        <v>40</v>
      </c>
      <c r="E372" s="10" t="s">
        <v>41</v>
      </c>
      <c r="F372" s="92">
        <v>18</v>
      </c>
      <c r="G372" s="102" t="s">
        <v>94</v>
      </c>
      <c r="H372" s="101" t="s">
        <v>79</v>
      </c>
      <c r="I372" s="52"/>
      <c r="J372" s="52"/>
      <c r="K372" s="52"/>
      <c r="L372" s="52"/>
      <c r="M372" s="52"/>
      <c r="N372" s="52"/>
      <c r="O372" s="52"/>
      <c r="P372" s="56" t="s">
        <v>106</v>
      </c>
      <c r="Q372" s="127" t="s">
        <v>549</v>
      </c>
      <c r="R372" s="85"/>
      <c r="S372" s="112" t="s">
        <v>215</v>
      </c>
      <c r="T372" s="130"/>
      <c r="U372" s="130"/>
      <c r="V372" s="109"/>
      <c r="W372" s="90"/>
      <c r="X372" s="130"/>
      <c r="Y372" s="129" t="str">
        <f t="shared" si="110"/>
        <v>TB_MENU</v>
      </c>
      <c r="Z372" s="50" t="str">
        <f t="shared" si="105"/>
        <v>UPDUSR_IP VARCHAR(100),</v>
      </c>
      <c r="AA372" s="50" t="str">
        <f t="shared" si="111"/>
        <v/>
      </c>
      <c r="AB372" s="50" t="str">
        <f t="shared" si="112"/>
        <v/>
      </c>
      <c r="AC372" s="50" t="str">
        <f t="shared" si="104"/>
        <v/>
      </c>
      <c r="AD372" s="50" t="str">
        <f t="shared" si="106"/>
        <v>ALTER TABLE TB_MENU ALTER COLUMN UPDUSR_IP TYPE VARCHAR(100);</v>
      </c>
      <c r="AE372" s="50" t="str">
        <f t="shared" si="107"/>
        <v>ALTER TABLE TB_MENU ADD COLUMN UPDUSR_IP VARCHAR(100);</v>
      </c>
      <c r="AF372" s="50" t="str">
        <f t="shared" si="108"/>
        <v>ALTER TABLE TB_MENU DROP COLUMN UPDUSR_IP;</v>
      </c>
      <c r="AG372" s="50" t="str">
        <f t="shared" si="109"/>
        <v/>
      </c>
      <c r="AH372" s="50" t="str">
        <f t="shared" si="113"/>
        <v>COMMENT ON COLUMN TB_MENU.UPDUSR_IP IS '수정자 IP' ;</v>
      </c>
    </row>
    <row r="373" spans="1:34" ht="20" customHeight="1">
      <c r="A373" s="55">
        <v>369</v>
      </c>
      <c r="B373" s="26" t="s">
        <v>7</v>
      </c>
      <c r="C373" s="26" t="s">
        <v>19</v>
      </c>
      <c r="D373" s="10" t="s">
        <v>40</v>
      </c>
      <c r="E373" s="10" t="s">
        <v>41</v>
      </c>
      <c r="F373" s="92">
        <v>19</v>
      </c>
      <c r="G373" s="103" t="s">
        <v>95</v>
      </c>
      <c r="H373" s="102" t="s">
        <v>81</v>
      </c>
      <c r="I373" s="61"/>
      <c r="J373" s="61"/>
      <c r="K373" s="61"/>
      <c r="L373" s="61"/>
      <c r="M373" s="61"/>
      <c r="N373" s="61"/>
      <c r="O373" s="61"/>
      <c r="P373" s="51" t="s">
        <v>732</v>
      </c>
      <c r="Q373" s="127"/>
      <c r="R373" s="82"/>
      <c r="S373" s="112" t="s">
        <v>214</v>
      </c>
      <c r="T373" s="130"/>
      <c r="U373" s="130"/>
      <c r="V373" s="109"/>
      <c r="W373" s="90"/>
      <c r="X373" s="130"/>
      <c r="Y373" s="129" t="str">
        <f t="shared" si="110"/>
        <v>TB_MENU</v>
      </c>
      <c r="Z373" s="50" t="str">
        <f t="shared" si="105"/>
        <v>UPDT_DT TIMESTAMP,</v>
      </c>
      <c r="AA373" s="50" t="str">
        <f t="shared" si="111"/>
        <v/>
      </c>
      <c r="AB373" s="50" t="str">
        <f t="shared" si="112"/>
        <v/>
      </c>
      <c r="AC373" s="50" t="str">
        <f t="shared" si="104"/>
        <v/>
      </c>
      <c r="AD373" s="50" t="str">
        <f t="shared" si="106"/>
        <v>ALTER TABLE TB_MENU ALTER COLUMN UPDT_DT TYPE TIMESTAMP;</v>
      </c>
      <c r="AE373" s="50" t="str">
        <f t="shared" si="107"/>
        <v>ALTER TABLE TB_MENU ADD COLUMN UPDT_DT TIMESTAMP;</v>
      </c>
      <c r="AF373" s="50" t="str">
        <f t="shared" si="108"/>
        <v>ALTER TABLE TB_MENU DROP COLUMN UPDT_DT;</v>
      </c>
      <c r="AG373" s="50" t="str">
        <f t="shared" si="109"/>
        <v/>
      </c>
      <c r="AH373" s="50" t="str">
        <f t="shared" si="113"/>
        <v>COMMENT ON COLUMN TB_MENU.UPDT_DT IS '수정 일시' ;</v>
      </c>
    </row>
    <row r="374" spans="1:34" ht="20" customHeight="1">
      <c r="A374" s="55">
        <v>370</v>
      </c>
      <c r="B374" s="26" t="s">
        <v>7</v>
      </c>
      <c r="C374" s="26" t="s">
        <v>19</v>
      </c>
      <c r="D374" s="10" t="s">
        <v>40</v>
      </c>
      <c r="E374" s="10" t="s">
        <v>41</v>
      </c>
      <c r="F374" s="92">
        <v>20</v>
      </c>
      <c r="G374" s="102" t="s">
        <v>96</v>
      </c>
      <c r="H374" s="102" t="s">
        <v>82</v>
      </c>
      <c r="I374" s="75" t="s">
        <v>72</v>
      </c>
      <c r="J374" s="61"/>
      <c r="K374" s="61"/>
      <c r="L374" s="61"/>
      <c r="M374" s="61"/>
      <c r="N374" s="61"/>
      <c r="O374" s="61"/>
      <c r="P374" s="51" t="s">
        <v>106</v>
      </c>
      <c r="Q374" s="127" t="s">
        <v>544</v>
      </c>
      <c r="R374" s="87" t="s">
        <v>592</v>
      </c>
      <c r="S374" s="112" t="s">
        <v>213</v>
      </c>
      <c r="T374" s="130"/>
      <c r="U374" s="130"/>
      <c r="V374" s="109"/>
      <c r="W374" s="90"/>
      <c r="X374" s="130"/>
      <c r="Y374" s="129" t="str">
        <f t="shared" si="110"/>
        <v>TB_MENU</v>
      </c>
      <c r="Z374" s="50" t="str">
        <f t="shared" si="105"/>
        <v>DEL_YN VARCHAR(1) NOT NULL,</v>
      </c>
      <c r="AA374" s="50" t="str">
        <f t="shared" si="111"/>
        <v/>
      </c>
      <c r="AB374" s="50" t="str">
        <f t="shared" si="112"/>
        <v/>
      </c>
      <c r="AC374" s="50" t="str">
        <f t="shared" si="104"/>
        <v/>
      </c>
      <c r="AD374" s="50" t="str">
        <f t="shared" si="106"/>
        <v>ALTER TABLE TB_MENU ALTER COLUMN DEL_YN TYPE VARCHAR(1);</v>
      </c>
      <c r="AE374" s="50" t="str">
        <f t="shared" si="107"/>
        <v>ALTER TABLE TB_MENU ADD COLUMN DEL_YN VARCHAR(1) NOT NULL DEFAULT ''N'';</v>
      </c>
      <c r="AF374" s="50" t="str">
        <f t="shared" si="108"/>
        <v>ALTER TABLE TB_MENU DROP COLUMN DEL_YN;</v>
      </c>
      <c r="AG374" s="50" t="str">
        <f t="shared" si="109"/>
        <v>ALTER TABLE TB_MENU ALTER COLUMN DEL_YN SET DEFAULT 'N';</v>
      </c>
      <c r="AH374" s="50" t="str">
        <f t="shared" si="113"/>
        <v>COMMENT ON COLUMN TB_MENU.DEL_YN IS '삭제 여부' ;</v>
      </c>
    </row>
    <row r="375" spans="1:34" ht="20" customHeight="1">
      <c r="A375" s="55">
        <v>371</v>
      </c>
      <c r="B375" s="26" t="s">
        <v>7</v>
      </c>
      <c r="C375" s="26" t="s">
        <v>19</v>
      </c>
      <c r="D375" s="10" t="s">
        <v>419</v>
      </c>
      <c r="E375" s="10" t="s">
        <v>420</v>
      </c>
      <c r="F375" s="92">
        <v>1</v>
      </c>
      <c r="G375" s="109" t="s">
        <v>421</v>
      </c>
      <c r="H375" s="109" t="s">
        <v>422</v>
      </c>
      <c r="I375" s="90" t="s">
        <v>425</v>
      </c>
      <c r="J375" s="90">
        <v>1</v>
      </c>
      <c r="K375" s="90"/>
      <c r="L375" s="90"/>
      <c r="M375" s="90"/>
      <c r="N375" s="90"/>
      <c r="O375" s="90"/>
      <c r="P375" s="109" t="s">
        <v>426</v>
      </c>
      <c r="Q375" s="92"/>
      <c r="R375" s="90"/>
      <c r="S375" s="109" t="s">
        <v>482</v>
      </c>
      <c r="T375" s="132" t="str">
        <f>"SEQ_"&amp;D375&amp;"_SN"</f>
        <v>SEQ_TB_MENU_ROLE_SN</v>
      </c>
      <c r="U375" s="132"/>
      <c r="V375" s="109"/>
      <c r="W375" s="90"/>
      <c r="X375" s="130"/>
      <c r="Y375" s="129" t="str">
        <f t="shared" si="110"/>
        <v>TB_MENU_ROLE</v>
      </c>
      <c r="Z375" s="50" t="str">
        <f t="shared" si="105"/>
        <v>MENU_ROLE_SN INTEGER PRIMARY KEY,</v>
      </c>
      <c r="AA375" s="50" t="str">
        <f t="shared" si="111"/>
        <v/>
      </c>
      <c r="AB375" s="50" t="str">
        <f t="shared" si="112"/>
        <v>CREATE SEQUENCE SEQ_TB_MENU_ROLE_SN START 100000;</v>
      </c>
      <c r="AC375" s="50" t="str">
        <f t="shared" si="104"/>
        <v>ALTER TABLE TB_MENU_ROLE ALTER COLUMN MENU_ROLE_SN SET DEFAULT NEXTVAL('SEQ_TB_MENU_ROLE_SN');</v>
      </c>
      <c r="AD375" s="50" t="str">
        <f t="shared" si="106"/>
        <v>ALTER TABLE TB_MENU_ROLE ALTER COLUMN MENU_ROLE_SN TYPE INTEGER;</v>
      </c>
      <c r="AE375" s="50" t="str">
        <f t="shared" si="107"/>
        <v>ALTER TABLE TB_MENU_ROLE ADD COLUMN MENU_ROLE_SN INTEGER NOT NULL;</v>
      </c>
      <c r="AF375" s="50" t="str">
        <f t="shared" si="108"/>
        <v>ALTER TABLE TB_MENU_ROLE DROP COLUMN MENU_ROLE_SN;</v>
      </c>
      <c r="AG375" s="50" t="str">
        <f t="shared" si="109"/>
        <v/>
      </c>
      <c r="AH375" s="50" t="str">
        <f t="shared" si="113"/>
        <v>COMMENT ON COLUMN TB_MENU_ROLE.MENU_ROLE_SN IS '메뉴 권한 일련번호' ;</v>
      </c>
    </row>
    <row r="376" spans="1:34" ht="20" customHeight="1">
      <c r="A376" s="55">
        <v>372</v>
      </c>
      <c r="B376" s="26" t="s">
        <v>7</v>
      </c>
      <c r="C376" s="26" t="s">
        <v>19</v>
      </c>
      <c r="D376" s="10" t="s">
        <v>419</v>
      </c>
      <c r="E376" s="10" t="s">
        <v>420</v>
      </c>
      <c r="F376" s="92">
        <v>2</v>
      </c>
      <c r="G376" s="109" t="s">
        <v>424</v>
      </c>
      <c r="H376" s="109" t="s">
        <v>423</v>
      </c>
      <c r="I376" s="90" t="s">
        <v>425</v>
      </c>
      <c r="J376" s="90"/>
      <c r="K376" s="90">
        <v>1</v>
      </c>
      <c r="L376" s="10" t="s">
        <v>40</v>
      </c>
      <c r="M376" s="109" t="s">
        <v>408</v>
      </c>
      <c r="N376" s="100" t="s">
        <v>562</v>
      </c>
      <c r="O376" s="100" t="s">
        <v>564</v>
      </c>
      <c r="P376" s="109" t="s">
        <v>426</v>
      </c>
      <c r="Q376" s="92"/>
      <c r="R376" s="90"/>
      <c r="S376" s="109" t="s">
        <v>483</v>
      </c>
      <c r="T376" s="130"/>
      <c r="U376" s="130"/>
      <c r="V376" s="109"/>
      <c r="W376" s="90"/>
      <c r="X376" s="130"/>
      <c r="Y376" s="129" t="str">
        <f t="shared" si="110"/>
        <v>TB_MENU_ROLE</v>
      </c>
      <c r="Z376" s="50" t="str">
        <f t="shared" si="105"/>
        <v>MENU_SN INTEGER NOT NULL,</v>
      </c>
      <c r="AA376" s="50" t="str">
        <f t="shared" si="111"/>
        <v>ALTER TABLE TB_MENU_ROLE ADD CONSTRAINT TB_MENU_ROLE_FKEY1 FOREIGN KEY(MENU_SN) REFERENCES TB_MENU(MENU_SN) ON UPDATE CASCADE ON DELETE CASCADE;</v>
      </c>
      <c r="AB376" s="50" t="str">
        <f t="shared" si="112"/>
        <v/>
      </c>
      <c r="AC376" s="50" t="str">
        <f t="shared" si="104"/>
        <v/>
      </c>
      <c r="AD376" s="50" t="str">
        <f t="shared" si="106"/>
        <v>ALTER TABLE TB_MENU_ROLE ALTER COLUMN MENU_SN TYPE INTEGER;</v>
      </c>
      <c r="AE376" s="50" t="str">
        <f t="shared" si="107"/>
        <v>ALTER TABLE TB_MENU_ROLE ADD COLUMN MENU_SN INTEGER NOT NULL;</v>
      </c>
      <c r="AF376" s="50" t="str">
        <f t="shared" si="108"/>
        <v>ALTER TABLE TB_MENU_ROLE DROP COLUMN MENU_SN;</v>
      </c>
      <c r="AG376" s="50" t="str">
        <f t="shared" si="109"/>
        <v/>
      </c>
      <c r="AH376" s="50" t="str">
        <f t="shared" si="113"/>
        <v>COMMENT ON COLUMN TB_MENU_ROLE.MENU_SN IS '메뉴 일련번호' ;</v>
      </c>
    </row>
    <row r="377" spans="1:34" ht="20" customHeight="1">
      <c r="A377" s="55">
        <v>373</v>
      </c>
      <c r="B377" s="26" t="s">
        <v>7</v>
      </c>
      <c r="C377" s="26" t="s">
        <v>19</v>
      </c>
      <c r="D377" s="10" t="s">
        <v>419</v>
      </c>
      <c r="E377" s="10" t="s">
        <v>420</v>
      </c>
      <c r="F377" s="92">
        <v>3</v>
      </c>
      <c r="G377" s="106" t="s">
        <v>136</v>
      </c>
      <c r="H377" s="106" t="s">
        <v>135</v>
      </c>
      <c r="I377" s="90" t="s">
        <v>425</v>
      </c>
      <c r="J377" s="90"/>
      <c r="K377" s="90">
        <v>2</v>
      </c>
      <c r="L377" s="10" t="s">
        <v>116</v>
      </c>
      <c r="M377" s="106" t="s">
        <v>136</v>
      </c>
      <c r="N377" s="100" t="s">
        <v>562</v>
      </c>
      <c r="O377" s="100" t="s">
        <v>564</v>
      </c>
      <c r="P377" s="109" t="s">
        <v>426</v>
      </c>
      <c r="Q377" s="92"/>
      <c r="R377" s="90"/>
      <c r="S377" s="109" t="s">
        <v>484</v>
      </c>
      <c r="T377" s="130"/>
      <c r="U377" s="130"/>
      <c r="V377" s="109"/>
      <c r="W377" s="90"/>
      <c r="X377" s="130"/>
      <c r="Y377" s="129" t="str">
        <f t="shared" si="110"/>
        <v>TB_MENU_ROLE</v>
      </c>
      <c r="Z377" s="50" t="str">
        <f t="shared" si="105"/>
        <v>ROLE_SN INTEGER NOT NULL,</v>
      </c>
      <c r="AA377" s="50" t="str">
        <f t="shared" si="111"/>
        <v>ALTER TABLE TB_MENU_ROLE ADD CONSTRAINT TB_MENU_ROLE_FKEY2 FOREIGN KEY(ROLE_SN) REFERENCES TB_ROLE(ROLE_SN) ON UPDATE CASCADE ON DELETE CASCADE;</v>
      </c>
      <c r="AB377" s="50" t="str">
        <f t="shared" si="112"/>
        <v/>
      </c>
      <c r="AC377" s="50" t="str">
        <f t="shared" si="104"/>
        <v/>
      </c>
      <c r="AD377" s="50" t="str">
        <f t="shared" si="106"/>
        <v>ALTER TABLE TB_MENU_ROLE ALTER COLUMN ROLE_SN TYPE INTEGER;</v>
      </c>
      <c r="AE377" s="50" t="str">
        <f t="shared" si="107"/>
        <v>ALTER TABLE TB_MENU_ROLE ADD COLUMN ROLE_SN INTEGER NOT NULL;</v>
      </c>
      <c r="AF377" s="50" t="str">
        <f t="shared" si="108"/>
        <v>ALTER TABLE TB_MENU_ROLE DROP COLUMN ROLE_SN;</v>
      </c>
      <c r="AG377" s="50" t="str">
        <f t="shared" si="109"/>
        <v/>
      </c>
      <c r="AH377" s="50" t="str">
        <f t="shared" si="113"/>
        <v>COMMENT ON COLUMN TB_MENU_ROLE.ROLE_SN IS '권한 일련번호' ;</v>
      </c>
    </row>
    <row r="378" spans="1:34" ht="20" customHeight="1">
      <c r="A378" s="55">
        <v>374</v>
      </c>
      <c r="B378" s="26" t="s">
        <v>7</v>
      </c>
      <c r="C378" s="26" t="s">
        <v>19</v>
      </c>
      <c r="D378" s="10" t="s">
        <v>419</v>
      </c>
      <c r="E378" s="10" t="s">
        <v>420</v>
      </c>
      <c r="F378" s="92">
        <v>4</v>
      </c>
      <c r="G378" s="102" t="s">
        <v>107</v>
      </c>
      <c r="H378" s="51" t="s">
        <v>76</v>
      </c>
      <c r="I378" s="75" t="s">
        <v>72</v>
      </c>
      <c r="J378" s="67"/>
      <c r="K378" s="67"/>
      <c r="L378" s="82"/>
      <c r="M378" s="82"/>
      <c r="N378" s="82"/>
      <c r="O378" s="82"/>
      <c r="P378" s="105" t="s">
        <v>543</v>
      </c>
      <c r="Q378" s="126" t="s">
        <v>548</v>
      </c>
      <c r="R378" s="85"/>
      <c r="S378" s="112" t="s">
        <v>219</v>
      </c>
      <c r="T378" s="130"/>
      <c r="U378" s="130"/>
      <c r="V378" s="123" t="s">
        <v>518</v>
      </c>
      <c r="W378" s="90"/>
      <c r="X378" s="130"/>
      <c r="Y378" s="129" t="str">
        <f t="shared" si="110"/>
        <v>TB_MENU_ROLE</v>
      </c>
      <c r="Z378" s="50" t="str">
        <f t="shared" si="105"/>
        <v>REGISTER_ID VARCHAR(50) NOT NULL,</v>
      </c>
      <c r="AA378" s="50" t="str">
        <f t="shared" si="111"/>
        <v/>
      </c>
      <c r="AB378" s="50" t="str">
        <f t="shared" si="112"/>
        <v/>
      </c>
      <c r="AC378" s="50" t="str">
        <f t="shared" si="104"/>
        <v/>
      </c>
      <c r="AD378" s="50" t="str">
        <f t="shared" si="106"/>
        <v>ALTER TABLE TB_MENU_ROLE ALTER COLUMN REGISTER_ID TYPE VARCHAR(50);</v>
      </c>
      <c r="AE378" s="50" t="str">
        <f t="shared" si="107"/>
        <v>ALTER TABLE TB_MENU_ROLE ADD COLUMN REGISTER_ID VARCHAR(50) NOT NULL;</v>
      </c>
      <c r="AF378" s="50" t="str">
        <f t="shared" si="108"/>
        <v>ALTER TABLE TB_MENU_ROLE DROP COLUMN REGISTER_ID;</v>
      </c>
      <c r="AG378" s="50" t="str">
        <f t="shared" si="109"/>
        <v/>
      </c>
      <c r="AH378" s="50" t="str">
        <f t="shared" si="113"/>
        <v>COMMENT ON COLUMN TB_MENU_ROLE.REGISTER_ID IS '등록자 ID' ;</v>
      </c>
    </row>
    <row r="379" spans="1:34" ht="20" customHeight="1">
      <c r="A379" s="55">
        <v>375</v>
      </c>
      <c r="B379" s="26" t="s">
        <v>7</v>
      </c>
      <c r="C379" s="26" t="s">
        <v>19</v>
      </c>
      <c r="D379" s="10" t="s">
        <v>419</v>
      </c>
      <c r="E379" s="10" t="s">
        <v>420</v>
      </c>
      <c r="F379" s="92">
        <v>5</v>
      </c>
      <c r="G379" s="102" t="s">
        <v>91</v>
      </c>
      <c r="H379" s="51" t="s">
        <v>77</v>
      </c>
      <c r="I379" s="75" t="s">
        <v>72</v>
      </c>
      <c r="J379" s="52"/>
      <c r="K379" s="52"/>
      <c r="L379" s="52"/>
      <c r="M379" s="52"/>
      <c r="N379" s="52"/>
      <c r="O379" s="52"/>
      <c r="P379" s="56" t="s">
        <v>106</v>
      </c>
      <c r="Q379" s="127" t="s">
        <v>549</v>
      </c>
      <c r="R379" s="85"/>
      <c r="S379" s="112" t="s">
        <v>218</v>
      </c>
      <c r="T379" s="130"/>
      <c r="U379" s="130"/>
      <c r="V379" s="109"/>
      <c r="W379" s="90"/>
      <c r="X379" s="130"/>
      <c r="Y379" s="129" t="str">
        <f t="shared" si="110"/>
        <v>TB_MENU_ROLE</v>
      </c>
      <c r="Z379" s="50" t="str">
        <f t="shared" si="105"/>
        <v>REGISTER_IP VARCHAR(100) NOT NULL,</v>
      </c>
      <c r="AA379" s="50" t="str">
        <f t="shared" si="111"/>
        <v/>
      </c>
      <c r="AB379" s="50" t="str">
        <f t="shared" si="112"/>
        <v/>
      </c>
      <c r="AC379" s="50" t="str">
        <f t="shared" si="104"/>
        <v/>
      </c>
      <c r="AD379" s="50" t="str">
        <f t="shared" si="106"/>
        <v>ALTER TABLE TB_MENU_ROLE ALTER COLUMN REGISTER_IP TYPE VARCHAR(100);</v>
      </c>
      <c r="AE379" s="50" t="str">
        <f t="shared" si="107"/>
        <v>ALTER TABLE TB_MENU_ROLE ADD COLUMN REGISTER_IP VARCHAR(100) NOT NULL;</v>
      </c>
      <c r="AF379" s="50" t="str">
        <f t="shared" si="108"/>
        <v>ALTER TABLE TB_MENU_ROLE DROP COLUMN REGISTER_IP;</v>
      </c>
      <c r="AG379" s="50" t="str">
        <f t="shared" si="109"/>
        <v/>
      </c>
      <c r="AH379" s="50" t="str">
        <f t="shared" si="113"/>
        <v>COMMENT ON COLUMN TB_MENU_ROLE.REGISTER_IP IS '등록자 IP' ;</v>
      </c>
    </row>
    <row r="380" spans="1:34" ht="20" customHeight="1">
      <c r="A380" s="55">
        <v>376</v>
      </c>
      <c r="B380" s="26" t="s">
        <v>7</v>
      </c>
      <c r="C380" s="26" t="s">
        <v>19</v>
      </c>
      <c r="D380" s="10" t="s">
        <v>419</v>
      </c>
      <c r="E380" s="10" t="s">
        <v>420</v>
      </c>
      <c r="F380" s="92">
        <v>6</v>
      </c>
      <c r="G380" s="102" t="s">
        <v>92</v>
      </c>
      <c r="H380" s="101" t="s">
        <v>78</v>
      </c>
      <c r="I380" s="75" t="s">
        <v>72</v>
      </c>
      <c r="J380" s="52"/>
      <c r="K380" s="52"/>
      <c r="L380" s="52"/>
      <c r="M380" s="52"/>
      <c r="N380" s="52"/>
      <c r="O380" s="52"/>
      <c r="P380" s="51" t="s">
        <v>732</v>
      </c>
      <c r="Q380" s="127"/>
      <c r="R380" s="85"/>
      <c r="S380" s="112" t="s">
        <v>217</v>
      </c>
      <c r="T380" s="130"/>
      <c r="U380" s="130"/>
      <c r="V380" s="109"/>
      <c r="W380" s="90"/>
      <c r="X380" s="130"/>
      <c r="Y380" s="129" t="str">
        <f t="shared" si="110"/>
        <v>TB_MENU_ROLE</v>
      </c>
      <c r="Z380" s="50" t="str">
        <f t="shared" si="105"/>
        <v>REG_DT TIMESTAMP NOT NULL,</v>
      </c>
      <c r="AA380" s="50" t="str">
        <f t="shared" si="111"/>
        <v/>
      </c>
      <c r="AB380" s="50" t="str">
        <f t="shared" si="112"/>
        <v/>
      </c>
      <c r="AC380" s="50" t="str">
        <f t="shared" si="104"/>
        <v/>
      </c>
      <c r="AD380" s="50" t="str">
        <f t="shared" si="106"/>
        <v>ALTER TABLE TB_MENU_ROLE ALTER COLUMN REG_DT TYPE TIMESTAMP;</v>
      </c>
      <c r="AE380" s="50" t="str">
        <f t="shared" si="107"/>
        <v>ALTER TABLE TB_MENU_ROLE ADD COLUMN REG_DT TIMESTAMP NOT NULL;</v>
      </c>
      <c r="AF380" s="50" t="str">
        <f t="shared" si="108"/>
        <v>ALTER TABLE TB_MENU_ROLE DROP COLUMN REG_DT;</v>
      </c>
      <c r="AG380" s="50" t="str">
        <f t="shared" si="109"/>
        <v/>
      </c>
      <c r="AH380" s="50" t="str">
        <f t="shared" si="113"/>
        <v>COMMENT ON COLUMN TB_MENU_ROLE.REG_DT IS '등록 일시' ;</v>
      </c>
    </row>
    <row r="381" spans="1:34" ht="20" customHeight="1">
      <c r="A381" s="55">
        <v>377</v>
      </c>
      <c r="B381" s="26" t="s">
        <v>7</v>
      </c>
      <c r="C381" s="26" t="s">
        <v>19</v>
      </c>
      <c r="D381" s="10" t="s">
        <v>419</v>
      </c>
      <c r="E381" s="10" t="s">
        <v>420</v>
      </c>
      <c r="F381" s="92">
        <v>7</v>
      </c>
      <c r="G381" s="102" t="s">
        <v>93</v>
      </c>
      <c r="H381" s="101" t="s">
        <v>80</v>
      </c>
      <c r="I381" s="52"/>
      <c r="J381" s="52"/>
      <c r="K381" s="52"/>
      <c r="L381" s="84"/>
      <c r="M381" s="84"/>
      <c r="N381" s="84"/>
      <c r="O381" s="84"/>
      <c r="P381" s="105" t="s">
        <v>543</v>
      </c>
      <c r="Q381" s="126" t="s">
        <v>548</v>
      </c>
      <c r="R381" s="85"/>
      <c r="S381" s="112" t="s">
        <v>216</v>
      </c>
      <c r="T381" s="130"/>
      <c r="U381" s="130"/>
      <c r="V381" s="123" t="s">
        <v>518</v>
      </c>
      <c r="W381" s="90"/>
      <c r="X381" s="130"/>
      <c r="Y381" s="129" t="str">
        <f t="shared" si="110"/>
        <v>TB_MENU_ROLE</v>
      </c>
      <c r="Z381" s="50" t="str">
        <f t="shared" si="105"/>
        <v>UPDUSR_ID VARCHAR(50),</v>
      </c>
      <c r="AA381" s="50" t="str">
        <f t="shared" si="111"/>
        <v/>
      </c>
      <c r="AB381" s="50" t="str">
        <f t="shared" si="112"/>
        <v/>
      </c>
      <c r="AC381" s="50" t="str">
        <f t="shared" si="104"/>
        <v/>
      </c>
      <c r="AD381" s="50" t="str">
        <f t="shared" si="106"/>
        <v>ALTER TABLE TB_MENU_ROLE ALTER COLUMN UPDUSR_ID TYPE VARCHAR(50);</v>
      </c>
      <c r="AE381" s="50" t="str">
        <f t="shared" si="107"/>
        <v>ALTER TABLE TB_MENU_ROLE ADD COLUMN UPDUSR_ID VARCHAR(50);</v>
      </c>
      <c r="AF381" s="50" t="str">
        <f t="shared" si="108"/>
        <v>ALTER TABLE TB_MENU_ROLE DROP COLUMN UPDUSR_ID;</v>
      </c>
      <c r="AG381" s="50" t="str">
        <f t="shared" si="109"/>
        <v/>
      </c>
      <c r="AH381" s="50" t="str">
        <f t="shared" si="113"/>
        <v>COMMENT ON COLUMN TB_MENU_ROLE.UPDUSR_ID IS '수정자 ID' ;</v>
      </c>
    </row>
    <row r="382" spans="1:34" ht="20" customHeight="1">
      <c r="A382" s="55">
        <v>378</v>
      </c>
      <c r="B382" s="26" t="s">
        <v>7</v>
      </c>
      <c r="C382" s="26" t="s">
        <v>19</v>
      </c>
      <c r="D382" s="10" t="s">
        <v>419</v>
      </c>
      <c r="E382" s="10" t="s">
        <v>420</v>
      </c>
      <c r="F382" s="92">
        <v>8</v>
      </c>
      <c r="G382" s="102" t="s">
        <v>94</v>
      </c>
      <c r="H382" s="101" t="s">
        <v>79</v>
      </c>
      <c r="I382" s="52"/>
      <c r="J382" s="52"/>
      <c r="K382" s="52"/>
      <c r="L382" s="52"/>
      <c r="M382" s="52"/>
      <c r="N382" s="52"/>
      <c r="O382" s="52"/>
      <c r="P382" s="56" t="s">
        <v>106</v>
      </c>
      <c r="Q382" s="127" t="s">
        <v>549</v>
      </c>
      <c r="R382" s="85"/>
      <c r="S382" s="112" t="s">
        <v>215</v>
      </c>
      <c r="T382" s="130"/>
      <c r="U382" s="130"/>
      <c r="V382" s="109"/>
      <c r="W382" s="90"/>
      <c r="X382" s="130"/>
      <c r="Y382" s="129" t="str">
        <f t="shared" si="110"/>
        <v>TB_MENU_ROLE</v>
      </c>
      <c r="Z382" s="50" t="str">
        <f t="shared" si="105"/>
        <v>UPDUSR_IP VARCHAR(100),</v>
      </c>
      <c r="AA382" s="50" t="str">
        <f t="shared" si="111"/>
        <v/>
      </c>
      <c r="AB382" s="50" t="str">
        <f t="shared" si="112"/>
        <v/>
      </c>
      <c r="AC382" s="50" t="str">
        <f t="shared" si="104"/>
        <v/>
      </c>
      <c r="AD382" s="50" t="str">
        <f t="shared" si="106"/>
        <v>ALTER TABLE TB_MENU_ROLE ALTER COLUMN UPDUSR_IP TYPE VARCHAR(100);</v>
      </c>
      <c r="AE382" s="50" t="str">
        <f t="shared" si="107"/>
        <v>ALTER TABLE TB_MENU_ROLE ADD COLUMN UPDUSR_IP VARCHAR(100);</v>
      </c>
      <c r="AF382" s="50" t="str">
        <f t="shared" si="108"/>
        <v>ALTER TABLE TB_MENU_ROLE DROP COLUMN UPDUSR_IP;</v>
      </c>
      <c r="AG382" s="50" t="str">
        <f t="shared" si="109"/>
        <v/>
      </c>
      <c r="AH382" s="50" t="str">
        <f t="shared" si="113"/>
        <v>COMMENT ON COLUMN TB_MENU_ROLE.UPDUSR_IP IS '수정자 IP' ;</v>
      </c>
    </row>
    <row r="383" spans="1:34" ht="20" customHeight="1">
      <c r="A383" s="55">
        <v>379</v>
      </c>
      <c r="B383" s="26" t="s">
        <v>7</v>
      </c>
      <c r="C383" s="26" t="s">
        <v>19</v>
      </c>
      <c r="D383" s="10" t="s">
        <v>419</v>
      </c>
      <c r="E383" s="10" t="s">
        <v>420</v>
      </c>
      <c r="F383" s="92">
        <v>9</v>
      </c>
      <c r="G383" s="103" t="s">
        <v>95</v>
      </c>
      <c r="H383" s="102" t="s">
        <v>81</v>
      </c>
      <c r="I383" s="61"/>
      <c r="J383" s="61"/>
      <c r="K383" s="61"/>
      <c r="L383" s="61"/>
      <c r="M383" s="61"/>
      <c r="N383" s="61"/>
      <c r="O383" s="61"/>
      <c r="P383" s="51" t="s">
        <v>732</v>
      </c>
      <c r="Q383" s="127"/>
      <c r="R383" s="82"/>
      <c r="S383" s="112" t="s">
        <v>214</v>
      </c>
      <c r="T383" s="130"/>
      <c r="U383" s="130"/>
      <c r="V383" s="109"/>
      <c r="W383" s="90"/>
      <c r="X383" s="130"/>
      <c r="Y383" s="129" t="str">
        <f t="shared" si="110"/>
        <v>TB_MENU_ROLE</v>
      </c>
      <c r="Z383" s="50" t="str">
        <f t="shared" si="105"/>
        <v>UPDT_DT TIMESTAMP,</v>
      </c>
      <c r="AA383" s="50" t="str">
        <f t="shared" si="111"/>
        <v/>
      </c>
      <c r="AB383" s="50" t="str">
        <f t="shared" si="112"/>
        <v/>
      </c>
      <c r="AC383" s="50" t="str">
        <f t="shared" si="104"/>
        <v/>
      </c>
      <c r="AD383" s="50" t="str">
        <f t="shared" si="106"/>
        <v>ALTER TABLE TB_MENU_ROLE ALTER COLUMN UPDT_DT TYPE TIMESTAMP;</v>
      </c>
      <c r="AE383" s="50" t="str">
        <f t="shared" si="107"/>
        <v>ALTER TABLE TB_MENU_ROLE ADD COLUMN UPDT_DT TIMESTAMP;</v>
      </c>
      <c r="AF383" s="50" t="str">
        <f t="shared" si="108"/>
        <v>ALTER TABLE TB_MENU_ROLE DROP COLUMN UPDT_DT;</v>
      </c>
      <c r="AG383" s="50" t="str">
        <f t="shared" si="109"/>
        <v/>
      </c>
      <c r="AH383" s="50" t="str">
        <f t="shared" si="113"/>
        <v>COMMENT ON COLUMN TB_MENU_ROLE.UPDT_DT IS '수정 일시' ;</v>
      </c>
    </row>
    <row r="384" spans="1:34" ht="20" customHeight="1">
      <c r="A384" s="55">
        <v>380</v>
      </c>
      <c r="B384" s="26" t="s">
        <v>7</v>
      </c>
      <c r="C384" s="26" t="s">
        <v>19</v>
      </c>
      <c r="D384" s="10" t="s">
        <v>419</v>
      </c>
      <c r="E384" s="10" t="s">
        <v>420</v>
      </c>
      <c r="F384" s="92">
        <v>10</v>
      </c>
      <c r="G384" s="102" t="s">
        <v>96</v>
      </c>
      <c r="H384" s="102" t="s">
        <v>82</v>
      </c>
      <c r="I384" s="75" t="s">
        <v>72</v>
      </c>
      <c r="J384" s="61"/>
      <c r="K384" s="61"/>
      <c r="L384" s="61"/>
      <c r="M384" s="61"/>
      <c r="N384" s="61"/>
      <c r="O384" s="61"/>
      <c r="P384" s="51" t="s">
        <v>106</v>
      </c>
      <c r="Q384" s="127" t="s">
        <v>544</v>
      </c>
      <c r="R384" s="87" t="s">
        <v>592</v>
      </c>
      <c r="S384" s="112" t="s">
        <v>213</v>
      </c>
      <c r="T384" s="130"/>
      <c r="U384" s="130"/>
      <c r="V384" s="109"/>
      <c r="W384" s="90"/>
      <c r="X384" s="130"/>
      <c r="Y384" s="129" t="str">
        <f t="shared" si="110"/>
        <v>TB_MENU_ROLE</v>
      </c>
      <c r="Z384" s="50" t="str">
        <f t="shared" si="105"/>
        <v>DEL_YN VARCHAR(1) NOT NULL,</v>
      </c>
      <c r="AA384" s="50" t="str">
        <f t="shared" si="111"/>
        <v/>
      </c>
      <c r="AB384" s="50" t="str">
        <f t="shared" si="112"/>
        <v/>
      </c>
      <c r="AC384" s="50" t="str">
        <f t="shared" si="104"/>
        <v/>
      </c>
      <c r="AD384" s="50" t="str">
        <f t="shared" si="106"/>
        <v>ALTER TABLE TB_MENU_ROLE ALTER COLUMN DEL_YN TYPE VARCHAR(1);</v>
      </c>
      <c r="AE384" s="50" t="str">
        <f t="shared" si="107"/>
        <v>ALTER TABLE TB_MENU_ROLE ADD COLUMN DEL_YN VARCHAR(1) NOT NULL DEFAULT ''N'';</v>
      </c>
      <c r="AF384" s="50" t="str">
        <f t="shared" si="108"/>
        <v>ALTER TABLE TB_MENU_ROLE DROP COLUMN DEL_YN;</v>
      </c>
      <c r="AG384" s="50" t="str">
        <f t="shared" si="109"/>
        <v>ALTER TABLE TB_MENU_ROLE ALTER COLUMN DEL_YN SET DEFAULT 'N';</v>
      </c>
      <c r="AH384" s="50" t="str">
        <f t="shared" si="113"/>
        <v>COMMENT ON COLUMN TB_MENU_ROLE.DEL_YN IS '삭제 여부' ;</v>
      </c>
    </row>
    <row r="385" spans="1:34" ht="20" customHeight="1">
      <c r="A385" s="55">
        <v>381</v>
      </c>
      <c r="B385" s="26" t="s">
        <v>7</v>
      </c>
      <c r="C385" s="26" t="s">
        <v>19</v>
      </c>
      <c r="D385" s="10" t="s">
        <v>43</v>
      </c>
      <c r="E385" s="10" t="s">
        <v>134</v>
      </c>
      <c r="F385" s="92">
        <v>1</v>
      </c>
      <c r="G385" s="109" t="s">
        <v>441</v>
      </c>
      <c r="H385" s="109" t="s">
        <v>433</v>
      </c>
      <c r="I385" s="75" t="s">
        <v>72</v>
      </c>
      <c r="J385" s="90">
        <v>1</v>
      </c>
      <c r="K385" s="90"/>
      <c r="L385" s="90"/>
      <c r="M385" s="90"/>
      <c r="N385" s="90"/>
      <c r="O385" s="90"/>
      <c r="P385" s="109" t="s">
        <v>426</v>
      </c>
      <c r="Q385" s="92"/>
      <c r="R385" s="90"/>
      <c r="S385" s="109" t="s">
        <v>463</v>
      </c>
      <c r="T385" s="132" t="str">
        <f>"SEQ_"&amp;D385&amp;"_SN"</f>
        <v>SEQ_TB_CMMN_CD_SN</v>
      </c>
      <c r="U385" s="132"/>
      <c r="V385" s="109"/>
      <c r="W385" s="90"/>
      <c r="X385" s="130"/>
      <c r="Y385" s="129" t="str">
        <f t="shared" si="110"/>
        <v>TB_CMMN_CD</v>
      </c>
      <c r="Z385" s="50" t="str">
        <f t="shared" si="105"/>
        <v>CD_SN INTEGER PRIMARY KEY,</v>
      </c>
      <c r="AA385" s="50" t="str">
        <f t="shared" si="111"/>
        <v/>
      </c>
      <c r="AB385" s="50" t="str">
        <f t="shared" si="112"/>
        <v>CREATE SEQUENCE SEQ_TB_CMMN_CD_SN START 100000;</v>
      </c>
      <c r="AC385" s="50" t="str">
        <f t="shared" si="104"/>
        <v>ALTER TABLE TB_CMMN_CD ALTER COLUMN CD_SN SET DEFAULT NEXTVAL('SEQ_TB_CMMN_CD_SN');</v>
      </c>
      <c r="AD385" s="50" t="str">
        <f t="shared" si="106"/>
        <v>ALTER TABLE TB_CMMN_CD ALTER COLUMN CD_SN TYPE INTEGER;</v>
      </c>
      <c r="AE385" s="50" t="str">
        <f t="shared" si="107"/>
        <v>ALTER TABLE TB_CMMN_CD ADD COLUMN CD_SN INTEGER NOT NULL;</v>
      </c>
      <c r="AF385" s="50" t="str">
        <f t="shared" si="108"/>
        <v>ALTER TABLE TB_CMMN_CD DROP COLUMN CD_SN;</v>
      </c>
      <c r="AG385" s="50" t="str">
        <f t="shared" si="109"/>
        <v/>
      </c>
      <c r="AH385" s="50" t="str">
        <f t="shared" si="113"/>
        <v>COMMENT ON COLUMN TB_CMMN_CD.CD_SN IS '코드 일련번호' ;</v>
      </c>
    </row>
    <row r="386" spans="1:34" ht="20" customHeight="1">
      <c r="A386" s="55">
        <v>382</v>
      </c>
      <c r="B386" s="26" t="s">
        <v>7</v>
      </c>
      <c r="C386" s="26" t="s">
        <v>19</v>
      </c>
      <c r="D386" s="10" t="s">
        <v>43</v>
      </c>
      <c r="E386" s="10" t="s">
        <v>134</v>
      </c>
      <c r="F386" s="92">
        <v>2</v>
      </c>
      <c r="G386" s="109" t="s">
        <v>442</v>
      </c>
      <c r="H386" s="109" t="s">
        <v>434</v>
      </c>
      <c r="I386" s="75" t="s">
        <v>72</v>
      </c>
      <c r="J386" s="90"/>
      <c r="K386" s="90"/>
      <c r="L386" s="90"/>
      <c r="M386" s="90"/>
      <c r="N386" s="90"/>
      <c r="O386" s="90"/>
      <c r="P386" s="109" t="s">
        <v>427</v>
      </c>
      <c r="Q386" s="126" t="s">
        <v>548</v>
      </c>
      <c r="R386" s="90"/>
      <c r="S386" s="109" t="s">
        <v>474</v>
      </c>
      <c r="T386" s="130"/>
      <c r="U386" s="130"/>
      <c r="V386" s="109"/>
      <c r="W386" s="90"/>
      <c r="X386" s="130"/>
      <c r="Y386" s="129" t="str">
        <f t="shared" si="110"/>
        <v>TB_CMMN_CD</v>
      </c>
      <c r="Z386" s="50" t="str">
        <f t="shared" si="105"/>
        <v>CD_NM VARCHAR(50) NOT NULL,</v>
      </c>
      <c r="AA386" s="50" t="str">
        <f t="shared" si="111"/>
        <v/>
      </c>
      <c r="AB386" s="50" t="str">
        <f t="shared" si="112"/>
        <v/>
      </c>
      <c r="AC386" s="50" t="str">
        <f t="shared" si="104"/>
        <v/>
      </c>
      <c r="AD386" s="50" t="str">
        <f t="shared" si="106"/>
        <v>ALTER TABLE TB_CMMN_CD ALTER COLUMN CD_NM TYPE VARCHAR(50);</v>
      </c>
      <c r="AE386" s="50" t="str">
        <f t="shared" si="107"/>
        <v>ALTER TABLE TB_CMMN_CD ADD COLUMN CD_NM VARCHAR(50) NOT NULL;</v>
      </c>
      <c r="AF386" s="50" t="str">
        <f t="shared" si="108"/>
        <v>ALTER TABLE TB_CMMN_CD DROP COLUMN CD_NM;</v>
      </c>
      <c r="AG386" s="50" t="str">
        <f t="shared" si="109"/>
        <v/>
      </c>
      <c r="AH386" s="50" t="str">
        <f t="shared" si="113"/>
        <v>COMMENT ON COLUMN TB_CMMN_CD.CD_NM IS '코드 이름' ;</v>
      </c>
    </row>
    <row r="387" spans="1:34" ht="20" customHeight="1">
      <c r="A387" s="55">
        <v>383</v>
      </c>
      <c r="B387" s="26" t="s">
        <v>7</v>
      </c>
      <c r="C387" s="26" t="s">
        <v>19</v>
      </c>
      <c r="D387" s="10" t="s">
        <v>43</v>
      </c>
      <c r="E387" s="10" t="s">
        <v>134</v>
      </c>
      <c r="F387" s="92">
        <v>3</v>
      </c>
      <c r="G387" s="109" t="s">
        <v>443</v>
      </c>
      <c r="H387" s="109" t="s">
        <v>435</v>
      </c>
      <c r="I387" s="90"/>
      <c r="J387" s="90"/>
      <c r="K387" s="90"/>
      <c r="L387" s="90"/>
      <c r="M387" s="90"/>
      <c r="N387" s="90"/>
      <c r="O387" s="90"/>
      <c r="P387" s="109" t="s">
        <v>171</v>
      </c>
      <c r="Q387" s="92"/>
      <c r="R387" s="90"/>
      <c r="S387" s="109" t="s">
        <v>475</v>
      </c>
      <c r="T387" s="130"/>
      <c r="U387" s="130"/>
      <c r="V387" s="109"/>
      <c r="W387" s="90"/>
      <c r="X387" s="130"/>
      <c r="Y387" s="129" t="str">
        <f t="shared" si="110"/>
        <v>TB_CMMN_CD</v>
      </c>
      <c r="Z387" s="50" t="str">
        <f t="shared" si="105"/>
        <v>CD_DC TEXT,</v>
      </c>
      <c r="AA387" s="50" t="str">
        <f t="shared" si="111"/>
        <v/>
      </c>
      <c r="AB387" s="50" t="str">
        <f t="shared" si="112"/>
        <v/>
      </c>
      <c r="AC387" s="50" t="str">
        <f t="shared" si="104"/>
        <v/>
      </c>
      <c r="AD387" s="50" t="str">
        <f t="shared" si="106"/>
        <v>ALTER TABLE TB_CMMN_CD ALTER COLUMN CD_DC TYPE TEXT;</v>
      </c>
      <c r="AE387" s="50" t="str">
        <f t="shared" si="107"/>
        <v>ALTER TABLE TB_CMMN_CD ADD COLUMN CD_DC TEXT;</v>
      </c>
      <c r="AF387" s="50" t="str">
        <f t="shared" si="108"/>
        <v>ALTER TABLE TB_CMMN_CD DROP COLUMN CD_DC;</v>
      </c>
      <c r="AG387" s="50" t="str">
        <f t="shared" si="109"/>
        <v/>
      </c>
      <c r="AH387" s="50" t="str">
        <f t="shared" si="113"/>
        <v>COMMENT ON COLUMN TB_CMMN_CD.CD_DC IS '코드 설명' ;</v>
      </c>
    </row>
    <row r="388" spans="1:34" ht="20" customHeight="1">
      <c r="A388" s="55">
        <v>384</v>
      </c>
      <c r="B388" s="26" t="s">
        <v>7</v>
      </c>
      <c r="C388" s="26" t="s">
        <v>19</v>
      </c>
      <c r="D388" s="10" t="s">
        <v>43</v>
      </c>
      <c r="E388" s="10" t="s">
        <v>134</v>
      </c>
      <c r="F388" s="92">
        <v>4</v>
      </c>
      <c r="G388" s="109" t="s">
        <v>501</v>
      </c>
      <c r="H388" s="109" t="s">
        <v>496</v>
      </c>
      <c r="I388" s="90"/>
      <c r="J388" s="90"/>
      <c r="K388" s="90"/>
      <c r="L388" s="90"/>
      <c r="M388" s="90"/>
      <c r="N388" s="90"/>
      <c r="O388" s="90"/>
      <c r="P388" s="109" t="s">
        <v>427</v>
      </c>
      <c r="Q388" s="126" t="s">
        <v>552</v>
      </c>
      <c r="R388" s="90"/>
      <c r="S388" s="109" t="s">
        <v>506</v>
      </c>
      <c r="T388" s="130"/>
      <c r="U388" s="130"/>
      <c r="V388" s="109"/>
      <c r="W388" s="90"/>
      <c r="X388" s="130"/>
      <c r="Y388" s="129" t="str">
        <f t="shared" si="110"/>
        <v>TB_CMMN_CD</v>
      </c>
      <c r="Z388" s="50" t="str">
        <f t="shared" si="105"/>
        <v>CD_DETAIL_VAL1_DC VARCHAR(2000),</v>
      </c>
      <c r="AA388" s="50" t="str">
        <f t="shared" si="111"/>
        <v/>
      </c>
      <c r="AB388" s="50" t="str">
        <f t="shared" si="112"/>
        <v/>
      </c>
      <c r="AC388" s="50" t="str">
        <f t="shared" si="104"/>
        <v/>
      </c>
      <c r="AD388" s="50" t="str">
        <f t="shared" si="106"/>
        <v>ALTER TABLE TB_CMMN_CD ALTER COLUMN CD_DETAIL_VAL1_DC TYPE VARCHAR(2000);</v>
      </c>
      <c r="AE388" s="50" t="str">
        <f t="shared" si="107"/>
        <v>ALTER TABLE TB_CMMN_CD ADD COLUMN CD_DETAIL_VAL1_DC VARCHAR(2000);</v>
      </c>
      <c r="AF388" s="50" t="str">
        <f t="shared" si="108"/>
        <v>ALTER TABLE TB_CMMN_CD DROP COLUMN CD_DETAIL_VAL1_DC;</v>
      </c>
      <c r="AG388" s="50" t="str">
        <f t="shared" si="109"/>
        <v/>
      </c>
      <c r="AH388" s="50" t="str">
        <f t="shared" si="113"/>
        <v>COMMENT ON COLUMN TB_CMMN_CD.CD_DETAIL_VAL1_DC IS '코드 상세 값 1 설명' ;</v>
      </c>
    </row>
    <row r="389" spans="1:34" ht="20" customHeight="1">
      <c r="A389" s="55">
        <v>385</v>
      </c>
      <c r="B389" s="26" t="s">
        <v>7</v>
      </c>
      <c r="C389" s="26" t="s">
        <v>19</v>
      </c>
      <c r="D389" s="10" t="s">
        <v>43</v>
      </c>
      <c r="E389" s="10" t="s">
        <v>134</v>
      </c>
      <c r="F389" s="92">
        <v>5</v>
      </c>
      <c r="G389" s="109" t="s">
        <v>502</v>
      </c>
      <c r="H389" s="109" t="s">
        <v>497</v>
      </c>
      <c r="I389" s="90"/>
      <c r="J389" s="90"/>
      <c r="K389" s="90"/>
      <c r="L389" s="90"/>
      <c r="M389" s="90"/>
      <c r="N389" s="90"/>
      <c r="O389" s="90"/>
      <c r="P389" s="109" t="s">
        <v>427</v>
      </c>
      <c r="Q389" s="126" t="s">
        <v>552</v>
      </c>
      <c r="R389" s="90"/>
      <c r="S389" s="109" t="s">
        <v>507</v>
      </c>
      <c r="T389" s="130"/>
      <c r="U389" s="130"/>
      <c r="V389" s="109"/>
      <c r="W389" s="90"/>
      <c r="X389" s="130"/>
      <c r="Y389" s="129" t="str">
        <f t="shared" si="110"/>
        <v>TB_CMMN_CD</v>
      </c>
      <c r="Z389" s="50" t="str">
        <f t="shared" si="105"/>
        <v>CD_DETAIL_VAL2_DC VARCHAR(2000),</v>
      </c>
      <c r="AA389" s="50" t="str">
        <f t="shared" si="111"/>
        <v/>
      </c>
      <c r="AB389" s="50" t="str">
        <f t="shared" si="112"/>
        <v/>
      </c>
      <c r="AC389" s="50" t="str">
        <f t="shared" si="104"/>
        <v/>
      </c>
      <c r="AD389" s="50" t="str">
        <f t="shared" si="106"/>
        <v>ALTER TABLE TB_CMMN_CD ALTER COLUMN CD_DETAIL_VAL2_DC TYPE VARCHAR(2000);</v>
      </c>
      <c r="AE389" s="50" t="str">
        <f t="shared" si="107"/>
        <v>ALTER TABLE TB_CMMN_CD ADD COLUMN CD_DETAIL_VAL2_DC VARCHAR(2000);</v>
      </c>
      <c r="AF389" s="50" t="str">
        <f t="shared" si="108"/>
        <v>ALTER TABLE TB_CMMN_CD DROP COLUMN CD_DETAIL_VAL2_DC;</v>
      </c>
      <c r="AG389" s="50" t="str">
        <f t="shared" si="109"/>
        <v/>
      </c>
      <c r="AH389" s="50" t="str">
        <f t="shared" si="113"/>
        <v>COMMENT ON COLUMN TB_CMMN_CD.CD_DETAIL_VAL2_DC IS '코드 상세 값 2 설명' ;</v>
      </c>
    </row>
    <row r="390" spans="1:34" ht="20" customHeight="1">
      <c r="A390" s="55">
        <v>386</v>
      </c>
      <c r="B390" s="26" t="s">
        <v>7</v>
      </c>
      <c r="C390" s="26" t="s">
        <v>19</v>
      </c>
      <c r="D390" s="10" t="s">
        <v>43</v>
      </c>
      <c r="E390" s="10" t="s">
        <v>134</v>
      </c>
      <c r="F390" s="92">
        <v>6</v>
      </c>
      <c r="G390" s="109" t="s">
        <v>503</v>
      </c>
      <c r="H390" s="109" t="s">
        <v>498</v>
      </c>
      <c r="I390" s="90"/>
      <c r="J390" s="90"/>
      <c r="K390" s="90"/>
      <c r="L390" s="90"/>
      <c r="M390" s="90"/>
      <c r="N390" s="90"/>
      <c r="O390" s="90"/>
      <c r="P390" s="109" t="s">
        <v>427</v>
      </c>
      <c r="Q390" s="126" t="s">
        <v>552</v>
      </c>
      <c r="R390" s="90"/>
      <c r="S390" s="109" t="s">
        <v>508</v>
      </c>
      <c r="T390" s="130"/>
      <c r="U390" s="130"/>
      <c r="V390" s="109"/>
      <c r="W390" s="90"/>
      <c r="X390" s="130"/>
      <c r="Y390" s="129" t="str">
        <f t="shared" si="110"/>
        <v>TB_CMMN_CD</v>
      </c>
      <c r="Z390" s="50" t="str">
        <f t="shared" si="105"/>
        <v>CD_DETAIL_VAL3_DC VARCHAR(2000),</v>
      </c>
      <c r="AA390" s="50" t="str">
        <f t="shared" si="111"/>
        <v/>
      </c>
      <c r="AB390" s="50" t="str">
        <f t="shared" si="112"/>
        <v/>
      </c>
      <c r="AC390" s="50" t="str">
        <f t="shared" si="104"/>
        <v/>
      </c>
      <c r="AD390" s="50" t="str">
        <f t="shared" si="106"/>
        <v>ALTER TABLE TB_CMMN_CD ALTER COLUMN CD_DETAIL_VAL3_DC TYPE VARCHAR(2000);</v>
      </c>
      <c r="AE390" s="50" t="str">
        <f t="shared" si="107"/>
        <v>ALTER TABLE TB_CMMN_CD ADD COLUMN CD_DETAIL_VAL3_DC VARCHAR(2000);</v>
      </c>
      <c r="AF390" s="50" t="str">
        <f t="shared" si="108"/>
        <v>ALTER TABLE TB_CMMN_CD DROP COLUMN CD_DETAIL_VAL3_DC;</v>
      </c>
      <c r="AG390" s="50" t="str">
        <f t="shared" si="109"/>
        <v/>
      </c>
      <c r="AH390" s="50" t="str">
        <f t="shared" si="113"/>
        <v>COMMENT ON COLUMN TB_CMMN_CD.CD_DETAIL_VAL3_DC IS '코드 상세 값 3 설명' ;</v>
      </c>
    </row>
    <row r="391" spans="1:34" ht="20" customHeight="1">
      <c r="A391" s="55">
        <v>387</v>
      </c>
      <c r="B391" s="26" t="s">
        <v>7</v>
      </c>
      <c r="C391" s="26" t="s">
        <v>19</v>
      </c>
      <c r="D391" s="10" t="s">
        <v>43</v>
      </c>
      <c r="E391" s="10" t="s">
        <v>134</v>
      </c>
      <c r="F391" s="92">
        <v>7</v>
      </c>
      <c r="G391" s="109" t="s">
        <v>504</v>
      </c>
      <c r="H391" s="109" t="s">
        <v>499</v>
      </c>
      <c r="I391" s="90"/>
      <c r="J391" s="90"/>
      <c r="K391" s="90"/>
      <c r="L391" s="90"/>
      <c r="M391" s="90"/>
      <c r="N391" s="90"/>
      <c r="O391" s="90"/>
      <c r="P391" s="109" t="s">
        <v>427</v>
      </c>
      <c r="Q391" s="126" t="s">
        <v>552</v>
      </c>
      <c r="R391" s="90"/>
      <c r="S391" s="109" t="s">
        <v>509</v>
      </c>
      <c r="T391" s="130"/>
      <c r="U391" s="130"/>
      <c r="V391" s="109"/>
      <c r="W391" s="90"/>
      <c r="X391" s="130"/>
      <c r="Y391" s="129" t="str">
        <f t="shared" si="110"/>
        <v>TB_CMMN_CD</v>
      </c>
      <c r="Z391" s="50" t="str">
        <f t="shared" si="105"/>
        <v>CD_DETAIL_VAL4_DC VARCHAR(2000),</v>
      </c>
      <c r="AA391" s="50" t="str">
        <f t="shared" si="111"/>
        <v/>
      </c>
      <c r="AB391" s="50" t="str">
        <f t="shared" si="112"/>
        <v/>
      </c>
      <c r="AC391" s="50" t="str">
        <f t="shared" si="104"/>
        <v/>
      </c>
      <c r="AD391" s="50" t="str">
        <f t="shared" si="106"/>
        <v>ALTER TABLE TB_CMMN_CD ALTER COLUMN CD_DETAIL_VAL4_DC TYPE VARCHAR(2000);</v>
      </c>
      <c r="AE391" s="50" t="str">
        <f t="shared" si="107"/>
        <v>ALTER TABLE TB_CMMN_CD ADD COLUMN CD_DETAIL_VAL4_DC VARCHAR(2000);</v>
      </c>
      <c r="AF391" s="50" t="str">
        <f t="shared" si="108"/>
        <v>ALTER TABLE TB_CMMN_CD DROP COLUMN CD_DETAIL_VAL4_DC;</v>
      </c>
      <c r="AG391" s="50" t="str">
        <f t="shared" si="109"/>
        <v/>
      </c>
      <c r="AH391" s="50" t="str">
        <f t="shared" si="113"/>
        <v>COMMENT ON COLUMN TB_CMMN_CD.CD_DETAIL_VAL4_DC IS '코드 상세 값 4 설명' ;</v>
      </c>
    </row>
    <row r="392" spans="1:34" ht="20" customHeight="1">
      <c r="A392" s="55">
        <v>388</v>
      </c>
      <c r="B392" s="26" t="s">
        <v>7</v>
      </c>
      <c r="C392" s="26" t="s">
        <v>19</v>
      </c>
      <c r="D392" s="10" t="s">
        <v>43</v>
      </c>
      <c r="E392" s="10" t="s">
        <v>134</v>
      </c>
      <c r="F392" s="92">
        <v>8</v>
      </c>
      <c r="G392" s="109" t="s">
        <v>505</v>
      </c>
      <c r="H392" s="109" t="s">
        <v>500</v>
      </c>
      <c r="I392" s="90"/>
      <c r="J392" s="90"/>
      <c r="K392" s="90"/>
      <c r="L392" s="90"/>
      <c r="M392" s="90"/>
      <c r="N392" s="90"/>
      <c r="O392" s="90"/>
      <c r="P392" s="109" t="s">
        <v>427</v>
      </c>
      <c r="Q392" s="126" t="s">
        <v>552</v>
      </c>
      <c r="R392" s="90"/>
      <c r="S392" s="109" t="s">
        <v>510</v>
      </c>
      <c r="T392" s="130"/>
      <c r="U392" s="130"/>
      <c r="V392" s="109"/>
      <c r="W392" s="90"/>
      <c r="X392" s="130"/>
      <c r="Y392" s="129" t="str">
        <f t="shared" si="110"/>
        <v>TB_CMMN_CD</v>
      </c>
      <c r="Z392" s="50" t="str">
        <f t="shared" si="105"/>
        <v>CD_DETAIL_VAL5_DC VARCHAR(2000),</v>
      </c>
      <c r="AA392" s="50" t="str">
        <f t="shared" si="111"/>
        <v/>
      </c>
      <c r="AB392" s="50" t="str">
        <f t="shared" si="112"/>
        <v/>
      </c>
      <c r="AC392" s="50" t="str">
        <f t="shared" si="104"/>
        <v/>
      </c>
      <c r="AD392" s="50" t="str">
        <f t="shared" si="106"/>
        <v>ALTER TABLE TB_CMMN_CD ALTER COLUMN CD_DETAIL_VAL5_DC TYPE VARCHAR(2000);</v>
      </c>
      <c r="AE392" s="50" t="str">
        <f t="shared" si="107"/>
        <v>ALTER TABLE TB_CMMN_CD ADD COLUMN CD_DETAIL_VAL5_DC VARCHAR(2000);</v>
      </c>
      <c r="AF392" s="50" t="str">
        <f t="shared" si="108"/>
        <v>ALTER TABLE TB_CMMN_CD DROP COLUMN CD_DETAIL_VAL5_DC;</v>
      </c>
      <c r="AG392" s="50" t="str">
        <f t="shared" si="109"/>
        <v/>
      </c>
      <c r="AH392" s="50" t="str">
        <f t="shared" si="113"/>
        <v>COMMENT ON COLUMN TB_CMMN_CD.CD_DETAIL_VAL5_DC IS '코드 상세 값 5 설명' ;</v>
      </c>
    </row>
    <row r="393" spans="1:34" ht="20" customHeight="1">
      <c r="A393" s="55">
        <v>389</v>
      </c>
      <c r="B393" s="26" t="s">
        <v>7</v>
      </c>
      <c r="C393" s="26" t="s">
        <v>19</v>
      </c>
      <c r="D393" s="10" t="s">
        <v>43</v>
      </c>
      <c r="E393" s="10" t="s">
        <v>134</v>
      </c>
      <c r="F393" s="92">
        <v>9</v>
      </c>
      <c r="G393" s="109" t="s">
        <v>439</v>
      </c>
      <c r="H393" s="109" t="s">
        <v>436</v>
      </c>
      <c r="I393" s="75" t="s">
        <v>72</v>
      </c>
      <c r="J393" s="90"/>
      <c r="K393" s="90"/>
      <c r="L393" s="90"/>
      <c r="M393" s="90"/>
      <c r="N393" s="90"/>
      <c r="O393" s="90"/>
      <c r="P393" s="51" t="s">
        <v>106</v>
      </c>
      <c r="Q393" s="126" t="s">
        <v>544</v>
      </c>
      <c r="R393" s="90"/>
      <c r="S393" s="109" t="s">
        <v>472</v>
      </c>
      <c r="T393" s="130"/>
      <c r="U393" s="130"/>
      <c r="V393" s="109"/>
      <c r="W393" s="90"/>
      <c r="X393" s="130"/>
      <c r="Y393" s="129" t="str">
        <f t="shared" si="110"/>
        <v>TB_CMMN_CD</v>
      </c>
      <c r="Z393" s="50" t="str">
        <f t="shared" si="105"/>
        <v>USE_YN VARCHAR(1) NOT NULL,</v>
      </c>
      <c r="AA393" s="50" t="str">
        <f t="shared" si="111"/>
        <v/>
      </c>
      <c r="AB393" s="50" t="str">
        <f t="shared" si="112"/>
        <v/>
      </c>
      <c r="AC393" s="50" t="str">
        <f t="shared" si="104"/>
        <v/>
      </c>
      <c r="AD393" s="50" t="str">
        <f t="shared" si="106"/>
        <v>ALTER TABLE TB_CMMN_CD ALTER COLUMN USE_YN TYPE VARCHAR(1);</v>
      </c>
      <c r="AE393" s="50" t="str">
        <f t="shared" si="107"/>
        <v>ALTER TABLE TB_CMMN_CD ADD COLUMN USE_YN VARCHAR(1) NOT NULL;</v>
      </c>
      <c r="AF393" s="50" t="str">
        <f t="shared" si="108"/>
        <v>ALTER TABLE TB_CMMN_CD DROP COLUMN USE_YN;</v>
      </c>
      <c r="AG393" s="50" t="str">
        <f t="shared" si="109"/>
        <v/>
      </c>
      <c r="AH393" s="50" t="str">
        <f t="shared" si="113"/>
        <v>COMMENT ON COLUMN TB_CMMN_CD.USE_YN IS '사용 여부' ;</v>
      </c>
    </row>
    <row r="394" spans="1:34" ht="20" customHeight="1">
      <c r="A394" s="55">
        <v>390</v>
      </c>
      <c r="B394" s="26" t="s">
        <v>7</v>
      </c>
      <c r="C394" s="26" t="s">
        <v>19</v>
      </c>
      <c r="D394" s="10" t="s">
        <v>43</v>
      </c>
      <c r="E394" s="10" t="s">
        <v>134</v>
      </c>
      <c r="F394" s="92">
        <v>10</v>
      </c>
      <c r="G394" s="109" t="s">
        <v>603</v>
      </c>
      <c r="H394" s="109" t="s">
        <v>602</v>
      </c>
      <c r="I394" s="75" t="s">
        <v>72</v>
      </c>
      <c r="J394" s="90"/>
      <c r="K394" s="90"/>
      <c r="L394" s="90"/>
      <c r="M394" s="90"/>
      <c r="N394" s="90"/>
      <c r="O394" s="90"/>
      <c r="P394" s="51" t="s">
        <v>106</v>
      </c>
      <c r="Q394" s="126" t="s">
        <v>544</v>
      </c>
      <c r="R394" s="90"/>
      <c r="S394" s="109" t="s">
        <v>604</v>
      </c>
      <c r="T394" s="130"/>
      <c r="U394" s="130"/>
      <c r="V394" s="109" t="s">
        <v>605</v>
      </c>
      <c r="W394" s="90"/>
      <c r="X394" s="130"/>
      <c r="Y394" s="129" t="str">
        <f t="shared" ref="Y394" si="118">D394</f>
        <v>TB_CMMN_CD</v>
      </c>
      <c r="Z394" s="50" t="str">
        <f t="shared" si="105"/>
        <v>SYS_ESSNTL_CMMN_YN VARCHAR(1) NOT NULL,</v>
      </c>
      <c r="AA394" s="50" t="str">
        <f t="shared" si="111"/>
        <v/>
      </c>
      <c r="AB394" s="50" t="str">
        <f t="shared" si="112"/>
        <v/>
      </c>
      <c r="AC394" s="50" t="str">
        <f t="shared" si="104"/>
        <v/>
      </c>
      <c r="AD394" s="50" t="str">
        <f t="shared" si="106"/>
        <v>ALTER TABLE TB_CMMN_CD ALTER COLUMN SYS_ESSNTL_CMMN_YN TYPE VARCHAR(1);</v>
      </c>
      <c r="AE394" s="50" t="str">
        <f t="shared" si="107"/>
        <v>ALTER TABLE TB_CMMN_CD ADD COLUMN SYS_ESSNTL_CMMN_YN VARCHAR(1) NOT NULL;</v>
      </c>
      <c r="AF394" s="50" t="str">
        <f t="shared" si="108"/>
        <v>ALTER TABLE TB_CMMN_CD DROP COLUMN SYS_ESSNTL_CMMN_YN;</v>
      </c>
      <c r="AG394" s="50" t="str">
        <f t="shared" si="109"/>
        <v/>
      </c>
      <c r="AH394" s="50" t="str">
        <f t="shared" ref="AH394" si="119">"COMMENT ON COLUMN "&amp;D394&amp;"."&amp;G394&amp;" IS '"&amp;S394&amp;"' ;"</f>
        <v>COMMENT ON COLUMN TB_CMMN_CD.SYS_ESSNTL_CMMN_YN IS '시스템 필수 코드 여부' ;</v>
      </c>
    </row>
    <row r="395" spans="1:34" ht="20" customHeight="1">
      <c r="A395" s="55">
        <v>391</v>
      </c>
      <c r="B395" s="26" t="s">
        <v>7</v>
      </c>
      <c r="C395" s="26" t="s">
        <v>19</v>
      </c>
      <c r="D395" s="10" t="s">
        <v>43</v>
      </c>
      <c r="E395" s="10" t="s">
        <v>134</v>
      </c>
      <c r="F395" s="92">
        <v>11</v>
      </c>
      <c r="G395" s="109" t="s">
        <v>440</v>
      </c>
      <c r="H395" s="109" t="s">
        <v>437</v>
      </c>
      <c r="I395" s="90"/>
      <c r="J395" s="90"/>
      <c r="K395" s="90"/>
      <c r="L395" s="90"/>
      <c r="M395" s="90"/>
      <c r="N395" s="90"/>
      <c r="O395" s="90"/>
      <c r="P395" s="109" t="s">
        <v>427</v>
      </c>
      <c r="Q395" s="126" t="s">
        <v>548</v>
      </c>
      <c r="R395" s="90"/>
      <c r="S395" s="109" t="s">
        <v>476</v>
      </c>
      <c r="T395" s="130"/>
      <c r="U395" s="130"/>
      <c r="V395" s="109" t="s">
        <v>473</v>
      </c>
      <c r="W395" s="90"/>
      <c r="X395" s="130"/>
      <c r="Y395" s="129" t="str">
        <f t="shared" si="110"/>
        <v>TB_CMMN_CD</v>
      </c>
      <c r="Z395" s="50" t="str">
        <f t="shared" si="105"/>
        <v>CL_CD VARCHAR(50),</v>
      </c>
      <c r="AA395" s="50" t="str">
        <f t="shared" si="111"/>
        <v/>
      </c>
      <c r="AB395" s="50" t="str">
        <f t="shared" si="112"/>
        <v/>
      </c>
      <c r="AC395" s="50" t="str">
        <f t="shared" si="104"/>
        <v/>
      </c>
      <c r="AD395" s="50" t="str">
        <f t="shared" si="106"/>
        <v>ALTER TABLE TB_CMMN_CD ALTER COLUMN CL_CD TYPE VARCHAR(50);</v>
      </c>
      <c r="AE395" s="50" t="str">
        <f t="shared" si="107"/>
        <v>ALTER TABLE TB_CMMN_CD ADD COLUMN CL_CD VARCHAR(50);</v>
      </c>
      <c r="AF395" s="50" t="str">
        <f t="shared" si="108"/>
        <v>ALTER TABLE TB_CMMN_CD DROP COLUMN CL_CD;</v>
      </c>
      <c r="AG395" s="50" t="str">
        <f t="shared" si="109"/>
        <v/>
      </c>
      <c r="AH395" s="50" t="str">
        <f t="shared" si="113"/>
        <v>COMMENT ON COLUMN TB_CMMN_CD.CL_CD IS '분류 코드' ;</v>
      </c>
    </row>
    <row r="396" spans="1:34" ht="20" customHeight="1">
      <c r="A396" s="55">
        <v>392</v>
      </c>
      <c r="B396" s="26" t="s">
        <v>7</v>
      </c>
      <c r="C396" s="26" t="s">
        <v>19</v>
      </c>
      <c r="D396" s="10" t="s">
        <v>43</v>
      </c>
      <c r="E396" s="10" t="s">
        <v>134</v>
      </c>
      <c r="F396" s="92">
        <v>12</v>
      </c>
      <c r="G396" s="109" t="s">
        <v>444</v>
      </c>
      <c r="H396" s="109" t="s">
        <v>438</v>
      </c>
      <c r="I396" s="90"/>
      <c r="J396" s="90"/>
      <c r="K396" s="90"/>
      <c r="L396" s="90"/>
      <c r="M396" s="90"/>
      <c r="N396" s="90"/>
      <c r="O396" s="90"/>
      <c r="P396" s="109" t="s">
        <v>542</v>
      </c>
      <c r="Q396" s="92"/>
      <c r="R396" s="90"/>
      <c r="S396" s="109" t="s">
        <v>438</v>
      </c>
      <c r="T396" s="130"/>
      <c r="U396" s="130"/>
      <c r="V396" s="109"/>
      <c r="W396" s="90"/>
      <c r="X396" s="130"/>
      <c r="Y396" s="129" t="str">
        <f t="shared" si="110"/>
        <v>TB_CMMN_CD</v>
      </c>
      <c r="Z396" s="50" t="str">
        <f t="shared" si="105"/>
        <v>REMARK TEXT,</v>
      </c>
      <c r="AA396" s="50" t="str">
        <f t="shared" si="111"/>
        <v/>
      </c>
      <c r="AB396" s="50" t="str">
        <f t="shared" si="112"/>
        <v/>
      </c>
      <c r="AC396" s="50" t="str">
        <f t="shared" si="104"/>
        <v/>
      </c>
      <c r="AD396" s="50" t="str">
        <f t="shared" si="106"/>
        <v>ALTER TABLE TB_CMMN_CD ALTER COLUMN REMARK TYPE TEXT;</v>
      </c>
      <c r="AE396" s="50" t="str">
        <f t="shared" si="107"/>
        <v>ALTER TABLE TB_CMMN_CD ADD COLUMN REMARK TEXT;</v>
      </c>
      <c r="AF396" s="50" t="str">
        <f t="shared" si="108"/>
        <v>ALTER TABLE TB_CMMN_CD DROP COLUMN REMARK;</v>
      </c>
      <c r="AG396" s="50" t="str">
        <f t="shared" si="109"/>
        <v/>
      </c>
      <c r="AH396" s="50" t="str">
        <f t="shared" si="113"/>
        <v>COMMENT ON COLUMN TB_CMMN_CD.REMARK IS '비고' ;</v>
      </c>
    </row>
    <row r="397" spans="1:34" ht="20" customHeight="1">
      <c r="A397" s="55">
        <v>393</v>
      </c>
      <c r="B397" s="26" t="s">
        <v>7</v>
      </c>
      <c r="C397" s="26" t="s">
        <v>19</v>
      </c>
      <c r="D397" s="10" t="s">
        <v>43</v>
      </c>
      <c r="E397" s="10" t="s">
        <v>134</v>
      </c>
      <c r="F397" s="92">
        <v>13</v>
      </c>
      <c r="G397" s="102" t="s">
        <v>107</v>
      </c>
      <c r="H397" s="51" t="s">
        <v>76</v>
      </c>
      <c r="I397" s="75" t="s">
        <v>72</v>
      </c>
      <c r="J397" s="67"/>
      <c r="K397" s="67"/>
      <c r="L397" s="82"/>
      <c r="M397" s="82"/>
      <c r="N397" s="82"/>
      <c r="O397" s="82"/>
      <c r="P397" s="105" t="s">
        <v>543</v>
      </c>
      <c r="Q397" s="126" t="s">
        <v>548</v>
      </c>
      <c r="R397" s="85"/>
      <c r="S397" s="112" t="s">
        <v>219</v>
      </c>
      <c r="T397" s="130"/>
      <c r="U397" s="130"/>
      <c r="V397" s="123" t="s">
        <v>518</v>
      </c>
      <c r="W397" s="90"/>
      <c r="X397" s="130"/>
      <c r="Y397" s="129" t="str">
        <f t="shared" si="110"/>
        <v>TB_CMMN_CD</v>
      </c>
      <c r="Z397" s="50" t="str">
        <f t="shared" si="105"/>
        <v>REGISTER_ID VARCHAR(50) NOT NULL,</v>
      </c>
      <c r="AA397" s="50" t="str">
        <f t="shared" si="111"/>
        <v/>
      </c>
      <c r="AB397" s="50" t="str">
        <f t="shared" si="112"/>
        <v/>
      </c>
      <c r="AC397" s="50" t="str">
        <f t="shared" si="104"/>
        <v/>
      </c>
      <c r="AD397" s="50" t="str">
        <f t="shared" si="106"/>
        <v>ALTER TABLE TB_CMMN_CD ALTER COLUMN REGISTER_ID TYPE VARCHAR(50);</v>
      </c>
      <c r="AE397" s="50" t="str">
        <f t="shared" si="107"/>
        <v>ALTER TABLE TB_CMMN_CD ADD COLUMN REGISTER_ID VARCHAR(50) NOT NULL;</v>
      </c>
      <c r="AF397" s="50" t="str">
        <f t="shared" si="108"/>
        <v>ALTER TABLE TB_CMMN_CD DROP COLUMN REGISTER_ID;</v>
      </c>
      <c r="AG397" s="50" t="str">
        <f t="shared" si="109"/>
        <v/>
      </c>
      <c r="AH397" s="50" t="str">
        <f t="shared" si="113"/>
        <v>COMMENT ON COLUMN TB_CMMN_CD.REGISTER_ID IS '등록자 ID' ;</v>
      </c>
    </row>
    <row r="398" spans="1:34" ht="20" customHeight="1">
      <c r="A398" s="55">
        <v>394</v>
      </c>
      <c r="B398" s="26" t="s">
        <v>7</v>
      </c>
      <c r="C398" s="26" t="s">
        <v>19</v>
      </c>
      <c r="D398" s="10" t="s">
        <v>43</v>
      </c>
      <c r="E398" s="10" t="s">
        <v>134</v>
      </c>
      <c r="F398" s="92">
        <v>14</v>
      </c>
      <c r="G398" s="102" t="s">
        <v>91</v>
      </c>
      <c r="H398" s="51" t="s">
        <v>77</v>
      </c>
      <c r="I398" s="75" t="s">
        <v>72</v>
      </c>
      <c r="J398" s="52"/>
      <c r="K398" s="52"/>
      <c r="L398" s="52"/>
      <c r="M398" s="52"/>
      <c r="N398" s="52"/>
      <c r="O398" s="52"/>
      <c r="P398" s="56" t="s">
        <v>106</v>
      </c>
      <c r="Q398" s="127" t="s">
        <v>549</v>
      </c>
      <c r="R398" s="85"/>
      <c r="S398" s="112" t="s">
        <v>218</v>
      </c>
      <c r="T398" s="130"/>
      <c r="U398" s="130"/>
      <c r="V398" s="109"/>
      <c r="W398" s="90"/>
      <c r="X398" s="130"/>
      <c r="Y398" s="129" t="str">
        <f t="shared" si="110"/>
        <v>TB_CMMN_CD</v>
      </c>
      <c r="Z398" s="50" t="str">
        <f t="shared" si="105"/>
        <v>REGISTER_IP VARCHAR(100) NOT NULL,</v>
      </c>
      <c r="AA398" s="50" t="str">
        <f t="shared" si="111"/>
        <v/>
      </c>
      <c r="AB398" s="50" t="str">
        <f t="shared" si="112"/>
        <v/>
      </c>
      <c r="AC398" s="50" t="str">
        <f t="shared" si="104"/>
        <v/>
      </c>
      <c r="AD398" s="50" t="str">
        <f t="shared" si="106"/>
        <v>ALTER TABLE TB_CMMN_CD ALTER COLUMN REGISTER_IP TYPE VARCHAR(100);</v>
      </c>
      <c r="AE398" s="50" t="str">
        <f t="shared" si="107"/>
        <v>ALTER TABLE TB_CMMN_CD ADD COLUMN REGISTER_IP VARCHAR(100) NOT NULL;</v>
      </c>
      <c r="AF398" s="50" t="str">
        <f t="shared" si="108"/>
        <v>ALTER TABLE TB_CMMN_CD DROP COLUMN REGISTER_IP;</v>
      </c>
      <c r="AG398" s="50" t="str">
        <f t="shared" si="109"/>
        <v/>
      </c>
      <c r="AH398" s="50" t="str">
        <f t="shared" si="113"/>
        <v>COMMENT ON COLUMN TB_CMMN_CD.REGISTER_IP IS '등록자 IP' ;</v>
      </c>
    </row>
    <row r="399" spans="1:34" ht="20" customHeight="1">
      <c r="A399" s="55">
        <v>395</v>
      </c>
      <c r="B399" s="26" t="s">
        <v>7</v>
      </c>
      <c r="C399" s="26" t="s">
        <v>19</v>
      </c>
      <c r="D399" s="10" t="s">
        <v>43</v>
      </c>
      <c r="E399" s="10" t="s">
        <v>134</v>
      </c>
      <c r="F399" s="92">
        <v>15</v>
      </c>
      <c r="G399" s="102" t="s">
        <v>92</v>
      </c>
      <c r="H399" s="101" t="s">
        <v>78</v>
      </c>
      <c r="I399" s="75" t="s">
        <v>72</v>
      </c>
      <c r="J399" s="52"/>
      <c r="K399" s="52"/>
      <c r="L399" s="52"/>
      <c r="M399" s="52"/>
      <c r="N399" s="52"/>
      <c r="O399" s="52"/>
      <c r="P399" s="51" t="s">
        <v>732</v>
      </c>
      <c r="Q399" s="127"/>
      <c r="R399" s="85"/>
      <c r="S399" s="112" t="s">
        <v>217</v>
      </c>
      <c r="T399" s="130"/>
      <c r="U399" s="130"/>
      <c r="V399" s="109"/>
      <c r="W399" s="90"/>
      <c r="X399" s="130"/>
      <c r="Y399" s="129" t="str">
        <f t="shared" si="110"/>
        <v>TB_CMMN_CD</v>
      </c>
      <c r="Z399" s="50" t="str">
        <f t="shared" si="105"/>
        <v>REG_DT TIMESTAMP NOT NULL,</v>
      </c>
      <c r="AA399" s="50" t="str">
        <f t="shared" si="111"/>
        <v/>
      </c>
      <c r="AB399" s="50" t="str">
        <f t="shared" si="112"/>
        <v/>
      </c>
      <c r="AC399" s="50" t="str">
        <f t="shared" si="104"/>
        <v/>
      </c>
      <c r="AD399" s="50" t="str">
        <f t="shared" si="106"/>
        <v>ALTER TABLE TB_CMMN_CD ALTER COLUMN REG_DT TYPE TIMESTAMP;</v>
      </c>
      <c r="AE399" s="50" t="str">
        <f t="shared" si="107"/>
        <v>ALTER TABLE TB_CMMN_CD ADD COLUMN REG_DT TIMESTAMP NOT NULL;</v>
      </c>
      <c r="AF399" s="50" t="str">
        <f t="shared" si="108"/>
        <v>ALTER TABLE TB_CMMN_CD DROP COLUMN REG_DT;</v>
      </c>
      <c r="AG399" s="50" t="str">
        <f t="shared" si="109"/>
        <v/>
      </c>
      <c r="AH399" s="50" t="str">
        <f t="shared" si="113"/>
        <v>COMMENT ON COLUMN TB_CMMN_CD.REG_DT IS '등록 일시' ;</v>
      </c>
    </row>
    <row r="400" spans="1:34" ht="20" customHeight="1">
      <c r="A400" s="55">
        <v>396</v>
      </c>
      <c r="B400" s="26" t="s">
        <v>7</v>
      </c>
      <c r="C400" s="26" t="s">
        <v>19</v>
      </c>
      <c r="D400" s="10" t="s">
        <v>43</v>
      </c>
      <c r="E400" s="10" t="s">
        <v>134</v>
      </c>
      <c r="F400" s="92">
        <v>16</v>
      </c>
      <c r="G400" s="102" t="s">
        <v>93</v>
      </c>
      <c r="H400" s="101" t="s">
        <v>80</v>
      </c>
      <c r="I400" s="52"/>
      <c r="J400" s="52"/>
      <c r="K400" s="52"/>
      <c r="L400" s="84"/>
      <c r="M400" s="84"/>
      <c r="N400" s="84"/>
      <c r="O400" s="84"/>
      <c r="P400" s="105" t="s">
        <v>543</v>
      </c>
      <c r="Q400" s="126" t="s">
        <v>548</v>
      </c>
      <c r="R400" s="85"/>
      <c r="S400" s="112" t="s">
        <v>216</v>
      </c>
      <c r="T400" s="130"/>
      <c r="U400" s="130"/>
      <c r="V400" s="123" t="s">
        <v>518</v>
      </c>
      <c r="W400" s="90"/>
      <c r="X400" s="130"/>
      <c r="Y400" s="129" t="str">
        <f t="shared" si="110"/>
        <v>TB_CMMN_CD</v>
      </c>
      <c r="Z400" s="50" t="str">
        <f t="shared" si="105"/>
        <v>UPDUSR_ID VARCHAR(50),</v>
      </c>
      <c r="AA400" s="50" t="str">
        <f t="shared" si="111"/>
        <v/>
      </c>
      <c r="AB400" s="50" t="str">
        <f t="shared" si="112"/>
        <v/>
      </c>
      <c r="AC400" s="50" t="str">
        <f t="shared" si="104"/>
        <v/>
      </c>
      <c r="AD400" s="50" t="str">
        <f t="shared" si="106"/>
        <v>ALTER TABLE TB_CMMN_CD ALTER COLUMN UPDUSR_ID TYPE VARCHAR(50);</v>
      </c>
      <c r="AE400" s="50" t="str">
        <f t="shared" si="107"/>
        <v>ALTER TABLE TB_CMMN_CD ADD COLUMN UPDUSR_ID VARCHAR(50);</v>
      </c>
      <c r="AF400" s="50" t="str">
        <f t="shared" si="108"/>
        <v>ALTER TABLE TB_CMMN_CD DROP COLUMN UPDUSR_ID;</v>
      </c>
      <c r="AG400" s="50" t="str">
        <f t="shared" si="109"/>
        <v/>
      </c>
      <c r="AH400" s="50" t="str">
        <f t="shared" si="113"/>
        <v>COMMENT ON COLUMN TB_CMMN_CD.UPDUSR_ID IS '수정자 ID' ;</v>
      </c>
    </row>
    <row r="401" spans="1:34" ht="20" customHeight="1">
      <c r="A401" s="55">
        <v>397</v>
      </c>
      <c r="B401" s="26" t="s">
        <v>7</v>
      </c>
      <c r="C401" s="26" t="s">
        <v>19</v>
      </c>
      <c r="D401" s="10" t="s">
        <v>43</v>
      </c>
      <c r="E401" s="10" t="s">
        <v>134</v>
      </c>
      <c r="F401" s="92">
        <v>17</v>
      </c>
      <c r="G401" s="102" t="s">
        <v>94</v>
      </c>
      <c r="H401" s="101" t="s">
        <v>79</v>
      </c>
      <c r="I401" s="52"/>
      <c r="J401" s="52"/>
      <c r="K401" s="52"/>
      <c r="L401" s="52"/>
      <c r="M401" s="52"/>
      <c r="N401" s="52"/>
      <c r="O401" s="52"/>
      <c r="P401" s="56" t="s">
        <v>106</v>
      </c>
      <c r="Q401" s="127" t="s">
        <v>549</v>
      </c>
      <c r="R401" s="85"/>
      <c r="S401" s="112" t="s">
        <v>215</v>
      </c>
      <c r="T401" s="130"/>
      <c r="U401" s="130"/>
      <c r="V401" s="109"/>
      <c r="W401" s="90"/>
      <c r="X401" s="130"/>
      <c r="Y401" s="129" t="str">
        <f t="shared" si="110"/>
        <v>TB_CMMN_CD</v>
      </c>
      <c r="Z401" s="50" t="str">
        <f t="shared" si="105"/>
        <v>UPDUSR_IP VARCHAR(100),</v>
      </c>
      <c r="AA401" s="50" t="str">
        <f t="shared" si="111"/>
        <v/>
      </c>
      <c r="AB401" s="50" t="str">
        <f t="shared" si="112"/>
        <v/>
      </c>
      <c r="AC401" s="50" t="str">
        <f t="shared" si="104"/>
        <v/>
      </c>
      <c r="AD401" s="50" t="str">
        <f t="shared" si="106"/>
        <v>ALTER TABLE TB_CMMN_CD ALTER COLUMN UPDUSR_IP TYPE VARCHAR(100);</v>
      </c>
      <c r="AE401" s="50" t="str">
        <f t="shared" si="107"/>
        <v>ALTER TABLE TB_CMMN_CD ADD COLUMN UPDUSR_IP VARCHAR(100);</v>
      </c>
      <c r="AF401" s="50" t="str">
        <f t="shared" si="108"/>
        <v>ALTER TABLE TB_CMMN_CD DROP COLUMN UPDUSR_IP;</v>
      </c>
      <c r="AG401" s="50" t="str">
        <f t="shared" si="109"/>
        <v/>
      </c>
      <c r="AH401" s="50" t="str">
        <f t="shared" si="113"/>
        <v>COMMENT ON COLUMN TB_CMMN_CD.UPDUSR_IP IS '수정자 IP' ;</v>
      </c>
    </row>
    <row r="402" spans="1:34" ht="20" customHeight="1">
      <c r="A402" s="55">
        <v>398</v>
      </c>
      <c r="B402" s="26" t="s">
        <v>7</v>
      </c>
      <c r="C402" s="26" t="s">
        <v>19</v>
      </c>
      <c r="D402" s="10" t="s">
        <v>43</v>
      </c>
      <c r="E402" s="10" t="s">
        <v>134</v>
      </c>
      <c r="F402" s="92">
        <v>18</v>
      </c>
      <c r="G402" s="103" t="s">
        <v>95</v>
      </c>
      <c r="H402" s="102" t="s">
        <v>81</v>
      </c>
      <c r="I402" s="61"/>
      <c r="J402" s="61"/>
      <c r="K402" s="61"/>
      <c r="L402" s="61"/>
      <c r="M402" s="61"/>
      <c r="N402" s="61"/>
      <c r="O402" s="61"/>
      <c r="P402" s="51" t="s">
        <v>732</v>
      </c>
      <c r="Q402" s="127"/>
      <c r="R402" s="82"/>
      <c r="S402" s="112" t="s">
        <v>214</v>
      </c>
      <c r="T402" s="130"/>
      <c r="U402" s="130"/>
      <c r="V402" s="109"/>
      <c r="W402" s="90"/>
      <c r="X402" s="130"/>
      <c r="Y402" s="129" t="str">
        <f t="shared" si="110"/>
        <v>TB_CMMN_CD</v>
      </c>
      <c r="Z402" s="50" t="str">
        <f t="shared" si="105"/>
        <v>UPDT_DT TIMESTAMP,</v>
      </c>
      <c r="AA402" s="50" t="str">
        <f t="shared" si="111"/>
        <v/>
      </c>
      <c r="AB402" s="50" t="str">
        <f t="shared" si="112"/>
        <v/>
      </c>
      <c r="AC402" s="50" t="str">
        <f t="shared" si="104"/>
        <v/>
      </c>
      <c r="AD402" s="50" t="str">
        <f t="shared" si="106"/>
        <v>ALTER TABLE TB_CMMN_CD ALTER COLUMN UPDT_DT TYPE TIMESTAMP;</v>
      </c>
      <c r="AE402" s="50" t="str">
        <f t="shared" si="107"/>
        <v>ALTER TABLE TB_CMMN_CD ADD COLUMN UPDT_DT TIMESTAMP;</v>
      </c>
      <c r="AF402" s="50" t="str">
        <f t="shared" si="108"/>
        <v>ALTER TABLE TB_CMMN_CD DROP COLUMN UPDT_DT;</v>
      </c>
      <c r="AG402" s="50" t="str">
        <f t="shared" si="109"/>
        <v/>
      </c>
      <c r="AH402" s="50" t="str">
        <f t="shared" si="113"/>
        <v>COMMENT ON COLUMN TB_CMMN_CD.UPDT_DT IS '수정 일시' ;</v>
      </c>
    </row>
    <row r="403" spans="1:34" ht="20" customHeight="1">
      <c r="A403" s="55">
        <v>399</v>
      </c>
      <c r="B403" s="26" t="s">
        <v>7</v>
      </c>
      <c r="C403" s="26" t="s">
        <v>19</v>
      </c>
      <c r="D403" s="10" t="s">
        <v>43</v>
      </c>
      <c r="E403" s="10" t="s">
        <v>134</v>
      </c>
      <c r="F403" s="92">
        <v>19</v>
      </c>
      <c r="G403" s="102" t="s">
        <v>96</v>
      </c>
      <c r="H403" s="102" t="s">
        <v>82</v>
      </c>
      <c r="I403" s="75" t="s">
        <v>72</v>
      </c>
      <c r="J403" s="61"/>
      <c r="K403" s="61"/>
      <c r="L403" s="61"/>
      <c r="M403" s="61"/>
      <c r="N403" s="61"/>
      <c r="O403" s="61"/>
      <c r="P403" s="51" t="s">
        <v>106</v>
      </c>
      <c r="Q403" s="127" t="s">
        <v>544</v>
      </c>
      <c r="R403" s="87" t="s">
        <v>592</v>
      </c>
      <c r="S403" s="112" t="s">
        <v>213</v>
      </c>
      <c r="T403" s="130"/>
      <c r="U403" s="130"/>
      <c r="V403" s="109"/>
      <c r="W403" s="90"/>
      <c r="X403" s="130"/>
      <c r="Y403" s="129" t="str">
        <f t="shared" si="110"/>
        <v>TB_CMMN_CD</v>
      </c>
      <c r="Z403" s="50" t="str">
        <f t="shared" si="105"/>
        <v>DEL_YN VARCHAR(1) NOT NULL,</v>
      </c>
      <c r="AA403" s="50" t="str">
        <f t="shared" si="111"/>
        <v/>
      </c>
      <c r="AB403" s="50" t="str">
        <f t="shared" si="112"/>
        <v/>
      </c>
      <c r="AC403" s="50" t="str">
        <f t="shared" si="104"/>
        <v/>
      </c>
      <c r="AD403" s="50" t="str">
        <f t="shared" si="106"/>
        <v>ALTER TABLE TB_CMMN_CD ALTER COLUMN DEL_YN TYPE VARCHAR(1);</v>
      </c>
      <c r="AE403" s="50" t="str">
        <f t="shared" si="107"/>
        <v>ALTER TABLE TB_CMMN_CD ADD COLUMN DEL_YN VARCHAR(1) NOT NULL DEFAULT ''N'';</v>
      </c>
      <c r="AF403" s="50" t="str">
        <f t="shared" si="108"/>
        <v>ALTER TABLE TB_CMMN_CD DROP COLUMN DEL_YN;</v>
      </c>
      <c r="AG403" s="50" t="str">
        <f t="shared" si="109"/>
        <v>ALTER TABLE TB_CMMN_CD ALTER COLUMN DEL_YN SET DEFAULT 'N';</v>
      </c>
      <c r="AH403" s="50" t="str">
        <f t="shared" si="113"/>
        <v>COMMENT ON COLUMN TB_CMMN_CD.DEL_YN IS '삭제 여부' ;</v>
      </c>
    </row>
    <row r="404" spans="1:34" ht="20" customHeight="1">
      <c r="A404" s="55">
        <v>400</v>
      </c>
      <c r="B404" s="26" t="s">
        <v>7</v>
      </c>
      <c r="C404" s="26" t="s">
        <v>19</v>
      </c>
      <c r="D404" s="10" t="s">
        <v>431</v>
      </c>
      <c r="E404" s="10" t="s">
        <v>432</v>
      </c>
      <c r="F404" s="92">
        <v>1</v>
      </c>
      <c r="G404" s="109" t="s">
        <v>445</v>
      </c>
      <c r="H404" s="109" t="s">
        <v>460</v>
      </c>
      <c r="I404" s="90" t="s">
        <v>425</v>
      </c>
      <c r="J404" s="90">
        <v>1</v>
      </c>
      <c r="K404" s="90"/>
      <c r="L404" s="90"/>
      <c r="M404" s="90"/>
      <c r="N404" s="90"/>
      <c r="O404" s="90"/>
      <c r="P404" s="109" t="s">
        <v>426</v>
      </c>
      <c r="Q404" s="92"/>
      <c r="R404" s="90"/>
      <c r="S404" s="109" t="s">
        <v>462</v>
      </c>
      <c r="T404" s="132" t="str">
        <f>"SEQ_"&amp;D404&amp;"_SN"</f>
        <v>SEQ_TB_CMMN_CD_DETAIL_SN</v>
      </c>
      <c r="U404" s="132"/>
      <c r="V404" s="109"/>
      <c r="W404" s="90"/>
      <c r="X404" s="130"/>
      <c r="Y404" s="129" t="str">
        <f t="shared" si="110"/>
        <v>TB_CMMN_CD_DETAIL</v>
      </c>
      <c r="Z404" s="50" t="str">
        <f t="shared" si="105"/>
        <v>CD_DETAIL_SN INTEGER PRIMARY KEY,</v>
      </c>
      <c r="AA404" s="50" t="str">
        <f t="shared" si="111"/>
        <v/>
      </c>
      <c r="AB404" s="50" t="str">
        <f t="shared" si="112"/>
        <v>CREATE SEQUENCE SEQ_TB_CMMN_CD_DETAIL_SN START 100000;</v>
      </c>
      <c r="AC404" s="50" t="str">
        <f t="shared" ref="AC404:AC443" si="120">IF(ISBLANK(T404),"","ALTER TABLE "&amp;D404&amp;" ALTER COLUMN "&amp;G404&amp;" SET DEFAULT NEXTVAL('"&amp;T404&amp;"');")</f>
        <v>ALTER TABLE TB_CMMN_CD_DETAIL ALTER COLUMN CD_DETAIL_SN SET DEFAULT NEXTVAL('SEQ_TB_CMMN_CD_DETAIL_SN');</v>
      </c>
      <c r="AD404" s="50" t="str">
        <f t="shared" si="106"/>
        <v>ALTER TABLE TB_CMMN_CD_DETAIL ALTER COLUMN CD_DETAIL_SN TYPE INTEGER;</v>
      </c>
      <c r="AE404" s="50" t="str">
        <f t="shared" si="107"/>
        <v>ALTER TABLE TB_CMMN_CD_DETAIL ADD COLUMN CD_DETAIL_SN INTEGER NOT NULL;</v>
      </c>
      <c r="AF404" s="50" t="str">
        <f t="shared" si="108"/>
        <v>ALTER TABLE TB_CMMN_CD_DETAIL DROP COLUMN CD_DETAIL_SN;</v>
      </c>
      <c r="AG404" s="50" t="str">
        <f t="shared" si="109"/>
        <v/>
      </c>
      <c r="AH404" s="50" t="str">
        <f t="shared" si="113"/>
        <v>COMMENT ON COLUMN TB_CMMN_CD_DETAIL.CD_DETAIL_SN IS '코드 상세 일련번호' ;</v>
      </c>
    </row>
    <row r="405" spans="1:34" ht="20" customHeight="1">
      <c r="A405" s="55">
        <v>401</v>
      </c>
      <c r="B405" s="26" t="s">
        <v>7</v>
      </c>
      <c r="C405" s="26" t="s">
        <v>19</v>
      </c>
      <c r="D405" s="10" t="s">
        <v>431</v>
      </c>
      <c r="E405" s="10" t="s">
        <v>432</v>
      </c>
      <c r="F405" s="92">
        <v>2</v>
      </c>
      <c r="G405" s="109" t="s">
        <v>442</v>
      </c>
      <c r="H405" s="109" t="s">
        <v>434</v>
      </c>
      <c r="I405" s="90" t="s">
        <v>425</v>
      </c>
      <c r="J405" s="90"/>
      <c r="K405" s="90"/>
      <c r="L405" s="10"/>
      <c r="M405" s="109"/>
      <c r="N405" s="100"/>
      <c r="O405" s="100"/>
      <c r="P405" s="109" t="s">
        <v>106</v>
      </c>
      <c r="Q405" s="126" t="s">
        <v>548</v>
      </c>
      <c r="R405" s="90"/>
      <c r="S405" s="109" t="s">
        <v>474</v>
      </c>
      <c r="T405" s="130"/>
      <c r="U405" s="130"/>
      <c r="V405" s="109" t="s">
        <v>784</v>
      </c>
      <c r="W405" s="90"/>
      <c r="X405" s="130"/>
      <c r="Y405" s="129" t="str">
        <f t="shared" si="110"/>
        <v>TB_CMMN_CD_DETAIL</v>
      </c>
      <c r="Z405" s="50" t="str">
        <f t="shared" ref="Z405:Z443" si="121">G405&amp;" "&amp;P405&amp;Q405&amp;IF(ISBLANK(J405),""," PRIMARY KEY")&amp;IF(AND(ISBLANK(J405),I405="Y")," NOT NULL","")&amp;","</f>
        <v>CD_NM VARCHAR(50) NOT NULL,</v>
      </c>
      <c r="AA405" s="50" t="str">
        <f t="shared" si="111"/>
        <v/>
      </c>
      <c r="AB405" s="50" t="str">
        <f t="shared" si="112"/>
        <v/>
      </c>
      <c r="AC405" s="50" t="str">
        <f t="shared" si="120"/>
        <v/>
      </c>
      <c r="AD405" s="50" t="str">
        <f t="shared" si="106"/>
        <v>ALTER TABLE TB_CMMN_CD_DETAIL ALTER COLUMN CD_NM TYPE VARCHAR(50);</v>
      </c>
      <c r="AE405" s="50" t="str">
        <f t="shared" si="107"/>
        <v>ALTER TABLE TB_CMMN_CD_DETAIL ADD COLUMN CD_NM VARCHAR(50) NOT NULL;</v>
      </c>
      <c r="AF405" s="50" t="str">
        <f t="shared" si="108"/>
        <v>ALTER TABLE TB_CMMN_CD_DETAIL DROP COLUMN CD_NM;</v>
      </c>
      <c r="AG405" s="50" t="str">
        <f t="shared" si="109"/>
        <v/>
      </c>
      <c r="AH405" s="50" t="str">
        <f t="shared" si="113"/>
        <v>COMMENT ON COLUMN TB_CMMN_CD_DETAIL.CD_NM IS '코드 이름' ;</v>
      </c>
    </row>
    <row r="406" spans="1:34" ht="20" customHeight="1">
      <c r="A406" s="55">
        <v>402</v>
      </c>
      <c r="B406" s="26" t="s">
        <v>7</v>
      </c>
      <c r="C406" s="26" t="s">
        <v>19</v>
      </c>
      <c r="D406" s="10" t="s">
        <v>431</v>
      </c>
      <c r="E406" s="10" t="s">
        <v>432</v>
      </c>
      <c r="F406" s="92">
        <v>3</v>
      </c>
      <c r="G406" s="109" t="s">
        <v>461</v>
      </c>
      <c r="H406" s="109" t="s">
        <v>554</v>
      </c>
      <c r="I406" s="90"/>
      <c r="J406" s="90"/>
      <c r="K406" s="90"/>
      <c r="L406" s="90"/>
      <c r="M406" s="90"/>
      <c r="N406" s="90"/>
      <c r="O406" s="90"/>
      <c r="P406" s="109" t="s">
        <v>229</v>
      </c>
      <c r="Q406" s="47"/>
      <c r="R406" s="90"/>
      <c r="S406" s="109" t="s">
        <v>464</v>
      </c>
      <c r="T406" s="132"/>
      <c r="U406" s="132"/>
      <c r="V406" s="109"/>
      <c r="W406" s="90"/>
      <c r="X406" s="130"/>
      <c r="Y406" s="129" t="str">
        <f t="shared" si="110"/>
        <v>TB_CMMN_CD_DETAIL</v>
      </c>
      <c r="Z406" s="50" t="str">
        <f t="shared" si="121"/>
        <v>CD_DETAIL_SEQ INTEGER,</v>
      </c>
      <c r="AA406" s="50" t="str">
        <f t="shared" si="111"/>
        <v/>
      </c>
      <c r="AB406" s="50" t="str">
        <f t="shared" si="112"/>
        <v/>
      </c>
      <c r="AC406" s="50" t="str">
        <f t="shared" si="120"/>
        <v/>
      </c>
      <c r="AD406" s="50" t="str">
        <f t="shared" si="106"/>
        <v>ALTER TABLE TB_CMMN_CD_DETAIL ALTER COLUMN CD_DETAIL_SEQ TYPE INTEGER;</v>
      </c>
      <c r="AE406" s="50" t="str">
        <f t="shared" si="107"/>
        <v>ALTER TABLE TB_CMMN_CD_DETAIL ADD COLUMN CD_DETAIL_SEQ INTEGER;</v>
      </c>
      <c r="AF406" s="50" t="str">
        <f t="shared" si="108"/>
        <v>ALTER TABLE TB_CMMN_CD_DETAIL DROP COLUMN CD_DETAIL_SEQ;</v>
      </c>
      <c r="AG406" s="50" t="str">
        <f t="shared" si="109"/>
        <v/>
      </c>
      <c r="AH406" s="50" t="str">
        <f t="shared" si="113"/>
        <v>COMMENT ON COLUMN TB_CMMN_CD_DETAIL.CD_DETAIL_SEQ IS '코드 상세 순번' ;</v>
      </c>
    </row>
    <row r="407" spans="1:34" ht="20" customHeight="1">
      <c r="A407" s="55">
        <v>403</v>
      </c>
      <c r="B407" s="26" t="s">
        <v>7</v>
      </c>
      <c r="C407" s="26" t="s">
        <v>19</v>
      </c>
      <c r="D407" s="10" t="s">
        <v>431</v>
      </c>
      <c r="E407" s="10" t="s">
        <v>432</v>
      </c>
      <c r="F407" s="92">
        <v>4</v>
      </c>
      <c r="G407" s="109" t="s">
        <v>446</v>
      </c>
      <c r="H407" s="109" t="s">
        <v>447</v>
      </c>
      <c r="I407" s="90" t="s">
        <v>425</v>
      </c>
      <c r="J407" s="90"/>
      <c r="K407" s="90"/>
      <c r="L407" s="90"/>
      <c r="M407" s="90"/>
      <c r="N407" s="90"/>
      <c r="O407" s="90"/>
      <c r="P407" s="109" t="s">
        <v>427</v>
      </c>
      <c r="Q407" s="126" t="s">
        <v>548</v>
      </c>
      <c r="R407" s="90"/>
      <c r="S407" s="109" t="s">
        <v>465</v>
      </c>
      <c r="T407" s="130"/>
      <c r="U407" s="130"/>
      <c r="V407" s="109"/>
      <c r="W407" s="90"/>
      <c r="X407" s="130"/>
      <c r="Y407" s="129" t="str">
        <f t="shared" si="110"/>
        <v>TB_CMMN_CD_DETAIL</v>
      </c>
      <c r="Z407" s="50" t="str">
        <f t="shared" si="121"/>
        <v>CD_DETAIL_NM VARCHAR(50) NOT NULL,</v>
      </c>
      <c r="AA407" s="50" t="str">
        <f t="shared" si="111"/>
        <v/>
      </c>
      <c r="AB407" s="50" t="str">
        <f t="shared" si="112"/>
        <v/>
      </c>
      <c r="AC407" s="50" t="str">
        <f t="shared" si="120"/>
        <v/>
      </c>
      <c r="AD407" s="50" t="str">
        <f t="shared" si="106"/>
        <v>ALTER TABLE TB_CMMN_CD_DETAIL ALTER COLUMN CD_DETAIL_NM TYPE VARCHAR(50);</v>
      </c>
      <c r="AE407" s="50" t="str">
        <f t="shared" si="107"/>
        <v>ALTER TABLE TB_CMMN_CD_DETAIL ADD COLUMN CD_DETAIL_NM VARCHAR(50) NOT NULL;</v>
      </c>
      <c r="AF407" s="50" t="str">
        <f t="shared" si="108"/>
        <v>ALTER TABLE TB_CMMN_CD_DETAIL DROP COLUMN CD_DETAIL_NM;</v>
      </c>
      <c r="AG407" s="50" t="str">
        <f t="shared" si="109"/>
        <v/>
      </c>
      <c r="AH407" s="50" t="str">
        <f t="shared" si="113"/>
        <v>COMMENT ON COLUMN TB_CMMN_CD_DETAIL.CD_DETAIL_NM IS '코드 상세 이름' ;</v>
      </c>
    </row>
    <row r="408" spans="1:34" ht="20" customHeight="1">
      <c r="A408" s="55">
        <v>404</v>
      </c>
      <c r="B408" s="26" t="s">
        <v>7</v>
      </c>
      <c r="C408" s="26" t="s">
        <v>19</v>
      </c>
      <c r="D408" s="10" t="s">
        <v>431</v>
      </c>
      <c r="E408" s="10" t="s">
        <v>432</v>
      </c>
      <c r="F408" s="92">
        <v>5</v>
      </c>
      <c r="G408" s="109" t="s">
        <v>448</v>
      </c>
      <c r="H408" s="109" t="s">
        <v>449</v>
      </c>
      <c r="I408" s="90"/>
      <c r="J408" s="90"/>
      <c r="K408" s="90"/>
      <c r="L408" s="90"/>
      <c r="M408" s="90"/>
      <c r="N408" s="90"/>
      <c r="O408" s="90"/>
      <c r="P408" s="109" t="s">
        <v>428</v>
      </c>
      <c r="Q408" s="92"/>
      <c r="R408" s="90"/>
      <c r="S408" s="109" t="s">
        <v>466</v>
      </c>
      <c r="T408" s="130"/>
      <c r="U408" s="130"/>
      <c r="V408" s="109"/>
      <c r="W408" s="90"/>
      <c r="X408" s="130"/>
      <c r="Y408" s="129" t="str">
        <f t="shared" si="110"/>
        <v>TB_CMMN_CD_DETAIL</v>
      </c>
      <c r="Z408" s="50" t="str">
        <f t="shared" si="121"/>
        <v>CD_DETAIL_DC TEXT,</v>
      </c>
      <c r="AA408" s="50" t="str">
        <f t="shared" si="111"/>
        <v/>
      </c>
      <c r="AB408" s="50" t="str">
        <f t="shared" si="112"/>
        <v/>
      </c>
      <c r="AC408" s="50" t="str">
        <f t="shared" si="120"/>
        <v/>
      </c>
      <c r="AD408" s="50" t="str">
        <f t="shared" si="106"/>
        <v>ALTER TABLE TB_CMMN_CD_DETAIL ALTER COLUMN CD_DETAIL_DC TYPE TEXT;</v>
      </c>
      <c r="AE408" s="50" t="str">
        <f t="shared" si="107"/>
        <v>ALTER TABLE TB_CMMN_CD_DETAIL ADD COLUMN CD_DETAIL_DC TEXT;</v>
      </c>
      <c r="AF408" s="50" t="str">
        <f t="shared" si="108"/>
        <v>ALTER TABLE TB_CMMN_CD_DETAIL DROP COLUMN CD_DETAIL_DC;</v>
      </c>
      <c r="AG408" s="50" t="str">
        <f t="shared" si="109"/>
        <v/>
      </c>
      <c r="AH408" s="50" t="str">
        <f t="shared" si="113"/>
        <v>COMMENT ON COLUMN TB_CMMN_CD_DETAIL.CD_DETAIL_DC IS '코드 상세 설명' ;</v>
      </c>
    </row>
    <row r="409" spans="1:34" ht="20" customHeight="1">
      <c r="A409" s="55">
        <v>405</v>
      </c>
      <c r="B409" s="26" t="s">
        <v>7</v>
      </c>
      <c r="C409" s="26" t="s">
        <v>19</v>
      </c>
      <c r="D409" s="10" t="s">
        <v>431</v>
      </c>
      <c r="E409" s="10" t="s">
        <v>432</v>
      </c>
      <c r="F409" s="92">
        <v>6</v>
      </c>
      <c r="G409" s="109" t="s">
        <v>450</v>
      </c>
      <c r="H409" s="109" t="s">
        <v>455</v>
      </c>
      <c r="I409" s="90"/>
      <c r="J409" s="90"/>
      <c r="K409" s="90"/>
      <c r="L409" s="90"/>
      <c r="M409" s="90"/>
      <c r="N409" s="90"/>
      <c r="O409" s="90"/>
      <c r="P409" s="109" t="s">
        <v>427</v>
      </c>
      <c r="Q409" s="126" t="s">
        <v>552</v>
      </c>
      <c r="R409" s="90"/>
      <c r="S409" s="109" t="s">
        <v>467</v>
      </c>
      <c r="T409" s="130"/>
      <c r="U409" s="130"/>
      <c r="V409" s="109" t="s">
        <v>477</v>
      </c>
      <c r="W409" s="90"/>
      <c r="X409" s="130"/>
      <c r="Y409" s="129" t="str">
        <f t="shared" si="110"/>
        <v>TB_CMMN_CD_DETAIL</v>
      </c>
      <c r="Z409" s="50" t="str">
        <f t="shared" si="121"/>
        <v>CD_DETAIL_VAL1 VARCHAR(2000),</v>
      </c>
      <c r="AA409" s="50" t="str">
        <f t="shared" si="111"/>
        <v/>
      </c>
      <c r="AB409" s="50" t="str">
        <f t="shared" si="112"/>
        <v/>
      </c>
      <c r="AC409" s="50" t="str">
        <f t="shared" si="120"/>
        <v/>
      </c>
      <c r="AD409" s="50" t="str">
        <f t="shared" si="106"/>
        <v>ALTER TABLE TB_CMMN_CD_DETAIL ALTER COLUMN CD_DETAIL_VAL1 TYPE VARCHAR(2000);</v>
      </c>
      <c r="AE409" s="50" t="str">
        <f t="shared" si="107"/>
        <v>ALTER TABLE TB_CMMN_CD_DETAIL ADD COLUMN CD_DETAIL_VAL1 VARCHAR(2000);</v>
      </c>
      <c r="AF409" s="50" t="str">
        <f t="shared" si="108"/>
        <v>ALTER TABLE TB_CMMN_CD_DETAIL DROP COLUMN CD_DETAIL_VAL1;</v>
      </c>
      <c r="AG409" s="50" t="str">
        <f t="shared" si="109"/>
        <v/>
      </c>
      <c r="AH409" s="50" t="str">
        <f t="shared" si="113"/>
        <v>COMMENT ON COLUMN TB_CMMN_CD_DETAIL.CD_DETAIL_VAL1 IS '코드 상세값 1' ;</v>
      </c>
    </row>
    <row r="410" spans="1:34" ht="20" customHeight="1">
      <c r="A410" s="55">
        <v>406</v>
      </c>
      <c r="B410" s="26" t="s">
        <v>7</v>
      </c>
      <c r="C410" s="26" t="s">
        <v>19</v>
      </c>
      <c r="D410" s="10" t="s">
        <v>431</v>
      </c>
      <c r="E410" s="10" t="s">
        <v>432</v>
      </c>
      <c r="F410" s="92">
        <v>7</v>
      </c>
      <c r="G410" s="109" t="s">
        <v>452</v>
      </c>
      <c r="H410" s="109" t="s">
        <v>456</v>
      </c>
      <c r="I410" s="90"/>
      <c r="J410" s="90"/>
      <c r="K410" s="90"/>
      <c r="L410" s="90"/>
      <c r="M410" s="90"/>
      <c r="N410" s="90"/>
      <c r="O410" s="90"/>
      <c r="P410" s="109" t="s">
        <v>427</v>
      </c>
      <c r="Q410" s="126" t="s">
        <v>552</v>
      </c>
      <c r="R410" s="90"/>
      <c r="S410" s="109" t="s">
        <v>468</v>
      </c>
      <c r="T410" s="130"/>
      <c r="U410" s="130"/>
      <c r="V410" s="109" t="s">
        <v>477</v>
      </c>
      <c r="W410" s="90"/>
      <c r="X410" s="130"/>
      <c r="Y410" s="129" t="str">
        <f t="shared" si="110"/>
        <v>TB_CMMN_CD_DETAIL</v>
      </c>
      <c r="Z410" s="50" t="str">
        <f t="shared" si="121"/>
        <v>CD_DETAIL_VAL2 VARCHAR(2000),</v>
      </c>
      <c r="AA410" s="50" t="str">
        <f t="shared" si="111"/>
        <v/>
      </c>
      <c r="AB410" s="50" t="str">
        <f t="shared" si="112"/>
        <v/>
      </c>
      <c r="AC410" s="50" t="str">
        <f t="shared" si="120"/>
        <v/>
      </c>
      <c r="AD410" s="50" t="str">
        <f t="shared" si="106"/>
        <v>ALTER TABLE TB_CMMN_CD_DETAIL ALTER COLUMN CD_DETAIL_VAL2 TYPE VARCHAR(2000);</v>
      </c>
      <c r="AE410" s="50" t="str">
        <f t="shared" si="107"/>
        <v>ALTER TABLE TB_CMMN_CD_DETAIL ADD COLUMN CD_DETAIL_VAL2 VARCHAR(2000);</v>
      </c>
      <c r="AF410" s="50" t="str">
        <f t="shared" si="108"/>
        <v>ALTER TABLE TB_CMMN_CD_DETAIL DROP COLUMN CD_DETAIL_VAL2;</v>
      </c>
      <c r="AG410" s="50" t="str">
        <f t="shared" si="109"/>
        <v/>
      </c>
      <c r="AH410" s="50" t="str">
        <f t="shared" si="113"/>
        <v>COMMENT ON COLUMN TB_CMMN_CD_DETAIL.CD_DETAIL_VAL2 IS '코드 상세값 2' ;</v>
      </c>
    </row>
    <row r="411" spans="1:34" ht="20" customHeight="1">
      <c r="A411" s="55">
        <v>407</v>
      </c>
      <c r="B411" s="26" t="s">
        <v>7</v>
      </c>
      <c r="C411" s="26" t="s">
        <v>19</v>
      </c>
      <c r="D411" s="10" t="s">
        <v>431</v>
      </c>
      <c r="E411" s="10" t="s">
        <v>432</v>
      </c>
      <c r="F411" s="92">
        <v>8</v>
      </c>
      <c r="G411" s="109" t="s">
        <v>453</v>
      </c>
      <c r="H411" s="109" t="s">
        <v>457</v>
      </c>
      <c r="I411" s="90"/>
      <c r="J411" s="90"/>
      <c r="K411" s="90"/>
      <c r="L411" s="90"/>
      <c r="M411" s="90"/>
      <c r="N411" s="90"/>
      <c r="O411" s="90"/>
      <c r="P411" s="109" t="s">
        <v>427</v>
      </c>
      <c r="Q411" s="126" t="s">
        <v>552</v>
      </c>
      <c r="R411" s="90"/>
      <c r="S411" s="109" t="s">
        <v>469</v>
      </c>
      <c r="T411" s="130"/>
      <c r="U411" s="130"/>
      <c r="V411" s="109" t="s">
        <v>477</v>
      </c>
      <c r="W411" s="90"/>
      <c r="X411" s="130"/>
      <c r="Y411" s="129" t="str">
        <f t="shared" si="110"/>
        <v>TB_CMMN_CD_DETAIL</v>
      </c>
      <c r="Z411" s="50" t="str">
        <f t="shared" si="121"/>
        <v>CD_DETAIL_VAL3 VARCHAR(2000),</v>
      </c>
      <c r="AA411" s="50" t="str">
        <f t="shared" si="111"/>
        <v/>
      </c>
      <c r="AB411" s="50" t="str">
        <f t="shared" si="112"/>
        <v/>
      </c>
      <c r="AC411" s="50" t="str">
        <f t="shared" si="120"/>
        <v/>
      </c>
      <c r="AD411" s="50" t="str">
        <f t="shared" si="106"/>
        <v>ALTER TABLE TB_CMMN_CD_DETAIL ALTER COLUMN CD_DETAIL_VAL3 TYPE VARCHAR(2000);</v>
      </c>
      <c r="AE411" s="50" t="str">
        <f t="shared" ref="AE411:AE451" si="122">"ALTER TABLE "&amp;$D411&amp;" ADD COLUMN "&amp;$G411&amp;" "&amp;$P411&amp;IF(ISBLANK(Q411),"",$Q411)&amp;IF(ISBLANK($I411),""," NOT NULL")&amp;IF(ISBLANK($R411),""," DEFAULT '" &amp; $R411 &amp; "'") &amp; ";"</f>
        <v>ALTER TABLE TB_CMMN_CD_DETAIL ADD COLUMN CD_DETAIL_VAL3 VARCHAR(2000);</v>
      </c>
      <c r="AF411" s="50" t="str">
        <f t="shared" si="108"/>
        <v>ALTER TABLE TB_CMMN_CD_DETAIL DROP COLUMN CD_DETAIL_VAL3;</v>
      </c>
      <c r="AG411" s="50" t="str">
        <f t="shared" si="109"/>
        <v/>
      </c>
      <c r="AH411" s="50" t="str">
        <f t="shared" si="113"/>
        <v>COMMENT ON COLUMN TB_CMMN_CD_DETAIL.CD_DETAIL_VAL3 IS '코드 상세값 3' ;</v>
      </c>
    </row>
    <row r="412" spans="1:34" ht="20" customHeight="1">
      <c r="A412" s="55">
        <v>408</v>
      </c>
      <c r="B412" s="26" t="s">
        <v>7</v>
      </c>
      <c r="C412" s="26" t="s">
        <v>19</v>
      </c>
      <c r="D412" s="10" t="s">
        <v>431</v>
      </c>
      <c r="E412" s="10" t="s">
        <v>432</v>
      </c>
      <c r="F412" s="92">
        <v>9</v>
      </c>
      <c r="G412" s="109" t="s">
        <v>454</v>
      </c>
      <c r="H412" s="109" t="s">
        <v>458</v>
      </c>
      <c r="I412" s="90"/>
      <c r="J412" s="90"/>
      <c r="K412" s="90"/>
      <c r="L412" s="90"/>
      <c r="M412" s="90"/>
      <c r="N412" s="90"/>
      <c r="O412" s="90"/>
      <c r="P412" s="109" t="s">
        <v>427</v>
      </c>
      <c r="Q412" s="126" t="s">
        <v>552</v>
      </c>
      <c r="R412" s="90"/>
      <c r="S412" s="109" t="s">
        <v>470</v>
      </c>
      <c r="T412" s="130"/>
      <c r="U412" s="130"/>
      <c r="V412" s="109" t="s">
        <v>477</v>
      </c>
      <c r="W412" s="90"/>
      <c r="X412" s="130"/>
      <c r="Y412" s="129" t="str">
        <f t="shared" si="110"/>
        <v>TB_CMMN_CD_DETAIL</v>
      </c>
      <c r="Z412" s="50" t="str">
        <f t="shared" si="121"/>
        <v>CD_DETAIL_VAL4 VARCHAR(2000),</v>
      </c>
      <c r="AA412" s="50" t="str">
        <f t="shared" si="111"/>
        <v/>
      </c>
      <c r="AB412" s="50" t="str">
        <f t="shared" si="112"/>
        <v/>
      </c>
      <c r="AC412" s="50" t="str">
        <f t="shared" si="120"/>
        <v/>
      </c>
      <c r="AD412" s="50" t="str">
        <f t="shared" ref="AD412:AD443" si="123">"ALTER TABLE "&amp;$D412&amp;" ALTER COLUMN "&amp;$G412&amp;" TYPE "&amp;$P412&amp;IF(ISBLANK(Q412),"",Q412)&amp;";"</f>
        <v>ALTER TABLE TB_CMMN_CD_DETAIL ALTER COLUMN CD_DETAIL_VAL4 TYPE VARCHAR(2000);</v>
      </c>
      <c r="AE412" s="50" t="str">
        <f t="shared" si="122"/>
        <v>ALTER TABLE TB_CMMN_CD_DETAIL ADD COLUMN CD_DETAIL_VAL4 VARCHAR(2000);</v>
      </c>
      <c r="AF412" s="50" t="str">
        <f t="shared" ref="AF412:AF451" si="124">"ALTER TABLE "&amp;$D412&amp;" DROP COLUMN "&amp;$G412&amp;";"</f>
        <v>ALTER TABLE TB_CMMN_CD_DETAIL DROP COLUMN CD_DETAIL_VAL4;</v>
      </c>
      <c r="AG412" s="50" t="str">
        <f t="shared" ref="AG412:AG451" si="125">IF(ISBLANK($R412),"","ALTER TABLE " &amp; $D412 &amp; " ALTER COLUMN " &amp; G412 &amp; " SET DEFAULT " &amp; $R412 &amp; ";")</f>
        <v/>
      </c>
      <c r="AH412" s="50" t="str">
        <f t="shared" si="113"/>
        <v>COMMENT ON COLUMN TB_CMMN_CD_DETAIL.CD_DETAIL_VAL4 IS '코드 상세값 4' ;</v>
      </c>
    </row>
    <row r="413" spans="1:34" ht="20" customHeight="1">
      <c r="A413" s="55">
        <v>409</v>
      </c>
      <c r="B413" s="26" t="s">
        <v>7</v>
      </c>
      <c r="C413" s="26" t="s">
        <v>19</v>
      </c>
      <c r="D413" s="10" t="s">
        <v>431</v>
      </c>
      <c r="E413" s="10" t="s">
        <v>432</v>
      </c>
      <c r="F413" s="92">
        <v>10</v>
      </c>
      <c r="G413" s="109" t="s">
        <v>451</v>
      </c>
      <c r="H413" s="109" t="s">
        <v>459</v>
      </c>
      <c r="I413" s="90"/>
      <c r="J413" s="90"/>
      <c r="K413" s="90"/>
      <c r="L413" s="90"/>
      <c r="M413" s="90"/>
      <c r="N413" s="90"/>
      <c r="O413" s="90"/>
      <c r="P413" s="109" t="s">
        <v>427</v>
      </c>
      <c r="Q413" s="126" t="s">
        <v>552</v>
      </c>
      <c r="R413" s="90"/>
      <c r="S413" s="109" t="s">
        <v>471</v>
      </c>
      <c r="T413" s="130"/>
      <c r="U413" s="130"/>
      <c r="V413" s="109" t="s">
        <v>477</v>
      </c>
      <c r="W413" s="90"/>
      <c r="X413" s="130"/>
      <c r="Y413" s="129" t="str">
        <f t="shared" si="110"/>
        <v>TB_CMMN_CD_DETAIL</v>
      </c>
      <c r="Z413" s="50" t="str">
        <f t="shared" si="121"/>
        <v>CD_DETAIL_VAL5 VARCHAR(2000),</v>
      </c>
      <c r="AA413" s="50" t="str">
        <f t="shared" si="111"/>
        <v/>
      </c>
      <c r="AB413" s="50" t="str">
        <f t="shared" si="112"/>
        <v/>
      </c>
      <c r="AC413" s="50" t="str">
        <f t="shared" si="120"/>
        <v/>
      </c>
      <c r="AD413" s="50" t="str">
        <f t="shared" si="123"/>
        <v>ALTER TABLE TB_CMMN_CD_DETAIL ALTER COLUMN CD_DETAIL_VAL5 TYPE VARCHAR(2000);</v>
      </c>
      <c r="AE413" s="50" t="str">
        <f t="shared" si="122"/>
        <v>ALTER TABLE TB_CMMN_CD_DETAIL ADD COLUMN CD_DETAIL_VAL5 VARCHAR(2000);</v>
      </c>
      <c r="AF413" s="50" t="str">
        <f t="shared" si="124"/>
        <v>ALTER TABLE TB_CMMN_CD_DETAIL DROP COLUMN CD_DETAIL_VAL5;</v>
      </c>
      <c r="AG413" s="50" t="str">
        <f t="shared" si="125"/>
        <v/>
      </c>
      <c r="AH413" s="50" t="str">
        <f t="shared" si="113"/>
        <v>COMMENT ON COLUMN TB_CMMN_CD_DETAIL.CD_DETAIL_VAL5 IS '코드 상세값 5' ;</v>
      </c>
    </row>
    <row r="414" spans="1:34" ht="20" customHeight="1">
      <c r="A414" s="55">
        <v>410</v>
      </c>
      <c r="B414" s="26" t="s">
        <v>7</v>
      </c>
      <c r="C414" s="26" t="s">
        <v>19</v>
      </c>
      <c r="D414" s="10" t="s">
        <v>431</v>
      </c>
      <c r="E414" s="10" t="s">
        <v>432</v>
      </c>
      <c r="F414" s="92">
        <v>11</v>
      </c>
      <c r="G414" s="109" t="s">
        <v>444</v>
      </c>
      <c r="H414" s="109" t="s">
        <v>438</v>
      </c>
      <c r="I414" s="90"/>
      <c r="J414" s="90"/>
      <c r="K414" s="90"/>
      <c r="L414" s="90"/>
      <c r="M414" s="90"/>
      <c r="N414" s="90"/>
      <c r="O414" s="90"/>
      <c r="P414" s="109" t="s">
        <v>171</v>
      </c>
      <c r="Q414" s="92"/>
      <c r="R414" s="90"/>
      <c r="S414" s="109" t="s">
        <v>438</v>
      </c>
      <c r="T414" s="130"/>
      <c r="U414" s="130"/>
      <c r="V414" s="109"/>
      <c r="W414" s="90"/>
      <c r="X414" s="130"/>
      <c r="Y414" s="129" t="str">
        <f t="shared" ref="Y414" si="126">D414</f>
        <v>TB_CMMN_CD_DETAIL</v>
      </c>
      <c r="Z414" s="50" t="str">
        <f t="shared" si="121"/>
        <v>REMARK TEXT,</v>
      </c>
      <c r="AA414" s="50" t="str">
        <f t="shared" si="111"/>
        <v/>
      </c>
      <c r="AB414" s="50" t="str">
        <f t="shared" si="112"/>
        <v/>
      </c>
      <c r="AC414" s="50" t="str">
        <f t="shared" si="120"/>
        <v/>
      </c>
      <c r="AD414" s="50" t="str">
        <f t="shared" si="123"/>
        <v>ALTER TABLE TB_CMMN_CD_DETAIL ALTER COLUMN REMARK TYPE TEXT;</v>
      </c>
      <c r="AE414" s="50" t="str">
        <f t="shared" si="122"/>
        <v>ALTER TABLE TB_CMMN_CD_DETAIL ADD COLUMN REMARK TEXT;</v>
      </c>
      <c r="AF414" s="50" t="str">
        <f t="shared" si="124"/>
        <v>ALTER TABLE TB_CMMN_CD_DETAIL DROP COLUMN REMARK;</v>
      </c>
      <c r="AG414" s="50" t="str">
        <f t="shared" si="125"/>
        <v/>
      </c>
      <c r="AH414" s="50" t="str">
        <f t="shared" ref="AH414" si="127">"COMMENT ON COLUMN "&amp;D414&amp;"."&amp;G414&amp;" IS '"&amp;S414&amp;"' ;"</f>
        <v>COMMENT ON COLUMN TB_CMMN_CD_DETAIL.REMARK IS '비고' ;</v>
      </c>
    </row>
    <row r="415" spans="1:34" ht="20" customHeight="1">
      <c r="A415" s="55">
        <v>411</v>
      </c>
      <c r="B415" s="26" t="s">
        <v>7</v>
      </c>
      <c r="C415" s="26" t="s">
        <v>19</v>
      </c>
      <c r="D415" s="10" t="s">
        <v>431</v>
      </c>
      <c r="E415" s="10" t="s">
        <v>432</v>
      </c>
      <c r="F415" s="92">
        <v>12</v>
      </c>
      <c r="G415" s="109" t="s">
        <v>415</v>
      </c>
      <c r="H415" s="109" t="s">
        <v>436</v>
      </c>
      <c r="I415" s="90" t="s">
        <v>425</v>
      </c>
      <c r="J415" s="90"/>
      <c r="K415" s="90"/>
      <c r="L415" s="90"/>
      <c r="M415" s="90"/>
      <c r="N415" s="90"/>
      <c r="O415" s="90"/>
      <c r="P415" s="51" t="s">
        <v>106</v>
      </c>
      <c r="Q415" s="126" t="s">
        <v>544</v>
      </c>
      <c r="R415" s="90"/>
      <c r="S415" s="109" t="s">
        <v>472</v>
      </c>
      <c r="T415" s="130"/>
      <c r="U415" s="130"/>
      <c r="V415" s="109"/>
      <c r="W415" s="90"/>
      <c r="X415" s="130"/>
      <c r="Y415" s="129" t="str">
        <f t="shared" si="110"/>
        <v>TB_CMMN_CD_DETAIL</v>
      </c>
      <c r="Z415" s="50" t="str">
        <f t="shared" si="121"/>
        <v>USE_YN VARCHAR(1) NOT NULL,</v>
      </c>
      <c r="AA415" s="50" t="str">
        <f t="shared" si="111"/>
        <v/>
      </c>
      <c r="AB415" s="50" t="str">
        <f t="shared" si="112"/>
        <v/>
      </c>
      <c r="AC415" s="50" t="str">
        <f t="shared" si="120"/>
        <v/>
      </c>
      <c r="AD415" s="50" t="str">
        <f t="shared" si="123"/>
        <v>ALTER TABLE TB_CMMN_CD_DETAIL ALTER COLUMN USE_YN TYPE VARCHAR(1);</v>
      </c>
      <c r="AE415" s="50" t="str">
        <f t="shared" si="122"/>
        <v>ALTER TABLE TB_CMMN_CD_DETAIL ADD COLUMN USE_YN VARCHAR(1) NOT NULL;</v>
      </c>
      <c r="AF415" s="50" t="str">
        <f t="shared" si="124"/>
        <v>ALTER TABLE TB_CMMN_CD_DETAIL DROP COLUMN USE_YN;</v>
      </c>
      <c r="AG415" s="50" t="str">
        <f t="shared" si="125"/>
        <v/>
      </c>
      <c r="AH415" s="50" t="str">
        <f t="shared" si="113"/>
        <v>COMMENT ON COLUMN TB_CMMN_CD_DETAIL.USE_YN IS '사용 여부' ;</v>
      </c>
    </row>
    <row r="416" spans="1:34" ht="20" customHeight="1">
      <c r="A416" s="55">
        <v>412</v>
      </c>
      <c r="B416" s="26" t="s">
        <v>7</v>
      </c>
      <c r="C416" s="26" t="s">
        <v>19</v>
      </c>
      <c r="D416" s="10" t="s">
        <v>431</v>
      </c>
      <c r="E416" s="10" t="s">
        <v>432</v>
      </c>
      <c r="F416" s="92">
        <v>13</v>
      </c>
      <c r="G416" s="102" t="s">
        <v>107</v>
      </c>
      <c r="H416" s="51" t="s">
        <v>76</v>
      </c>
      <c r="I416" s="75" t="s">
        <v>72</v>
      </c>
      <c r="J416" s="67"/>
      <c r="K416" s="67"/>
      <c r="L416" s="82"/>
      <c r="M416" s="82"/>
      <c r="N416" s="82"/>
      <c r="O416" s="82"/>
      <c r="P416" s="105" t="s">
        <v>543</v>
      </c>
      <c r="Q416" s="126" t="s">
        <v>548</v>
      </c>
      <c r="R416" s="85"/>
      <c r="S416" s="112" t="s">
        <v>219</v>
      </c>
      <c r="T416" s="130"/>
      <c r="U416" s="130"/>
      <c r="V416" s="123" t="s">
        <v>518</v>
      </c>
      <c r="W416" s="90"/>
      <c r="X416" s="130"/>
      <c r="Y416" s="129" t="str">
        <f t="shared" si="110"/>
        <v>TB_CMMN_CD_DETAIL</v>
      </c>
      <c r="Z416" s="50" t="str">
        <f t="shared" si="121"/>
        <v>REGISTER_ID VARCHAR(50) NOT NULL,</v>
      </c>
      <c r="AA416" s="50" t="str">
        <f t="shared" si="111"/>
        <v/>
      </c>
      <c r="AB416" s="50" t="str">
        <f t="shared" si="112"/>
        <v/>
      </c>
      <c r="AC416" s="50" t="str">
        <f t="shared" si="120"/>
        <v/>
      </c>
      <c r="AD416" s="50" t="str">
        <f t="shared" si="123"/>
        <v>ALTER TABLE TB_CMMN_CD_DETAIL ALTER COLUMN REGISTER_ID TYPE VARCHAR(50);</v>
      </c>
      <c r="AE416" s="50" t="str">
        <f t="shared" si="122"/>
        <v>ALTER TABLE TB_CMMN_CD_DETAIL ADD COLUMN REGISTER_ID VARCHAR(50) NOT NULL;</v>
      </c>
      <c r="AF416" s="50" t="str">
        <f t="shared" si="124"/>
        <v>ALTER TABLE TB_CMMN_CD_DETAIL DROP COLUMN REGISTER_ID;</v>
      </c>
      <c r="AG416" s="50" t="str">
        <f t="shared" si="125"/>
        <v/>
      </c>
      <c r="AH416" s="50" t="str">
        <f t="shared" si="113"/>
        <v>COMMENT ON COLUMN TB_CMMN_CD_DETAIL.REGISTER_ID IS '등록자 ID' ;</v>
      </c>
    </row>
    <row r="417" spans="1:34" ht="20" customHeight="1">
      <c r="A417" s="55">
        <v>413</v>
      </c>
      <c r="B417" s="26" t="s">
        <v>7</v>
      </c>
      <c r="C417" s="26" t="s">
        <v>19</v>
      </c>
      <c r="D417" s="10" t="s">
        <v>431</v>
      </c>
      <c r="E417" s="10" t="s">
        <v>432</v>
      </c>
      <c r="F417" s="92">
        <v>14</v>
      </c>
      <c r="G417" s="102" t="s">
        <v>91</v>
      </c>
      <c r="H417" s="51" t="s">
        <v>77</v>
      </c>
      <c r="I417" s="75" t="s">
        <v>72</v>
      </c>
      <c r="J417" s="52"/>
      <c r="K417" s="52"/>
      <c r="L417" s="52"/>
      <c r="M417" s="52"/>
      <c r="N417" s="52"/>
      <c r="O417" s="52"/>
      <c r="P417" s="56" t="s">
        <v>106</v>
      </c>
      <c r="Q417" s="127" t="s">
        <v>549</v>
      </c>
      <c r="R417" s="85"/>
      <c r="S417" s="112" t="s">
        <v>218</v>
      </c>
      <c r="T417" s="130"/>
      <c r="U417" s="130"/>
      <c r="V417" s="109"/>
      <c r="W417" s="90"/>
      <c r="X417" s="130"/>
      <c r="Y417" s="129" t="str">
        <f t="shared" si="110"/>
        <v>TB_CMMN_CD_DETAIL</v>
      </c>
      <c r="Z417" s="50" t="str">
        <f t="shared" si="121"/>
        <v>REGISTER_IP VARCHAR(100) NOT NULL,</v>
      </c>
      <c r="AA417" s="50" t="str">
        <f t="shared" ref="AA417:AA443" si="128">IF(ISBLANK(K417),"","ALTER TABLE " &amp; D417 &amp; " ADD CONSTRAINT " &amp; D417 &amp; "_FKEY" &amp; K417 &amp;  " FOREIGN KEY(" &amp;G417 &amp; ") REFERENCES " &amp; L417 &amp; "(" &amp; M417 &amp; ") "&amp;N417&amp;" "&amp;O417&amp;";")</f>
        <v/>
      </c>
      <c r="AB417" s="50" t="str">
        <f t="shared" ref="AB417:AB443" si="129">IF(ISBLANK(T417),"","CREATE SEQUENCE "&amp;T417&amp;" START 100000;")</f>
        <v/>
      </c>
      <c r="AC417" s="50" t="str">
        <f t="shared" si="120"/>
        <v/>
      </c>
      <c r="AD417" s="50" t="str">
        <f t="shared" si="123"/>
        <v>ALTER TABLE TB_CMMN_CD_DETAIL ALTER COLUMN REGISTER_IP TYPE VARCHAR(100);</v>
      </c>
      <c r="AE417" s="50" t="str">
        <f t="shared" si="122"/>
        <v>ALTER TABLE TB_CMMN_CD_DETAIL ADD COLUMN REGISTER_IP VARCHAR(100) NOT NULL;</v>
      </c>
      <c r="AF417" s="50" t="str">
        <f t="shared" si="124"/>
        <v>ALTER TABLE TB_CMMN_CD_DETAIL DROP COLUMN REGISTER_IP;</v>
      </c>
      <c r="AG417" s="50" t="str">
        <f t="shared" si="125"/>
        <v/>
      </c>
      <c r="AH417" s="50" t="str">
        <f t="shared" si="113"/>
        <v>COMMENT ON COLUMN TB_CMMN_CD_DETAIL.REGISTER_IP IS '등록자 IP' ;</v>
      </c>
    </row>
    <row r="418" spans="1:34" ht="20" customHeight="1">
      <c r="A418" s="55">
        <v>414</v>
      </c>
      <c r="B418" s="26" t="s">
        <v>7</v>
      </c>
      <c r="C418" s="26" t="s">
        <v>19</v>
      </c>
      <c r="D418" s="10" t="s">
        <v>431</v>
      </c>
      <c r="E418" s="10" t="s">
        <v>432</v>
      </c>
      <c r="F418" s="92">
        <v>15</v>
      </c>
      <c r="G418" s="102" t="s">
        <v>92</v>
      </c>
      <c r="H418" s="101" t="s">
        <v>78</v>
      </c>
      <c r="I418" s="75" t="s">
        <v>72</v>
      </c>
      <c r="J418" s="52"/>
      <c r="K418" s="52"/>
      <c r="L418" s="52"/>
      <c r="M418" s="52"/>
      <c r="N418" s="52"/>
      <c r="O418" s="52"/>
      <c r="P418" s="51" t="s">
        <v>732</v>
      </c>
      <c r="Q418" s="127"/>
      <c r="R418" s="85"/>
      <c r="S418" s="112" t="s">
        <v>217</v>
      </c>
      <c r="T418" s="130"/>
      <c r="U418" s="130"/>
      <c r="V418" s="109"/>
      <c r="W418" s="90"/>
      <c r="X418" s="130"/>
      <c r="Y418" s="129" t="str">
        <f t="shared" si="110"/>
        <v>TB_CMMN_CD_DETAIL</v>
      </c>
      <c r="Z418" s="50" t="str">
        <f t="shared" si="121"/>
        <v>REG_DT TIMESTAMP NOT NULL,</v>
      </c>
      <c r="AA418" s="50" t="str">
        <f t="shared" si="128"/>
        <v/>
      </c>
      <c r="AB418" s="50" t="str">
        <f t="shared" si="129"/>
        <v/>
      </c>
      <c r="AC418" s="50" t="str">
        <f t="shared" si="120"/>
        <v/>
      </c>
      <c r="AD418" s="50" t="str">
        <f t="shared" si="123"/>
        <v>ALTER TABLE TB_CMMN_CD_DETAIL ALTER COLUMN REG_DT TYPE TIMESTAMP;</v>
      </c>
      <c r="AE418" s="50" t="str">
        <f t="shared" si="122"/>
        <v>ALTER TABLE TB_CMMN_CD_DETAIL ADD COLUMN REG_DT TIMESTAMP NOT NULL;</v>
      </c>
      <c r="AF418" s="50" t="str">
        <f t="shared" si="124"/>
        <v>ALTER TABLE TB_CMMN_CD_DETAIL DROP COLUMN REG_DT;</v>
      </c>
      <c r="AG418" s="50" t="str">
        <f t="shared" si="125"/>
        <v/>
      </c>
      <c r="AH418" s="50" t="str">
        <f t="shared" si="113"/>
        <v>COMMENT ON COLUMN TB_CMMN_CD_DETAIL.REG_DT IS '등록 일시' ;</v>
      </c>
    </row>
    <row r="419" spans="1:34" ht="20" customHeight="1">
      <c r="A419" s="55">
        <v>415</v>
      </c>
      <c r="B419" s="26" t="s">
        <v>7</v>
      </c>
      <c r="C419" s="26" t="s">
        <v>19</v>
      </c>
      <c r="D419" s="10" t="s">
        <v>431</v>
      </c>
      <c r="E419" s="10" t="s">
        <v>432</v>
      </c>
      <c r="F419" s="92">
        <v>16</v>
      </c>
      <c r="G419" s="102" t="s">
        <v>93</v>
      </c>
      <c r="H419" s="101" t="s">
        <v>80</v>
      </c>
      <c r="I419" s="52"/>
      <c r="J419" s="52"/>
      <c r="K419" s="52"/>
      <c r="L419" s="84"/>
      <c r="M419" s="84"/>
      <c r="N419" s="84"/>
      <c r="O419" s="84"/>
      <c r="P419" s="105" t="s">
        <v>543</v>
      </c>
      <c r="Q419" s="126" t="s">
        <v>548</v>
      </c>
      <c r="R419" s="85"/>
      <c r="S419" s="112" t="s">
        <v>216</v>
      </c>
      <c r="T419" s="130"/>
      <c r="U419" s="130"/>
      <c r="V419" s="123" t="s">
        <v>518</v>
      </c>
      <c r="W419" s="90"/>
      <c r="X419" s="130"/>
      <c r="Y419" s="129" t="str">
        <f t="shared" si="110"/>
        <v>TB_CMMN_CD_DETAIL</v>
      </c>
      <c r="Z419" s="50" t="str">
        <f t="shared" si="121"/>
        <v>UPDUSR_ID VARCHAR(50),</v>
      </c>
      <c r="AA419" s="50" t="str">
        <f t="shared" si="128"/>
        <v/>
      </c>
      <c r="AB419" s="50" t="str">
        <f t="shared" si="129"/>
        <v/>
      </c>
      <c r="AC419" s="50" t="str">
        <f t="shared" si="120"/>
        <v/>
      </c>
      <c r="AD419" s="50" t="str">
        <f t="shared" si="123"/>
        <v>ALTER TABLE TB_CMMN_CD_DETAIL ALTER COLUMN UPDUSR_ID TYPE VARCHAR(50);</v>
      </c>
      <c r="AE419" s="50" t="str">
        <f t="shared" si="122"/>
        <v>ALTER TABLE TB_CMMN_CD_DETAIL ADD COLUMN UPDUSR_ID VARCHAR(50);</v>
      </c>
      <c r="AF419" s="50" t="str">
        <f t="shared" si="124"/>
        <v>ALTER TABLE TB_CMMN_CD_DETAIL DROP COLUMN UPDUSR_ID;</v>
      </c>
      <c r="AG419" s="50" t="str">
        <f t="shared" si="125"/>
        <v/>
      </c>
      <c r="AH419" s="50" t="str">
        <f t="shared" si="113"/>
        <v>COMMENT ON COLUMN TB_CMMN_CD_DETAIL.UPDUSR_ID IS '수정자 ID' ;</v>
      </c>
    </row>
    <row r="420" spans="1:34" ht="20" customHeight="1">
      <c r="A420" s="55">
        <v>416</v>
      </c>
      <c r="B420" s="26" t="s">
        <v>7</v>
      </c>
      <c r="C420" s="26" t="s">
        <v>19</v>
      </c>
      <c r="D420" s="10" t="s">
        <v>431</v>
      </c>
      <c r="E420" s="10" t="s">
        <v>432</v>
      </c>
      <c r="F420" s="92">
        <v>17</v>
      </c>
      <c r="G420" s="102" t="s">
        <v>94</v>
      </c>
      <c r="H420" s="101" t="s">
        <v>79</v>
      </c>
      <c r="I420" s="52"/>
      <c r="J420" s="52"/>
      <c r="K420" s="52"/>
      <c r="L420" s="52"/>
      <c r="M420" s="52"/>
      <c r="N420" s="52"/>
      <c r="O420" s="52"/>
      <c r="P420" s="56" t="s">
        <v>106</v>
      </c>
      <c r="Q420" s="127" t="s">
        <v>549</v>
      </c>
      <c r="R420" s="85"/>
      <c r="S420" s="112" t="s">
        <v>215</v>
      </c>
      <c r="T420" s="130"/>
      <c r="U420" s="130"/>
      <c r="V420" s="109"/>
      <c r="W420" s="90"/>
      <c r="X420" s="130"/>
      <c r="Y420" s="129" t="str">
        <f t="shared" si="110"/>
        <v>TB_CMMN_CD_DETAIL</v>
      </c>
      <c r="Z420" s="50" t="str">
        <f t="shared" si="121"/>
        <v>UPDUSR_IP VARCHAR(100),</v>
      </c>
      <c r="AA420" s="50" t="str">
        <f t="shared" si="128"/>
        <v/>
      </c>
      <c r="AB420" s="50" t="str">
        <f t="shared" si="129"/>
        <v/>
      </c>
      <c r="AC420" s="50" t="str">
        <f t="shared" si="120"/>
        <v/>
      </c>
      <c r="AD420" s="50" t="str">
        <f t="shared" si="123"/>
        <v>ALTER TABLE TB_CMMN_CD_DETAIL ALTER COLUMN UPDUSR_IP TYPE VARCHAR(100);</v>
      </c>
      <c r="AE420" s="50" t="str">
        <f t="shared" si="122"/>
        <v>ALTER TABLE TB_CMMN_CD_DETAIL ADD COLUMN UPDUSR_IP VARCHAR(100);</v>
      </c>
      <c r="AF420" s="50" t="str">
        <f t="shared" si="124"/>
        <v>ALTER TABLE TB_CMMN_CD_DETAIL DROP COLUMN UPDUSR_IP;</v>
      </c>
      <c r="AG420" s="50" t="str">
        <f t="shared" si="125"/>
        <v/>
      </c>
      <c r="AH420" s="50" t="str">
        <f t="shared" si="113"/>
        <v>COMMENT ON COLUMN TB_CMMN_CD_DETAIL.UPDUSR_IP IS '수정자 IP' ;</v>
      </c>
    </row>
    <row r="421" spans="1:34" ht="20" customHeight="1">
      <c r="A421" s="55">
        <v>417</v>
      </c>
      <c r="B421" s="26" t="s">
        <v>7</v>
      </c>
      <c r="C421" s="26" t="s">
        <v>19</v>
      </c>
      <c r="D421" s="10" t="s">
        <v>431</v>
      </c>
      <c r="E421" s="10" t="s">
        <v>432</v>
      </c>
      <c r="F421" s="92">
        <v>18</v>
      </c>
      <c r="G421" s="103" t="s">
        <v>95</v>
      </c>
      <c r="H421" s="102" t="s">
        <v>81</v>
      </c>
      <c r="I421" s="61"/>
      <c r="J421" s="61"/>
      <c r="K421" s="61"/>
      <c r="L421" s="61"/>
      <c r="M421" s="61"/>
      <c r="N421" s="61"/>
      <c r="O421" s="61"/>
      <c r="P421" s="51" t="s">
        <v>732</v>
      </c>
      <c r="Q421" s="127"/>
      <c r="R421" s="82"/>
      <c r="S421" s="112" t="s">
        <v>214</v>
      </c>
      <c r="T421" s="130"/>
      <c r="U421" s="130"/>
      <c r="V421" s="109"/>
      <c r="W421" s="90"/>
      <c r="X421" s="130"/>
      <c r="Y421" s="129" t="str">
        <f t="shared" si="110"/>
        <v>TB_CMMN_CD_DETAIL</v>
      </c>
      <c r="Z421" s="50" t="str">
        <f t="shared" si="121"/>
        <v>UPDT_DT TIMESTAMP,</v>
      </c>
      <c r="AA421" s="50" t="str">
        <f t="shared" si="128"/>
        <v/>
      </c>
      <c r="AB421" s="50" t="str">
        <f t="shared" si="129"/>
        <v/>
      </c>
      <c r="AC421" s="50" t="str">
        <f t="shared" si="120"/>
        <v/>
      </c>
      <c r="AD421" s="50" t="str">
        <f t="shared" si="123"/>
        <v>ALTER TABLE TB_CMMN_CD_DETAIL ALTER COLUMN UPDT_DT TYPE TIMESTAMP;</v>
      </c>
      <c r="AE421" s="50" t="str">
        <f t="shared" si="122"/>
        <v>ALTER TABLE TB_CMMN_CD_DETAIL ADD COLUMN UPDT_DT TIMESTAMP;</v>
      </c>
      <c r="AF421" s="50" t="str">
        <f t="shared" si="124"/>
        <v>ALTER TABLE TB_CMMN_CD_DETAIL DROP COLUMN UPDT_DT;</v>
      </c>
      <c r="AG421" s="50" t="str">
        <f t="shared" si="125"/>
        <v/>
      </c>
      <c r="AH421" s="50" t="str">
        <f t="shared" si="113"/>
        <v>COMMENT ON COLUMN TB_CMMN_CD_DETAIL.UPDT_DT IS '수정 일시' ;</v>
      </c>
    </row>
    <row r="422" spans="1:34" ht="20" customHeight="1">
      <c r="A422" s="55">
        <v>418</v>
      </c>
      <c r="B422" s="26" t="s">
        <v>7</v>
      </c>
      <c r="C422" s="26" t="s">
        <v>19</v>
      </c>
      <c r="D422" s="10" t="s">
        <v>431</v>
      </c>
      <c r="E422" s="10" t="s">
        <v>432</v>
      </c>
      <c r="F422" s="92">
        <v>19</v>
      </c>
      <c r="G422" s="102" t="s">
        <v>96</v>
      </c>
      <c r="H422" s="102" t="s">
        <v>82</v>
      </c>
      <c r="I422" s="75" t="s">
        <v>72</v>
      </c>
      <c r="J422" s="61"/>
      <c r="K422" s="61"/>
      <c r="L422" s="61"/>
      <c r="M422" s="61"/>
      <c r="N422" s="61"/>
      <c r="O422" s="61"/>
      <c r="P422" s="51" t="s">
        <v>106</v>
      </c>
      <c r="Q422" s="127" t="s">
        <v>544</v>
      </c>
      <c r="R422" s="87" t="s">
        <v>592</v>
      </c>
      <c r="S422" s="112" t="s">
        <v>213</v>
      </c>
      <c r="T422" s="130"/>
      <c r="U422" s="130"/>
      <c r="V422" s="109"/>
      <c r="W422" s="90"/>
      <c r="X422" s="130"/>
      <c r="Y422" s="129" t="str">
        <f t="shared" si="110"/>
        <v>TB_CMMN_CD_DETAIL</v>
      </c>
      <c r="Z422" s="50" t="str">
        <f t="shared" si="121"/>
        <v>DEL_YN VARCHAR(1) NOT NULL,</v>
      </c>
      <c r="AA422" s="50" t="str">
        <f t="shared" si="128"/>
        <v/>
      </c>
      <c r="AB422" s="50" t="str">
        <f t="shared" si="129"/>
        <v/>
      </c>
      <c r="AC422" s="50" t="str">
        <f t="shared" si="120"/>
        <v/>
      </c>
      <c r="AD422" s="50" t="str">
        <f t="shared" si="123"/>
        <v>ALTER TABLE TB_CMMN_CD_DETAIL ALTER COLUMN DEL_YN TYPE VARCHAR(1);</v>
      </c>
      <c r="AE422" s="50" t="str">
        <f t="shared" si="122"/>
        <v>ALTER TABLE TB_CMMN_CD_DETAIL ADD COLUMN DEL_YN VARCHAR(1) NOT NULL DEFAULT ''N'';</v>
      </c>
      <c r="AF422" s="50" t="str">
        <f t="shared" si="124"/>
        <v>ALTER TABLE TB_CMMN_CD_DETAIL DROP COLUMN DEL_YN;</v>
      </c>
      <c r="AG422" s="50" t="str">
        <f t="shared" si="125"/>
        <v>ALTER TABLE TB_CMMN_CD_DETAIL ALTER COLUMN DEL_YN SET DEFAULT 'N';</v>
      </c>
      <c r="AH422" s="50" t="str">
        <f t="shared" si="113"/>
        <v>COMMENT ON COLUMN TB_CMMN_CD_DETAIL.DEL_YN IS '삭제 여부' ;</v>
      </c>
    </row>
    <row r="423" spans="1:34" ht="20" customHeight="1">
      <c r="A423" s="55">
        <v>419</v>
      </c>
      <c r="B423" s="26" t="s">
        <v>7</v>
      </c>
      <c r="C423" s="26" t="s">
        <v>19</v>
      </c>
      <c r="D423" s="10" t="s">
        <v>539</v>
      </c>
      <c r="E423" s="10" t="s">
        <v>540</v>
      </c>
      <c r="F423" s="92">
        <v>1</v>
      </c>
      <c r="G423" s="109" t="s">
        <v>488</v>
      </c>
      <c r="H423" s="109" t="s">
        <v>485</v>
      </c>
      <c r="I423" s="90" t="s">
        <v>425</v>
      </c>
      <c r="J423" s="90">
        <v>1</v>
      </c>
      <c r="K423" s="90"/>
      <c r="L423" s="90"/>
      <c r="M423" s="90"/>
      <c r="N423" s="90"/>
      <c r="O423" s="90"/>
      <c r="P423" s="109" t="s">
        <v>229</v>
      </c>
      <c r="Q423" s="92"/>
      <c r="R423" s="90"/>
      <c r="S423" s="109" t="s">
        <v>526</v>
      </c>
      <c r="T423" s="132" t="str">
        <f>"SEQ_"&amp;D423&amp;"_SN"</f>
        <v>SEQ_TB_BANNER_SN</v>
      </c>
      <c r="U423" s="132"/>
      <c r="V423" s="109"/>
      <c r="W423" s="90"/>
      <c r="X423" s="130"/>
      <c r="Y423" s="129" t="str">
        <f t="shared" si="110"/>
        <v>TB_BANNER</v>
      </c>
      <c r="Z423" s="50" t="str">
        <f t="shared" si="121"/>
        <v>BANNER_SN INTEGER PRIMARY KEY,</v>
      </c>
      <c r="AA423" s="50" t="str">
        <f t="shared" si="128"/>
        <v/>
      </c>
      <c r="AB423" s="50" t="str">
        <f t="shared" si="129"/>
        <v>CREATE SEQUENCE SEQ_TB_BANNER_SN START 100000;</v>
      </c>
      <c r="AC423" s="50" t="str">
        <f t="shared" si="120"/>
        <v>ALTER TABLE TB_BANNER ALTER COLUMN BANNER_SN SET DEFAULT NEXTVAL('SEQ_TB_BANNER_SN');</v>
      </c>
      <c r="AD423" s="50" t="str">
        <f t="shared" si="123"/>
        <v>ALTER TABLE TB_BANNER ALTER COLUMN BANNER_SN TYPE INTEGER;</v>
      </c>
      <c r="AE423" s="50" t="str">
        <f t="shared" si="122"/>
        <v>ALTER TABLE TB_BANNER ADD COLUMN BANNER_SN INTEGER NOT NULL;</v>
      </c>
      <c r="AF423" s="50" t="str">
        <f t="shared" si="124"/>
        <v>ALTER TABLE TB_BANNER DROP COLUMN BANNER_SN;</v>
      </c>
      <c r="AG423" s="50" t="str">
        <f t="shared" si="125"/>
        <v/>
      </c>
      <c r="AH423" s="50" t="str">
        <f t="shared" si="113"/>
        <v>COMMENT ON COLUMN TB_BANNER.BANNER_SN IS '배너 일련번호' ;</v>
      </c>
    </row>
    <row r="424" spans="1:34" ht="20" customHeight="1">
      <c r="A424" s="55">
        <v>420</v>
      </c>
      <c r="B424" s="26" t="s">
        <v>7</v>
      </c>
      <c r="C424" s="26" t="s">
        <v>19</v>
      </c>
      <c r="D424" s="10" t="s">
        <v>539</v>
      </c>
      <c r="E424" s="10" t="s">
        <v>540</v>
      </c>
      <c r="F424" s="92">
        <v>2</v>
      </c>
      <c r="G424" s="109" t="s">
        <v>489</v>
      </c>
      <c r="H424" s="109" t="s">
        <v>486</v>
      </c>
      <c r="I424" s="90" t="s">
        <v>425</v>
      </c>
      <c r="J424" s="90"/>
      <c r="K424" s="90"/>
      <c r="L424" s="90"/>
      <c r="M424" s="90"/>
      <c r="N424" s="90"/>
      <c r="O424" s="90"/>
      <c r="P424" s="109" t="s">
        <v>427</v>
      </c>
      <c r="Q424" s="126" t="s">
        <v>548</v>
      </c>
      <c r="R424" s="90"/>
      <c r="S424" s="109" t="s">
        <v>527</v>
      </c>
      <c r="T424" s="130"/>
      <c r="U424" s="130"/>
      <c r="V424" s="109" t="s">
        <v>529</v>
      </c>
      <c r="W424" s="90"/>
      <c r="X424" s="130"/>
      <c r="Y424" s="129" t="str">
        <f t="shared" ref="Y424:Y443" si="130">D424</f>
        <v>TB_BANNER</v>
      </c>
      <c r="Z424" s="50" t="str">
        <f t="shared" si="121"/>
        <v>BANNER_CL_CD VARCHAR(50) NOT NULL,</v>
      </c>
      <c r="AA424" s="50" t="str">
        <f t="shared" si="128"/>
        <v/>
      </c>
      <c r="AB424" s="50" t="str">
        <f t="shared" si="129"/>
        <v/>
      </c>
      <c r="AC424" s="50" t="str">
        <f t="shared" si="120"/>
        <v/>
      </c>
      <c r="AD424" s="50" t="str">
        <f t="shared" si="123"/>
        <v>ALTER TABLE TB_BANNER ALTER COLUMN BANNER_CL_CD TYPE VARCHAR(50);</v>
      </c>
      <c r="AE424" s="50" t="str">
        <f t="shared" si="122"/>
        <v>ALTER TABLE TB_BANNER ADD COLUMN BANNER_CL_CD VARCHAR(50) NOT NULL;</v>
      </c>
      <c r="AF424" s="50" t="str">
        <f t="shared" si="124"/>
        <v>ALTER TABLE TB_BANNER DROP COLUMN BANNER_CL_CD;</v>
      </c>
      <c r="AG424" s="50" t="str">
        <f t="shared" si="125"/>
        <v/>
      </c>
      <c r="AH424" s="50" t="str">
        <f t="shared" ref="AH424:AH443" si="131">"COMMENT ON COLUMN "&amp;D424&amp;"."&amp;G424&amp;" IS '"&amp;S424&amp;"' ;"</f>
        <v>COMMENT ON COLUMN TB_BANNER.BANNER_CL_CD IS '배너 분류 코드' ;</v>
      </c>
    </row>
    <row r="425" spans="1:34" ht="20" customHeight="1">
      <c r="A425" s="55">
        <v>421</v>
      </c>
      <c r="B425" s="26" t="s">
        <v>7</v>
      </c>
      <c r="C425" s="26" t="s">
        <v>19</v>
      </c>
      <c r="D425" s="10" t="s">
        <v>539</v>
      </c>
      <c r="E425" s="10" t="s">
        <v>540</v>
      </c>
      <c r="F425" s="92">
        <v>3</v>
      </c>
      <c r="G425" s="109" t="s">
        <v>490</v>
      </c>
      <c r="H425" s="109" t="s">
        <v>491</v>
      </c>
      <c r="I425" s="90"/>
      <c r="J425" s="90"/>
      <c r="K425" s="90"/>
      <c r="L425" s="90"/>
      <c r="M425" s="90"/>
      <c r="N425" s="90"/>
      <c r="O425" s="90"/>
      <c r="P425" s="109" t="s">
        <v>427</v>
      </c>
      <c r="Q425" s="126" t="s">
        <v>548</v>
      </c>
      <c r="R425" s="90"/>
      <c r="S425" s="109" t="s">
        <v>528</v>
      </c>
      <c r="T425" s="130"/>
      <c r="U425" s="130"/>
      <c r="V425" s="109" t="s">
        <v>794</v>
      </c>
      <c r="W425" s="90"/>
      <c r="X425" s="130"/>
      <c r="Y425" s="129" t="str">
        <f t="shared" si="130"/>
        <v>TB_BANNER</v>
      </c>
      <c r="Z425" s="50" t="str">
        <f t="shared" si="121"/>
        <v>BANNER_CL_DETAIL_CD VARCHAR(50),</v>
      </c>
      <c r="AA425" s="50" t="str">
        <f t="shared" si="128"/>
        <v/>
      </c>
      <c r="AB425" s="50" t="str">
        <f t="shared" si="129"/>
        <v/>
      </c>
      <c r="AC425" s="50" t="str">
        <f t="shared" si="120"/>
        <v/>
      </c>
      <c r="AD425" s="50" t="str">
        <f t="shared" si="123"/>
        <v>ALTER TABLE TB_BANNER ALTER COLUMN BANNER_CL_DETAIL_CD TYPE VARCHAR(50);</v>
      </c>
      <c r="AE425" s="50" t="str">
        <f t="shared" si="122"/>
        <v>ALTER TABLE TB_BANNER ADD COLUMN BANNER_CL_DETAIL_CD VARCHAR(50);</v>
      </c>
      <c r="AF425" s="50" t="str">
        <f t="shared" si="124"/>
        <v>ALTER TABLE TB_BANNER DROP COLUMN BANNER_CL_DETAIL_CD;</v>
      </c>
      <c r="AG425" s="50" t="str">
        <f t="shared" si="125"/>
        <v/>
      </c>
      <c r="AH425" s="50" t="str">
        <f t="shared" si="131"/>
        <v>COMMENT ON COLUMN TB_BANNER.BANNER_CL_DETAIL_CD IS '배너 분류 상세 코드' ;</v>
      </c>
    </row>
    <row r="426" spans="1:34" ht="20" customHeight="1">
      <c r="A426" s="55">
        <v>422</v>
      </c>
      <c r="B426" s="26" t="s">
        <v>7</v>
      </c>
      <c r="C426" s="26" t="s">
        <v>19</v>
      </c>
      <c r="D426" s="10" t="s">
        <v>539</v>
      </c>
      <c r="E426" s="10" t="s">
        <v>540</v>
      </c>
      <c r="F426" s="92">
        <v>4</v>
      </c>
      <c r="G426" s="109" t="s">
        <v>783</v>
      </c>
      <c r="H426" s="109" t="s">
        <v>782</v>
      </c>
      <c r="I426" s="90" t="s">
        <v>425</v>
      </c>
      <c r="J426" s="90"/>
      <c r="K426" s="90"/>
      <c r="L426" s="90"/>
      <c r="M426" s="90"/>
      <c r="N426" s="90"/>
      <c r="O426" s="90"/>
      <c r="P426" s="109" t="s">
        <v>229</v>
      </c>
      <c r="Q426" s="47"/>
      <c r="R426" s="90"/>
      <c r="S426" s="109" t="s">
        <v>781</v>
      </c>
      <c r="T426" s="132"/>
      <c r="U426" s="132"/>
      <c r="V426" s="109"/>
      <c r="W426" s="90"/>
      <c r="X426" s="130"/>
      <c r="Y426" s="129" t="str">
        <f t="shared" si="130"/>
        <v>TB_BANNER</v>
      </c>
      <c r="Z426" s="50" t="str">
        <f t="shared" si="121"/>
        <v>BANNER_EXPSR_SEQ INTEGER NOT NULL,</v>
      </c>
      <c r="AA426" s="50" t="str">
        <f t="shared" si="128"/>
        <v/>
      </c>
      <c r="AB426" s="50" t="str">
        <f t="shared" si="129"/>
        <v/>
      </c>
      <c r="AC426" s="50" t="str">
        <f t="shared" si="120"/>
        <v/>
      </c>
      <c r="AD426" s="50" t="str">
        <f t="shared" si="123"/>
        <v>ALTER TABLE TB_BANNER ALTER COLUMN BANNER_EXPSR_SEQ TYPE INTEGER;</v>
      </c>
      <c r="AE426" s="50" t="str">
        <f t="shared" si="122"/>
        <v>ALTER TABLE TB_BANNER ADD COLUMN BANNER_EXPSR_SEQ INTEGER NOT NULL;</v>
      </c>
      <c r="AF426" s="50" t="str">
        <f t="shared" si="124"/>
        <v>ALTER TABLE TB_BANNER DROP COLUMN BANNER_EXPSR_SEQ;</v>
      </c>
      <c r="AG426" s="50" t="str">
        <f t="shared" si="125"/>
        <v/>
      </c>
      <c r="AH426" s="50" t="str">
        <f t="shared" si="131"/>
        <v>COMMENT ON COLUMN TB_BANNER.BANNER_EXPSR_SEQ IS '배너 노출 순번' ;</v>
      </c>
    </row>
    <row r="427" spans="1:34" ht="20" customHeight="1">
      <c r="A427" s="55">
        <v>423</v>
      </c>
      <c r="B427" s="26" t="s">
        <v>7</v>
      </c>
      <c r="C427" s="26" t="s">
        <v>19</v>
      </c>
      <c r="D427" s="10" t="s">
        <v>539</v>
      </c>
      <c r="E427" s="10" t="s">
        <v>540</v>
      </c>
      <c r="F427" s="92">
        <v>5</v>
      </c>
      <c r="G427" s="109" t="s">
        <v>511</v>
      </c>
      <c r="H427" s="109" t="s">
        <v>487</v>
      </c>
      <c r="I427" s="90"/>
      <c r="J427" s="90"/>
      <c r="K427" s="90"/>
      <c r="L427" s="90"/>
      <c r="M427" s="90"/>
      <c r="N427" s="90"/>
      <c r="O427" s="90"/>
      <c r="P427" s="109" t="s">
        <v>427</v>
      </c>
      <c r="Q427" s="126" t="s">
        <v>550</v>
      </c>
      <c r="R427" s="90"/>
      <c r="S427" s="109" t="s">
        <v>530</v>
      </c>
      <c r="T427" s="130"/>
      <c r="U427" s="130"/>
      <c r="V427" s="109"/>
      <c r="W427" s="90"/>
      <c r="X427" s="130"/>
      <c r="Y427" s="129" t="str">
        <f t="shared" si="130"/>
        <v>TB_BANNER</v>
      </c>
      <c r="Z427" s="50" t="str">
        <f t="shared" si="121"/>
        <v>BANNER_NM VARCHAR(255),</v>
      </c>
      <c r="AA427" s="50" t="str">
        <f t="shared" si="128"/>
        <v/>
      </c>
      <c r="AB427" s="50" t="str">
        <f t="shared" si="129"/>
        <v/>
      </c>
      <c r="AC427" s="50" t="str">
        <f t="shared" si="120"/>
        <v/>
      </c>
      <c r="AD427" s="50" t="str">
        <f t="shared" si="123"/>
        <v>ALTER TABLE TB_BANNER ALTER COLUMN BANNER_NM TYPE VARCHAR(255);</v>
      </c>
      <c r="AE427" s="50" t="str">
        <f t="shared" si="122"/>
        <v>ALTER TABLE TB_BANNER ADD COLUMN BANNER_NM VARCHAR(255);</v>
      </c>
      <c r="AF427" s="50" t="str">
        <f t="shared" si="124"/>
        <v>ALTER TABLE TB_BANNER DROP COLUMN BANNER_NM;</v>
      </c>
      <c r="AG427" s="50" t="str">
        <f t="shared" si="125"/>
        <v/>
      </c>
      <c r="AH427" s="50" t="str">
        <f t="shared" si="131"/>
        <v>COMMENT ON COLUMN TB_BANNER.BANNER_NM IS '배너 이름' ;</v>
      </c>
    </row>
    <row r="428" spans="1:34" ht="20" customHeight="1">
      <c r="A428" s="55">
        <v>424</v>
      </c>
      <c r="B428" s="26" t="s">
        <v>7</v>
      </c>
      <c r="C428" s="26" t="s">
        <v>19</v>
      </c>
      <c r="D428" s="10" t="s">
        <v>539</v>
      </c>
      <c r="E428" s="10" t="s">
        <v>540</v>
      </c>
      <c r="F428" s="92">
        <v>6</v>
      </c>
      <c r="G428" s="109" t="s">
        <v>512</v>
      </c>
      <c r="H428" s="109" t="s">
        <v>495</v>
      </c>
      <c r="I428" s="90"/>
      <c r="J428" s="90"/>
      <c r="K428" s="90"/>
      <c r="L428" s="90"/>
      <c r="M428" s="90"/>
      <c r="N428" s="90"/>
      <c r="O428" s="90"/>
      <c r="P428" s="109" t="s">
        <v>428</v>
      </c>
      <c r="Q428" s="92"/>
      <c r="R428" s="90"/>
      <c r="S428" s="109" t="s">
        <v>531</v>
      </c>
      <c r="T428" s="130"/>
      <c r="U428" s="130"/>
      <c r="V428" s="109"/>
      <c r="W428" s="90"/>
      <c r="X428" s="130"/>
      <c r="Y428" s="129" t="str">
        <f t="shared" si="130"/>
        <v>TB_BANNER</v>
      </c>
      <c r="Z428" s="50" t="str">
        <f t="shared" si="121"/>
        <v>BANNER_DC TEXT,</v>
      </c>
      <c r="AA428" s="50" t="str">
        <f t="shared" si="128"/>
        <v/>
      </c>
      <c r="AB428" s="50" t="str">
        <f t="shared" si="129"/>
        <v/>
      </c>
      <c r="AC428" s="50" t="str">
        <f t="shared" si="120"/>
        <v/>
      </c>
      <c r="AD428" s="50" t="str">
        <f t="shared" si="123"/>
        <v>ALTER TABLE TB_BANNER ALTER COLUMN BANNER_DC TYPE TEXT;</v>
      </c>
      <c r="AE428" s="50" t="str">
        <f t="shared" si="122"/>
        <v>ALTER TABLE TB_BANNER ADD COLUMN BANNER_DC TEXT;</v>
      </c>
      <c r="AF428" s="50" t="str">
        <f t="shared" si="124"/>
        <v>ALTER TABLE TB_BANNER DROP COLUMN BANNER_DC;</v>
      </c>
      <c r="AG428" s="50" t="str">
        <f t="shared" si="125"/>
        <v/>
      </c>
      <c r="AH428" s="50" t="str">
        <f t="shared" si="131"/>
        <v>COMMENT ON COLUMN TB_BANNER.BANNER_DC IS '배너 설명' ;</v>
      </c>
    </row>
    <row r="429" spans="1:34" ht="20" customHeight="1">
      <c r="A429" s="55">
        <v>425</v>
      </c>
      <c r="B429" s="26" t="s">
        <v>7</v>
      </c>
      <c r="C429" s="26" t="s">
        <v>19</v>
      </c>
      <c r="D429" s="10" t="s">
        <v>539</v>
      </c>
      <c r="E429" s="10" t="s">
        <v>540</v>
      </c>
      <c r="F429" s="92">
        <v>7</v>
      </c>
      <c r="G429" s="109" t="s">
        <v>514</v>
      </c>
      <c r="H429" s="109" t="s">
        <v>513</v>
      </c>
      <c r="I429" s="90"/>
      <c r="J429" s="90"/>
      <c r="K429" s="90">
        <v>1</v>
      </c>
      <c r="L429" s="10" t="s">
        <v>371</v>
      </c>
      <c r="M429" s="101" t="s">
        <v>372</v>
      </c>
      <c r="N429" s="101" t="s">
        <v>562</v>
      </c>
      <c r="O429" s="101" t="s">
        <v>563</v>
      </c>
      <c r="P429" s="109" t="s">
        <v>229</v>
      </c>
      <c r="Q429" s="92"/>
      <c r="R429" s="90"/>
      <c r="S429" s="109" t="s">
        <v>532</v>
      </c>
      <c r="T429" s="130"/>
      <c r="U429" s="130"/>
      <c r="V429" s="109"/>
      <c r="W429" s="90"/>
      <c r="X429" s="130"/>
      <c r="Y429" s="129" t="str">
        <f t="shared" si="130"/>
        <v>TB_BANNER</v>
      </c>
      <c r="Z429" s="50" t="str">
        <f t="shared" si="121"/>
        <v>ATCH_FILE_SN INTEGER,</v>
      </c>
      <c r="AA429" s="50" t="str">
        <f t="shared" si="128"/>
        <v>ALTER TABLE TB_BANNER ADD CONSTRAINT TB_BANNER_FKEY1 FOREIGN KEY(ATCH_FILE_SN) REFERENCES TB_ATCH_FILE(ATCH_FILE_SN) ON UPDATE CASCADE ON DELETE SET NULL;</v>
      </c>
      <c r="AB429" s="50" t="str">
        <f t="shared" si="129"/>
        <v/>
      </c>
      <c r="AC429" s="50" t="str">
        <f t="shared" si="120"/>
        <v/>
      </c>
      <c r="AD429" s="50" t="str">
        <f t="shared" si="123"/>
        <v>ALTER TABLE TB_BANNER ALTER COLUMN ATCH_FILE_SN TYPE INTEGER;</v>
      </c>
      <c r="AE429" s="50" t="str">
        <f t="shared" si="122"/>
        <v>ALTER TABLE TB_BANNER ADD COLUMN ATCH_FILE_SN INTEGER;</v>
      </c>
      <c r="AF429" s="50" t="str">
        <f t="shared" si="124"/>
        <v>ALTER TABLE TB_BANNER DROP COLUMN ATCH_FILE_SN;</v>
      </c>
      <c r="AG429" s="50" t="str">
        <f t="shared" si="125"/>
        <v/>
      </c>
      <c r="AH429" s="50" t="str">
        <f t="shared" si="131"/>
        <v>COMMENT ON COLUMN TB_BANNER.ATCH_FILE_SN IS '첨부 파일 일련번호' ;</v>
      </c>
    </row>
    <row r="430" spans="1:34" ht="20" customHeight="1">
      <c r="A430" s="55">
        <v>426</v>
      </c>
      <c r="B430" s="26" t="s">
        <v>7</v>
      </c>
      <c r="C430" s="26" t="s">
        <v>19</v>
      </c>
      <c r="D430" s="10" t="s">
        <v>539</v>
      </c>
      <c r="E430" s="10" t="s">
        <v>540</v>
      </c>
      <c r="F430" s="92">
        <v>8</v>
      </c>
      <c r="G430" s="109" t="s">
        <v>606</v>
      </c>
      <c r="H430" s="109" t="s">
        <v>606</v>
      </c>
      <c r="I430" s="90"/>
      <c r="J430" s="90"/>
      <c r="K430" s="90"/>
      <c r="L430" s="90"/>
      <c r="M430" s="90"/>
      <c r="N430" s="90"/>
      <c r="O430" s="90"/>
      <c r="P430" s="109" t="s">
        <v>106</v>
      </c>
      <c r="Q430" s="126" t="s">
        <v>552</v>
      </c>
      <c r="R430" s="90"/>
      <c r="S430" s="109" t="s">
        <v>360</v>
      </c>
      <c r="T430" s="130"/>
      <c r="U430" s="130"/>
      <c r="V430" s="109"/>
      <c r="W430" s="90"/>
      <c r="X430" s="130"/>
      <c r="Y430" s="129" t="str">
        <f t="shared" si="130"/>
        <v>TB_BANNER</v>
      </c>
      <c r="Z430" s="50" t="str">
        <f t="shared" si="121"/>
        <v>URL VARCHAR(2000),</v>
      </c>
      <c r="AA430" s="50" t="str">
        <f t="shared" si="128"/>
        <v/>
      </c>
      <c r="AB430" s="50" t="str">
        <f t="shared" si="129"/>
        <v/>
      </c>
      <c r="AC430" s="50" t="str">
        <f t="shared" si="120"/>
        <v/>
      </c>
      <c r="AD430" s="50" t="str">
        <f t="shared" si="123"/>
        <v>ALTER TABLE TB_BANNER ALTER COLUMN URL TYPE VARCHAR(2000);</v>
      </c>
      <c r="AE430" s="50" t="str">
        <f t="shared" si="122"/>
        <v>ALTER TABLE TB_BANNER ADD COLUMN URL VARCHAR(2000);</v>
      </c>
      <c r="AF430" s="50" t="str">
        <f t="shared" si="124"/>
        <v>ALTER TABLE TB_BANNER DROP COLUMN URL;</v>
      </c>
      <c r="AG430" s="50" t="str">
        <f t="shared" si="125"/>
        <v/>
      </c>
      <c r="AH430" s="50" t="str">
        <f t="shared" si="131"/>
        <v>COMMENT ON COLUMN TB_BANNER.URL IS '클릭시 이동 URL' ;</v>
      </c>
    </row>
    <row r="431" spans="1:34" ht="20" customHeight="1">
      <c r="A431" s="55">
        <v>427</v>
      </c>
      <c r="B431" s="26" t="s">
        <v>7</v>
      </c>
      <c r="C431" s="26" t="s">
        <v>19</v>
      </c>
      <c r="D431" s="10" t="s">
        <v>539</v>
      </c>
      <c r="E431" s="10" t="s">
        <v>540</v>
      </c>
      <c r="F431" s="92">
        <v>9</v>
      </c>
      <c r="G431" s="109" t="s">
        <v>493</v>
      </c>
      <c r="H431" s="109" t="s">
        <v>492</v>
      </c>
      <c r="I431" s="90" t="s">
        <v>425</v>
      </c>
      <c r="J431" s="90"/>
      <c r="K431" s="90"/>
      <c r="L431" s="90"/>
      <c r="M431" s="90"/>
      <c r="N431" s="90"/>
      <c r="O431" s="90"/>
      <c r="P431" s="51" t="s">
        <v>106</v>
      </c>
      <c r="Q431" s="126" t="s">
        <v>544</v>
      </c>
      <c r="R431" s="90"/>
      <c r="S431" s="109" t="s">
        <v>533</v>
      </c>
      <c r="T431" s="130"/>
      <c r="U431" s="130"/>
      <c r="V431" s="109" t="s">
        <v>534</v>
      </c>
      <c r="W431" s="90"/>
      <c r="X431" s="130"/>
      <c r="Y431" s="129" t="str">
        <f t="shared" si="130"/>
        <v>TB_BANNER</v>
      </c>
      <c r="Z431" s="50" t="str">
        <f t="shared" si="121"/>
        <v>CLASS_MAPNG_YN VARCHAR(1) NOT NULL,</v>
      </c>
      <c r="AA431" s="50" t="str">
        <f t="shared" si="128"/>
        <v/>
      </c>
      <c r="AB431" s="50" t="str">
        <f t="shared" si="129"/>
        <v/>
      </c>
      <c r="AC431" s="50" t="str">
        <f t="shared" si="120"/>
        <v/>
      </c>
      <c r="AD431" s="50" t="str">
        <f t="shared" si="123"/>
        <v>ALTER TABLE TB_BANNER ALTER COLUMN CLASS_MAPNG_YN TYPE VARCHAR(1);</v>
      </c>
      <c r="AE431" s="50" t="str">
        <f t="shared" si="122"/>
        <v>ALTER TABLE TB_BANNER ADD COLUMN CLASS_MAPNG_YN VARCHAR(1) NOT NULL;</v>
      </c>
      <c r="AF431" s="50" t="str">
        <f t="shared" si="124"/>
        <v>ALTER TABLE TB_BANNER DROP COLUMN CLASS_MAPNG_YN;</v>
      </c>
      <c r="AG431" s="50" t="str">
        <f t="shared" si="125"/>
        <v/>
      </c>
      <c r="AH431" s="50" t="str">
        <f t="shared" si="131"/>
        <v>COMMENT ON COLUMN TB_BANNER.CLASS_MAPNG_YN IS '클래스 매핑 여부' ;</v>
      </c>
    </row>
    <row r="432" spans="1:34" ht="20" customHeight="1">
      <c r="A432" s="55">
        <v>428</v>
      </c>
      <c r="B432" s="26" t="s">
        <v>7</v>
      </c>
      <c r="C432" s="26" t="s">
        <v>19</v>
      </c>
      <c r="D432" s="10" t="s">
        <v>539</v>
      </c>
      <c r="E432" s="10" t="s">
        <v>540</v>
      </c>
      <c r="F432" s="92">
        <v>10</v>
      </c>
      <c r="G432" s="109" t="s">
        <v>519</v>
      </c>
      <c r="H432" s="109" t="s">
        <v>494</v>
      </c>
      <c r="I432" s="90"/>
      <c r="J432" s="90"/>
      <c r="K432" s="90">
        <v>2</v>
      </c>
      <c r="L432" s="13" t="s">
        <v>22</v>
      </c>
      <c r="M432" s="106" t="s">
        <v>162</v>
      </c>
      <c r="N432" s="100" t="s">
        <v>562</v>
      </c>
      <c r="O432" s="100" t="s">
        <v>564</v>
      </c>
      <c r="P432" s="109" t="s">
        <v>229</v>
      </c>
      <c r="Q432" s="92"/>
      <c r="R432" s="90"/>
      <c r="S432" s="109" t="s">
        <v>535</v>
      </c>
      <c r="T432" s="130"/>
      <c r="U432" s="130"/>
      <c r="V432" s="109"/>
      <c r="W432" s="90"/>
      <c r="X432" s="130"/>
      <c r="Y432" s="129" t="str">
        <f t="shared" si="130"/>
        <v>TB_BANNER</v>
      </c>
      <c r="Z432" s="50" t="str">
        <f t="shared" si="121"/>
        <v>CLASS_SN INTEGER,</v>
      </c>
      <c r="AA432" s="50" t="str">
        <f t="shared" si="128"/>
        <v>ALTER TABLE TB_BANNER ADD CONSTRAINT TB_BANNER_FKEY2 FOREIGN KEY(CLASS_SN) REFERENCES TB_CLASS(CLASS_SN) ON UPDATE CASCADE ON DELETE CASCADE;</v>
      </c>
      <c r="AB432" s="50" t="str">
        <f t="shared" si="129"/>
        <v/>
      </c>
      <c r="AC432" s="50" t="str">
        <f t="shared" si="120"/>
        <v/>
      </c>
      <c r="AD432" s="50" t="str">
        <f t="shared" si="123"/>
        <v>ALTER TABLE TB_BANNER ALTER COLUMN CLASS_SN TYPE INTEGER;</v>
      </c>
      <c r="AE432" s="50" t="str">
        <f t="shared" si="122"/>
        <v>ALTER TABLE TB_BANNER ADD COLUMN CLASS_SN INTEGER;</v>
      </c>
      <c r="AF432" s="50" t="str">
        <f t="shared" si="124"/>
        <v>ALTER TABLE TB_BANNER DROP COLUMN CLASS_SN;</v>
      </c>
      <c r="AG432" s="50" t="str">
        <f t="shared" si="125"/>
        <v/>
      </c>
      <c r="AH432" s="50" t="str">
        <f t="shared" si="131"/>
        <v>COMMENT ON COLUMN TB_BANNER.CLASS_SN IS '클래스 일련번호' ;</v>
      </c>
    </row>
    <row r="433" spans="1:34" ht="20" customHeight="1">
      <c r="A433" s="55">
        <v>429</v>
      </c>
      <c r="B433" s="26" t="s">
        <v>7</v>
      </c>
      <c r="C433" s="26" t="s">
        <v>19</v>
      </c>
      <c r="D433" s="10" t="s">
        <v>539</v>
      </c>
      <c r="E433" s="10" t="s">
        <v>540</v>
      </c>
      <c r="F433" s="92">
        <v>11</v>
      </c>
      <c r="G433" s="109" t="s">
        <v>439</v>
      </c>
      <c r="H433" s="109" t="s">
        <v>436</v>
      </c>
      <c r="I433" s="90" t="s">
        <v>425</v>
      </c>
      <c r="J433" s="90"/>
      <c r="K433" s="90"/>
      <c r="L433" s="90"/>
      <c r="M433" s="90"/>
      <c r="N433" s="90"/>
      <c r="O433" s="133"/>
      <c r="P433" s="51" t="s">
        <v>106</v>
      </c>
      <c r="Q433" s="126" t="s">
        <v>544</v>
      </c>
      <c r="R433" s="90"/>
      <c r="S433" s="109" t="s">
        <v>472</v>
      </c>
      <c r="T433" s="130"/>
      <c r="U433" s="130"/>
      <c r="V433" s="109"/>
      <c r="W433" s="90"/>
      <c r="X433" s="130"/>
      <c r="Y433" s="129" t="str">
        <f t="shared" si="130"/>
        <v>TB_BANNER</v>
      </c>
      <c r="Z433" s="50" t="str">
        <f t="shared" si="121"/>
        <v>USE_YN VARCHAR(1) NOT NULL,</v>
      </c>
      <c r="AA433" s="50" t="str">
        <f t="shared" si="128"/>
        <v/>
      </c>
      <c r="AB433" s="50" t="str">
        <f t="shared" si="129"/>
        <v/>
      </c>
      <c r="AC433" s="50" t="str">
        <f t="shared" si="120"/>
        <v/>
      </c>
      <c r="AD433" s="50" t="str">
        <f t="shared" si="123"/>
        <v>ALTER TABLE TB_BANNER ALTER COLUMN USE_YN TYPE VARCHAR(1);</v>
      </c>
      <c r="AE433" s="50" t="str">
        <f t="shared" si="122"/>
        <v>ALTER TABLE TB_BANNER ADD COLUMN USE_YN VARCHAR(1) NOT NULL;</v>
      </c>
      <c r="AF433" s="50" t="str">
        <f t="shared" si="124"/>
        <v>ALTER TABLE TB_BANNER DROP COLUMN USE_YN;</v>
      </c>
      <c r="AG433" s="50" t="str">
        <f t="shared" si="125"/>
        <v/>
      </c>
      <c r="AH433" s="50" t="str">
        <f t="shared" si="131"/>
        <v>COMMENT ON COLUMN TB_BANNER.USE_YN IS '사용 여부' ;</v>
      </c>
    </row>
    <row r="434" spans="1:34" ht="20" customHeight="1">
      <c r="A434" s="55">
        <v>430</v>
      </c>
      <c r="B434" s="26" t="s">
        <v>7</v>
      </c>
      <c r="C434" s="26" t="s">
        <v>19</v>
      </c>
      <c r="D434" s="10" t="s">
        <v>539</v>
      </c>
      <c r="E434" s="10" t="s">
        <v>540</v>
      </c>
      <c r="F434" s="92">
        <v>12</v>
      </c>
      <c r="G434" s="106" t="s">
        <v>520</v>
      </c>
      <c r="H434" s="106" t="s">
        <v>525</v>
      </c>
      <c r="I434" s="75" t="s">
        <v>72</v>
      </c>
      <c r="J434" s="61"/>
      <c r="K434" s="61"/>
      <c r="L434" s="69"/>
      <c r="M434" s="69"/>
      <c r="N434" s="69"/>
      <c r="O434" s="69"/>
      <c r="P434" s="51" t="s">
        <v>106</v>
      </c>
      <c r="Q434" s="126" t="s">
        <v>544</v>
      </c>
      <c r="R434" s="90"/>
      <c r="S434" s="109" t="s">
        <v>536</v>
      </c>
      <c r="T434" s="130"/>
      <c r="U434" s="130"/>
      <c r="V434" s="109"/>
      <c r="W434" s="90"/>
      <c r="X434" s="130"/>
      <c r="Y434" s="129" t="str">
        <f t="shared" si="130"/>
        <v>TB_BANNER</v>
      </c>
      <c r="Z434" s="50" t="str">
        <f t="shared" si="121"/>
        <v>BANNER_PD_SET_YN VARCHAR(1) NOT NULL,</v>
      </c>
      <c r="AA434" s="50" t="str">
        <f t="shared" si="128"/>
        <v/>
      </c>
      <c r="AB434" s="50" t="str">
        <f t="shared" si="129"/>
        <v/>
      </c>
      <c r="AC434" s="50" t="str">
        <f t="shared" si="120"/>
        <v/>
      </c>
      <c r="AD434" s="50" t="str">
        <f t="shared" si="123"/>
        <v>ALTER TABLE TB_BANNER ALTER COLUMN BANNER_PD_SET_YN TYPE VARCHAR(1);</v>
      </c>
      <c r="AE434" s="50" t="str">
        <f t="shared" si="122"/>
        <v>ALTER TABLE TB_BANNER ADD COLUMN BANNER_PD_SET_YN VARCHAR(1) NOT NULL;</v>
      </c>
      <c r="AF434" s="50" t="str">
        <f t="shared" si="124"/>
        <v>ALTER TABLE TB_BANNER DROP COLUMN BANNER_PD_SET_YN;</v>
      </c>
      <c r="AG434" s="50" t="str">
        <f t="shared" si="125"/>
        <v/>
      </c>
      <c r="AH434" s="50" t="str">
        <f t="shared" si="131"/>
        <v>COMMENT ON COLUMN TB_BANNER.BANNER_PD_SET_YN IS '배너 기간 설정 여부' ;</v>
      </c>
    </row>
    <row r="435" spans="1:34" ht="20" customHeight="1">
      <c r="A435" s="55">
        <v>431</v>
      </c>
      <c r="B435" s="26" t="s">
        <v>7</v>
      </c>
      <c r="C435" s="26" t="s">
        <v>19</v>
      </c>
      <c r="D435" s="10" t="s">
        <v>539</v>
      </c>
      <c r="E435" s="10" t="s">
        <v>540</v>
      </c>
      <c r="F435" s="92">
        <v>13</v>
      </c>
      <c r="G435" s="107" t="s">
        <v>521</v>
      </c>
      <c r="H435" s="106" t="s">
        <v>524</v>
      </c>
      <c r="I435" s="61"/>
      <c r="J435" s="61"/>
      <c r="K435" s="61"/>
      <c r="L435" s="61"/>
      <c r="M435" s="61"/>
      <c r="N435" s="61"/>
      <c r="O435" s="61"/>
      <c r="P435" s="51" t="s">
        <v>106</v>
      </c>
      <c r="Q435" s="127" t="s">
        <v>780</v>
      </c>
      <c r="R435" s="90"/>
      <c r="S435" s="109" t="s">
        <v>537</v>
      </c>
      <c r="T435" s="130"/>
      <c r="U435" s="130"/>
      <c r="V435" s="109"/>
      <c r="W435" s="90"/>
      <c r="X435" s="130"/>
      <c r="Y435" s="129" t="str">
        <f t="shared" si="130"/>
        <v>TB_BANNER</v>
      </c>
      <c r="Z435" s="50" t="str">
        <f t="shared" si="121"/>
        <v>BANNER_BEGIN_DT VARCHAR(16),</v>
      </c>
      <c r="AA435" s="50" t="str">
        <f t="shared" si="128"/>
        <v/>
      </c>
      <c r="AB435" s="50" t="str">
        <f t="shared" si="129"/>
        <v/>
      </c>
      <c r="AC435" s="50" t="str">
        <f t="shared" si="120"/>
        <v/>
      </c>
      <c r="AD435" s="50" t="str">
        <f t="shared" si="123"/>
        <v>ALTER TABLE TB_BANNER ALTER COLUMN BANNER_BEGIN_DT TYPE VARCHAR(16);</v>
      </c>
      <c r="AE435" s="50" t="str">
        <f t="shared" si="122"/>
        <v>ALTER TABLE TB_BANNER ADD COLUMN BANNER_BEGIN_DT VARCHAR(16);</v>
      </c>
      <c r="AF435" s="50" t="str">
        <f t="shared" si="124"/>
        <v>ALTER TABLE TB_BANNER DROP COLUMN BANNER_BEGIN_DT;</v>
      </c>
      <c r="AG435" s="50" t="str">
        <f t="shared" si="125"/>
        <v/>
      </c>
      <c r="AH435" s="50" t="str">
        <f t="shared" si="131"/>
        <v>COMMENT ON COLUMN TB_BANNER.BANNER_BEGIN_DT IS '배너 시작 일시' ;</v>
      </c>
    </row>
    <row r="436" spans="1:34" ht="20" customHeight="1">
      <c r="A436" s="55">
        <v>432</v>
      </c>
      <c r="B436" s="26" t="s">
        <v>7</v>
      </c>
      <c r="C436" s="26" t="s">
        <v>19</v>
      </c>
      <c r="D436" s="10" t="s">
        <v>539</v>
      </c>
      <c r="E436" s="10" t="s">
        <v>540</v>
      </c>
      <c r="F436" s="92">
        <v>14</v>
      </c>
      <c r="G436" s="106" t="s">
        <v>522</v>
      </c>
      <c r="H436" s="106" t="s">
        <v>523</v>
      </c>
      <c r="I436" s="61"/>
      <c r="J436" s="61"/>
      <c r="K436" s="61"/>
      <c r="L436" s="61"/>
      <c r="M436" s="61"/>
      <c r="N436" s="61"/>
      <c r="O436" s="61"/>
      <c r="P436" s="51" t="s">
        <v>106</v>
      </c>
      <c r="Q436" s="127" t="s">
        <v>780</v>
      </c>
      <c r="R436" s="90"/>
      <c r="S436" s="109" t="s">
        <v>538</v>
      </c>
      <c r="T436" s="130"/>
      <c r="U436" s="130"/>
      <c r="V436" s="109"/>
      <c r="W436" s="90"/>
      <c r="X436" s="130"/>
      <c r="Y436" s="129" t="str">
        <f t="shared" si="130"/>
        <v>TB_BANNER</v>
      </c>
      <c r="Z436" s="50" t="str">
        <f t="shared" si="121"/>
        <v>BANNER_END_DT VARCHAR(16),</v>
      </c>
      <c r="AA436" s="50" t="str">
        <f t="shared" si="128"/>
        <v/>
      </c>
      <c r="AB436" s="50" t="str">
        <f t="shared" si="129"/>
        <v/>
      </c>
      <c r="AC436" s="50" t="str">
        <f t="shared" si="120"/>
        <v/>
      </c>
      <c r="AD436" s="50" t="str">
        <f t="shared" si="123"/>
        <v>ALTER TABLE TB_BANNER ALTER COLUMN BANNER_END_DT TYPE VARCHAR(16);</v>
      </c>
      <c r="AE436" s="50" t="str">
        <f t="shared" si="122"/>
        <v>ALTER TABLE TB_BANNER ADD COLUMN BANNER_END_DT VARCHAR(16);</v>
      </c>
      <c r="AF436" s="50" t="str">
        <f t="shared" si="124"/>
        <v>ALTER TABLE TB_BANNER DROP COLUMN BANNER_END_DT;</v>
      </c>
      <c r="AG436" s="50" t="str">
        <f t="shared" si="125"/>
        <v/>
      </c>
      <c r="AH436" s="50" t="str">
        <f t="shared" si="131"/>
        <v>COMMENT ON COLUMN TB_BANNER.BANNER_END_DT IS '배너 종료 일시' ;</v>
      </c>
    </row>
    <row r="437" spans="1:34" ht="20" customHeight="1">
      <c r="A437" s="55">
        <v>433</v>
      </c>
      <c r="B437" s="26" t="s">
        <v>7</v>
      </c>
      <c r="C437" s="26" t="s">
        <v>19</v>
      </c>
      <c r="D437" s="10" t="s">
        <v>539</v>
      </c>
      <c r="E437" s="10" t="s">
        <v>540</v>
      </c>
      <c r="F437" s="92">
        <v>15</v>
      </c>
      <c r="G437" s="102" t="s">
        <v>107</v>
      </c>
      <c r="H437" s="51" t="s">
        <v>76</v>
      </c>
      <c r="I437" s="75" t="s">
        <v>72</v>
      </c>
      <c r="J437" s="67"/>
      <c r="K437" s="67"/>
      <c r="L437" s="82"/>
      <c r="M437" s="82"/>
      <c r="N437" s="82"/>
      <c r="O437" s="82"/>
      <c r="P437" s="105" t="s">
        <v>543</v>
      </c>
      <c r="Q437" s="126" t="s">
        <v>548</v>
      </c>
      <c r="R437" s="85"/>
      <c r="S437" s="112" t="s">
        <v>219</v>
      </c>
      <c r="T437" s="130"/>
      <c r="U437" s="130"/>
      <c r="V437" s="109"/>
      <c r="W437" s="90"/>
      <c r="X437" s="130"/>
      <c r="Y437" s="129" t="str">
        <f t="shared" si="130"/>
        <v>TB_BANNER</v>
      </c>
      <c r="Z437" s="50" t="str">
        <f t="shared" si="121"/>
        <v>REGISTER_ID VARCHAR(50) NOT NULL,</v>
      </c>
      <c r="AA437" s="50" t="str">
        <f t="shared" si="128"/>
        <v/>
      </c>
      <c r="AB437" s="50" t="str">
        <f t="shared" si="129"/>
        <v/>
      </c>
      <c r="AC437" s="50" t="str">
        <f t="shared" si="120"/>
        <v/>
      </c>
      <c r="AD437" s="50" t="str">
        <f t="shared" si="123"/>
        <v>ALTER TABLE TB_BANNER ALTER COLUMN REGISTER_ID TYPE VARCHAR(50);</v>
      </c>
      <c r="AE437" s="50" t="str">
        <f t="shared" si="122"/>
        <v>ALTER TABLE TB_BANNER ADD COLUMN REGISTER_ID VARCHAR(50) NOT NULL;</v>
      </c>
      <c r="AF437" s="50" t="str">
        <f t="shared" si="124"/>
        <v>ALTER TABLE TB_BANNER DROP COLUMN REGISTER_ID;</v>
      </c>
      <c r="AG437" s="50" t="str">
        <f t="shared" si="125"/>
        <v/>
      </c>
      <c r="AH437" s="50" t="str">
        <f t="shared" si="131"/>
        <v>COMMENT ON COLUMN TB_BANNER.REGISTER_ID IS '등록자 ID' ;</v>
      </c>
    </row>
    <row r="438" spans="1:34" ht="20" customHeight="1">
      <c r="A438" s="55">
        <v>434</v>
      </c>
      <c r="B438" s="26" t="s">
        <v>7</v>
      </c>
      <c r="C438" s="26" t="s">
        <v>19</v>
      </c>
      <c r="D438" s="10" t="s">
        <v>539</v>
      </c>
      <c r="E438" s="10" t="s">
        <v>540</v>
      </c>
      <c r="F438" s="92">
        <v>16</v>
      </c>
      <c r="G438" s="102" t="s">
        <v>91</v>
      </c>
      <c r="H438" s="51" t="s">
        <v>77</v>
      </c>
      <c r="I438" s="75" t="s">
        <v>72</v>
      </c>
      <c r="J438" s="52"/>
      <c r="K438" s="52"/>
      <c r="L438" s="52"/>
      <c r="M438" s="52"/>
      <c r="N438" s="52"/>
      <c r="O438" s="52"/>
      <c r="P438" s="56" t="s">
        <v>106</v>
      </c>
      <c r="Q438" s="127" t="s">
        <v>549</v>
      </c>
      <c r="R438" s="85"/>
      <c r="S438" s="112" t="s">
        <v>218</v>
      </c>
      <c r="T438" s="130"/>
      <c r="U438" s="130"/>
      <c r="V438" s="109"/>
      <c r="W438" s="90"/>
      <c r="X438" s="130"/>
      <c r="Y438" s="129" t="str">
        <f t="shared" si="130"/>
        <v>TB_BANNER</v>
      </c>
      <c r="Z438" s="50" t="str">
        <f t="shared" si="121"/>
        <v>REGISTER_IP VARCHAR(100) NOT NULL,</v>
      </c>
      <c r="AA438" s="50" t="str">
        <f t="shared" si="128"/>
        <v/>
      </c>
      <c r="AB438" s="50" t="str">
        <f t="shared" si="129"/>
        <v/>
      </c>
      <c r="AC438" s="50" t="str">
        <f t="shared" si="120"/>
        <v/>
      </c>
      <c r="AD438" s="50" t="str">
        <f t="shared" si="123"/>
        <v>ALTER TABLE TB_BANNER ALTER COLUMN REGISTER_IP TYPE VARCHAR(100);</v>
      </c>
      <c r="AE438" s="50" t="str">
        <f t="shared" si="122"/>
        <v>ALTER TABLE TB_BANNER ADD COLUMN REGISTER_IP VARCHAR(100) NOT NULL;</v>
      </c>
      <c r="AF438" s="50" t="str">
        <f t="shared" si="124"/>
        <v>ALTER TABLE TB_BANNER DROP COLUMN REGISTER_IP;</v>
      </c>
      <c r="AG438" s="50" t="str">
        <f t="shared" si="125"/>
        <v/>
      </c>
      <c r="AH438" s="50" t="str">
        <f t="shared" si="131"/>
        <v>COMMENT ON COLUMN TB_BANNER.REGISTER_IP IS '등록자 IP' ;</v>
      </c>
    </row>
    <row r="439" spans="1:34" ht="20" customHeight="1">
      <c r="A439" s="55">
        <v>435</v>
      </c>
      <c r="B439" s="26" t="s">
        <v>7</v>
      </c>
      <c r="C439" s="26" t="s">
        <v>19</v>
      </c>
      <c r="D439" s="10" t="s">
        <v>539</v>
      </c>
      <c r="E439" s="10" t="s">
        <v>540</v>
      </c>
      <c r="F439" s="92">
        <v>17</v>
      </c>
      <c r="G439" s="102" t="s">
        <v>92</v>
      </c>
      <c r="H439" s="101" t="s">
        <v>78</v>
      </c>
      <c r="I439" s="75" t="s">
        <v>72</v>
      </c>
      <c r="J439" s="52"/>
      <c r="K439" s="52"/>
      <c r="L439" s="52"/>
      <c r="M439" s="52"/>
      <c r="N439" s="52"/>
      <c r="O439" s="52"/>
      <c r="P439" s="51" t="s">
        <v>732</v>
      </c>
      <c r="Q439" s="127"/>
      <c r="R439" s="85"/>
      <c r="S439" s="112" t="s">
        <v>217</v>
      </c>
      <c r="T439" s="130"/>
      <c r="U439" s="130"/>
      <c r="V439" s="109"/>
      <c r="W439" s="90"/>
      <c r="X439" s="130"/>
      <c r="Y439" s="129" t="str">
        <f t="shared" si="130"/>
        <v>TB_BANNER</v>
      </c>
      <c r="Z439" s="50" t="str">
        <f t="shared" si="121"/>
        <v>REG_DT TIMESTAMP NOT NULL,</v>
      </c>
      <c r="AA439" s="50" t="str">
        <f t="shared" si="128"/>
        <v/>
      </c>
      <c r="AB439" s="50" t="str">
        <f t="shared" si="129"/>
        <v/>
      </c>
      <c r="AC439" s="50" t="str">
        <f t="shared" si="120"/>
        <v/>
      </c>
      <c r="AD439" s="50" t="str">
        <f t="shared" si="123"/>
        <v>ALTER TABLE TB_BANNER ALTER COLUMN REG_DT TYPE TIMESTAMP;</v>
      </c>
      <c r="AE439" s="50" t="str">
        <f t="shared" si="122"/>
        <v>ALTER TABLE TB_BANNER ADD COLUMN REG_DT TIMESTAMP NOT NULL;</v>
      </c>
      <c r="AF439" s="50" t="str">
        <f t="shared" si="124"/>
        <v>ALTER TABLE TB_BANNER DROP COLUMN REG_DT;</v>
      </c>
      <c r="AG439" s="50" t="str">
        <f t="shared" si="125"/>
        <v/>
      </c>
      <c r="AH439" s="50" t="str">
        <f t="shared" si="131"/>
        <v>COMMENT ON COLUMN TB_BANNER.REG_DT IS '등록 일시' ;</v>
      </c>
    </row>
    <row r="440" spans="1:34" ht="20" customHeight="1">
      <c r="A440" s="55">
        <v>436</v>
      </c>
      <c r="B440" s="26" t="s">
        <v>7</v>
      </c>
      <c r="C440" s="26" t="s">
        <v>19</v>
      </c>
      <c r="D440" s="10" t="s">
        <v>539</v>
      </c>
      <c r="E440" s="10" t="s">
        <v>540</v>
      </c>
      <c r="F440" s="92">
        <v>18</v>
      </c>
      <c r="G440" s="102" t="s">
        <v>93</v>
      </c>
      <c r="H440" s="101" t="s">
        <v>80</v>
      </c>
      <c r="I440" s="52"/>
      <c r="J440" s="52"/>
      <c r="K440" s="52"/>
      <c r="L440" s="84"/>
      <c r="M440" s="84"/>
      <c r="N440" s="84"/>
      <c r="O440" s="84"/>
      <c r="P440" s="105" t="s">
        <v>543</v>
      </c>
      <c r="Q440" s="126" t="s">
        <v>548</v>
      </c>
      <c r="R440" s="85"/>
      <c r="S440" s="112" t="s">
        <v>216</v>
      </c>
      <c r="T440" s="130"/>
      <c r="U440" s="130"/>
      <c r="V440" s="109"/>
      <c r="W440" s="90"/>
      <c r="X440" s="130"/>
      <c r="Y440" s="129" t="str">
        <f t="shared" si="130"/>
        <v>TB_BANNER</v>
      </c>
      <c r="Z440" s="50" t="str">
        <f t="shared" si="121"/>
        <v>UPDUSR_ID VARCHAR(50),</v>
      </c>
      <c r="AA440" s="50" t="str">
        <f t="shared" si="128"/>
        <v/>
      </c>
      <c r="AB440" s="50" t="str">
        <f t="shared" si="129"/>
        <v/>
      </c>
      <c r="AC440" s="50" t="str">
        <f t="shared" si="120"/>
        <v/>
      </c>
      <c r="AD440" s="50" t="str">
        <f t="shared" si="123"/>
        <v>ALTER TABLE TB_BANNER ALTER COLUMN UPDUSR_ID TYPE VARCHAR(50);</v>
      </c>
      <c r="AE440" s="50" t="str">
        <f t="shared" si="122"/>
        <v>ALTER TABLE TB_BANNER ADD COLUMN UPDUSR_ID VARCHAR(50);</v>
      </c>
      <c r="AF440" s="50" t="str">
        <f t="shared" si="124"/>
        <v>ALTER TABLE TB_BANNER DROP COLUMN UPDUSR_ID;</v>
      </c>
      <c r="AG440" s="50" t="str">
        <f t="shared" si="125"/>
        <v/>
      </c>
      <c r="AH440" s="50" t="str">
        <f t="shared" si="131"/>
        <v>COMMENT ON COLUMN TB_BANNER.UPDUSR_ID IS '수정자 ID' ;</v>
      </c>
    </row>
    <row r="441" spans="1:34" ht="20" customHeight="1">
      <c r="A441" s="55">
        <v>437</v>
      </c>
      <c r="B441" s="26" t="s">
        <v>7</v>
      </c>
      <c r="C441" s="26" t="s">
        <v>19</v>
      </c>
      <c r="D441" s="10" t="s">
        <v>539</v>
      </c>
      <c r="E441" s="10" t="s">
        <v>540</v>
      </c>
      <c r="F441" s="92">
        <v>19</v>
      </c>
      <c r="G441" s="102" t="s">
        <v>94</v>
      </c>
      <c r="H441" s="101" t="s">
        <v>79</v>
      </c>
      <c r="I441" s="52"/>
      <c r="J441" s="52"/>
      <c r="K441" s="52"/>
      <c r="L441" s="52"/>
      <c r="M441" s="52"/>
      <c r="N441" s="52"/>
      <c r="O441" s="52"/>
      <c r="P441" s="56" t="s">
        <v>106</v>
      </c>
      <c r="Q441" s="127" t="s">
        <v>549</v>
      </c>
      <c r="R441" s="85"/>
      <c r="S441" s="112" t="s">
        <v>215</v>
      </c>
      <c r="T441" s="130"/>
      <c r="U441" s="130"/>
      <c r="V441" s="109"/>
      <c r="W441" s="90"/>
      <c r="X441" s="130"/>
      <c r="Y441" s="129" t="str">
        <f t="shared" si="130"/>
        <v>TB_BANNER</v>
      </c>
      <c r="Z441" s="50" t="str">
        <f t="shared" si="121"/>
        <v>UPDUSR_IP VARCHAR(100),</v>
      </c>
      <c r="AA441" s="50" t="str">
        <f t="shared" si="128"/>
        <v/>
      </c>
      <c r="AB441" s="50" t="str">
        <f t="shared" si="129"/>
        <v/>
      </c>
      <c r="AC441" s="50" t="str">
        <f t="shared" si="120"/>
        <v/>
      </c>
      <c r="AD441" s="50" t="str">
        <f t="shared" si="123"/>
        <v>ALTER TABLE TB_BANNER ALTER COLUMN UPDUSR_IP TYPE VARCHAR(100);</v>
      </c>
      <c r="AE441" s="50" t="str">
        <f t="shared" si="122"/>
        <v>ALTER TABLE TB_BANNER ADD COLUMN UPDUSR_IP VARCHAR(100);</v>
      </c>
      <c r="AF441" s="50" t="str">
        <f t="shared" si="124"/>
        <v>ALTER TABLE TB_BANNER DROP COLUMN UPDUSR_IP;</v>
      </c>
      <c r="AG441" s="50" t="str">
        <f t="shared" si="125"/>
        <v/>
      </c>
      <c r="AH441" s="50" t="str">
        <f t="shared" si="131"/>
        <v>COMMENT ON COLUMN TB_BANNER.UPDUSR_IP IS '수정자 IP' ;</v>
      </c>
    </row>
    <row r="442" spans="1:34" ht="20" customHeight="1">
      <c r="A442" s="55">
        <v>438</v>
      </c>
      <c r="B442" s="26" t="s">
        <v>7</v>
      </c>
      <c r="C442" s="26" t="s">
        <v>19</v>
      </c>
      <c r="D442" s="10" t="s">
        <v>539</v>
      </c>
      <c r="E442" s="10" t="s">
        <v>540</v>
      </c>
      <c r="F442" s="92">
        <v>20</v>
      </c>
      <c r="G442" s="103" t="s">
        <v>95</v>
      </c>
      <c r="H442" s="102" t="s">
        <v>81</v>
      </c>
      <c r="I442" s="61"/>
      <c r="J442" s="61"/>
      <c r="K442" s="61"/>
      <c r="L442" s="61"/>
      <c r="M442" s="61"/>
      <c r="N442" s="61"/>
      <c r="O442" s="61"/>
      <c r="P442" s="51" t="s">
        <v>732</v>
      </c>
      <c r="Q442" s="127"/>
      <c r="R442" s="82"/>
      <c r="S442" s="112" t="s">
        <v>214</v>
      </c>
      <c r="T442" s="130"/>
      <c r="U442" s="130"/>
      <c r="V442" s="109"/>
      <c r="W442" s="90"/>
      <c r="X442" s="130"/>
      <c r="Y442" s="129" t="str">
        <f t="shared" si="130"/>
        <v>TB_BANNER</v>
      </c>
      <c r="Z442" s="50" t="str">
        <f t="shared" si="121"/>
        <v>UPDT_DT TIMESTAMP,</v>
      </c>
      <c r="AA442" s="50" t="str">
        <f t="shared" si="128"/>
        <v/>
      </c>
      <c r="AB442" s="50" t="str">
        <f t="shared" si="129"/>
        <v/>
      </c>
      <c r="AC442" s="50" t="str">
        <f t="shared" si="120"/>
        <v/>
      </c>
      <c r="AD442" s="50" t="str">
        <f t="shared" si="123"/>
        <v>ALTER TABLE TB_BANNER ALTER COLUMN UPDT_DT TYPE TIMESTAMP;</v>
      </c>
      <c r="AE442" s="50" t="str">
        <f t="shared" si="122"/>
        <v>ALTER TABLE TB_BANNER ADD COLUMN UPDT_DT TIMESTAMP;</v>
      </c>
      <c r="AF442" s="50" t="str">
        <f t="shared" si="124"/>
        <v>ALTER TABLE TB_BANNER DROP COLUMN UPDT_DT;</v>
      </c>
      <c r="AG442" s="50" t="str">
        <f t="shared" si="125"/>
        <v/>
      </c>
      <c r="AH442" s="50" t="str">
        <f t="shared" si="131"/>
        <v>COMMENT ON COLUMN TB_BANNER.UPDT_DT IS '수정 일시' ;</v>
      </c>
    </row>
    <row r="443" spans="1:34" ht="20" customHeight="1">
      <c r="A443" s="55">
        <v>439</v>
      </c>
      <c r="B443" s="26" t="s">
        <v>7</v>
      </c>
      <c r="C443" s="26" t="s">
        <v>19</v>
      </c>
      <c r="D443" s="10" t="s">
        <v>539</v>
      </c>
      <c r="E443" s="10" t="s">
        <v>540</v>
      </c>
      <c r="F443" s="92">
        <v>21</v>
      </c>
      <c r="G443" s="102" t="s">
        <v>96</v>
      </c>
      <c r="H443" s="102" t="s">
        <v>82</v>
      </c>
      <c r="I443" s="75" t="s">
        <v>72</v>
      </c>
      <c r="J443" s="61"/>
      <c r="K443" s="61"/>
      <c r="L443" s="61"/>
      <c r="M443" s="61"/>
      <c r="N443" s="61"/>
      <c r="O443" s="61"/>
      <c r="P443" s="51" t="s">
        <v>106</v>
      </c>
      <c r="Q443" s="127" t="s">
        <v>544</v>
      </c>
      <c r="R443" s="87" t="s">
        <v>592</v>
      </c>
      <c r="S443" s="112" t="s">
        <v>213</v>
      </c>
      <c r="T443" s="130"/>
      <c r="U443" s="130"/>
      <c r="V443" s="109"/>
      <c r="W443" s="90"/>
      <c r="X443" s="130"/>
      <c r="Y443" s="129" t="str">
        <f t="shared" si="130"/>
        <v>TB_BANNER</v>
      </c>
      <c r="Z443" s="50" t="str">
        <f t="shared" si="121"/>
        <v>DEL_YN VARCHAR(1) NOT NULL,</v>
      </c>
      <c r="AA443" s="50" t="str">
        <f t="shared" si="128"/>
        <v/>
      </c>
      <c r="AB443" s="50" t="str">
        <f t="shared" si="129"/>
        <v/>
      </c>
      <c r="AC443" s="50" t="str">
        <f t="shared" si="120"/>
        <v/>
      </c>
      <c r="AD443" s="50" t="str">
        <f t="shared" si="123"/>
        <v>ALTER TABLE TB_BANNER ALTER COLUMN DEL_YN TYPE VARCHAR(1);</v>
      </c>
      <c r="AE443" s="50" t="str">
        <f t="shared" si="122"/>
        <v>ALTER TABLE TB_BANNER ADD COLUMN DEL_YN VARCHAR(1) NOT NULL DEFAULT ''N'';</v>
      </c>
      <c r="AF443" s="50" t="str">
        <f t="shared" si="124"/>
        <v>ALTER TABLE TB_BANNER DROP COLUMN DEL_YN;</v>
      </c>
      <c r="AG443" s="50" t="str">
        <f t="shared" si="125"/>
        <v>ALTER TABLE TB_BANNER ALTER COLUMN DEL_YN SET DEFAULT 'N';</v>
      </c>
      <c r="AH443" s="50" t="str">
        <f t="shared" si="131"/>
        <v>COMMENT ON COLUMN TB_BANNER.DEL_YN IS '삭제 여부' ;</v>
      </c>
    </row>
    <row r="444" spans="1:34">
      <c r="AE444" s="50" t="str">
        <f t="shared" si="122"/>
        <v>ALTER TABLE  ADD COLUMN  ;</v>
      </c>
      <c r="AF444" s="50" t="str">
        <f t="shared" si="124"/>
        <v>ALTER TABLE  DROP COLUMN ;</v>
      </c>
      <c r="AG444" s="50" t="str">
        <f t="shared" si="125"/>
        <v/>
      </c>
    </row>
    <row r="445" spans="1:34">
      <c r="AE445" s="50" t="str">
        <f t="shared" si="122"/>
        <v>ALTER TABLE  ADD COLUMN  ;</v>
      </c>
      <c r="AF445" s="50" t="str">
        <f t="shared" si="124"/>
        <v>ALTER TABLE  DROP COLUMN ;</v>
      </c>
      <c r="AG445" s="50" t="str">
        <f t="shared" si="125"/>
        <v/>
      </c>
    </row>
    <row r="446" spans="1:34">
      <c r="AE446" s="50" t="str">
        <f t="shared" si="122"/>
        <v>ALTER TABLE  ADD COLUMN  ;</v>
      </c>
      <c r="AF446" s="50" t="str">
        <f t="shared" si="124"/>
        <v>ALTER TABLE  DROP COLUMN ;</v>
      </c>
      <c r="AG446" s="50" t="str">
        <f t="shared" si="125"/>
        <v/>
      </c>
    </row>
    <row r="447" spans="1:34">
      <c r="AE447" s="50" t="str">
        <f t="shared" si="122"/>
        <v>ALTER TABLE  ADD COLUMN  ;</v>
      </c>
      <c r="AF447" s="50" t="str">
        <f t="shared" si="124"/>
        <v>ALTER TABLE  DROP COLUMN ;</v>
      </c>
      <c r="AG447" s="50" t="str">
        <f t="shared" si="125"/>
        <v/>
      </c>
    </row>
    <row r="448" spans="1:34">
      <c r="AE448" s="50" t="str">
        <f t="shared" si="122"/>
        <v>ALTER TABLE  ADD COLUMN  ;</v>
      </c>
      <c r="AF448" s="50" t="str">
        <f t="shared" si="124"/>
        <v>ALTER TABLE  DROP COLUMN ;</v>
      </c>
      <c r="AG448" s="50" t="str">
        <f t="shared" si="125"/>
        <v/>
      </c>
    </row>
    <row r="449" spans="31:33">
      <c r="AE449" s="50" t="str">
        <f t="shared" si="122"/>
        <v>ALTER TABLE  ADD COLUMN  ;</v>
      </c>
      <c r="AF449" s="50" t="str">
        <f t="shared" si="124"/>
        <v>ALTER TABLE  DROP COLUMN ;</v>
      </c>
      <c r="AG449" s="50" t="str">
        <f t="shared" si="125"/>
        <v/>
      </c>
    </row>
    <row r="450" spans="31:33">
      <c r="AE450" s="50" t="str">
        <f t="shared" si="122"/>
        <v>ALTER TABLE  ADD COLUMN  ;</v>
      </c>
      <c r="AF450" s="50" t="str">
        <f t="shared" si="124"/>
        <v>ALTER TABLE  DROP COLUMN ;</v>
      </c>
      <c r="AG450" s="50" t="str">
        <f t="shared" si="125"/>
        <v/>
      </c>
    </row>
    <row r="451" spans="31:33">
      <c r="AE451" s="50" t="str">
        <f t="shared" si="122"/>
        <v>ALTER TABLE  ADD COLUMN  ;</v>
      </c>
      <c r="AF451" s="50" t="str">
        <f t="shared" si="124"/>
        <v>ALTER TABLE  DROP COLUMN ;</v>
      </c>
      <c r="AG451" s="50" t="str">
        <f t="shared" si="125"/>
        <v/>
      </c>
    </row>
    <row r="468" spans="2:8" s="131" customFormat="1">
      <c r="B468" s="89"/>
      <c r="C468" s="89"/>
      <c r="D468" s="93"/>
      <c r="E468" s="93"/>
      <c r="F468" s="94"/>
      <c r="G468" s="93"/>
      <c r="H468" s="93"/>
    </row>
    <row r="469" spans="2:8" s="131" customFormat="1">
      <c r="B469" s="116"/>
      <c r="C469" s="117"/>
      <c r="D469" s="118"/>
      <c r="E469" s="118"/>
      <c r="F469" s="94"/>
      <c r="G469" s="93"/>
      <c r="H469" s="93"/>
    </row>
    <row r="470" spans="2:8" s="131" customFormat="1">
      <c r="B470" s="116"/>
      <c r="C470" s="117"/>
      <c r="D470" s="118"/>
      <c r="E470" s="118"/>
      <c r="F470" s="94"/>
      <c r="G470" s="93"/>
      <c r="H470" s="93"/>
    </row>
    <row r="471" spans="2:8" s="131" customFormat="1">
      <c r="B471" s="116"/>
      <c r="C471" s="117"/>
      <c r="D471" s="118"/>
      <c r="E471" s="118"/>
      <c r="F471" s="94"/>
      <c r="G471" s="93"/>
      <c r="H471" s="93"/>
    </row>
    <row r="472" spans="2:8" s="131" customFormat="1">
      <c r="B472" s="116"/>
      <c r="C472" s="117"/>
      <c r="D472" s="21"/>
      <c r="E472" s="21"/>
      <c r="F472" s="94"/>
      <c r="G472" s="93"/>
      <c r="H472" s="93"/>
    </row>
    <row r="473" spans="2:8" s="131" customFormat="1">
      <c r="B473" s="116"/>
      <c r="C473" s="117"/>
      <c r="D473" s="119"/>
      <c r="E473" s="119"/>
      <c r="F473" s="94"/>
      <c r="G473" s="93"/>
      <c r="H473" s="93"/>
    </row>
    <row r="474" spans="2:8" s="131" customFormat="1">
      <c r="B474" s="116"/>
      <c r="C474" s="117"/>
      <c r="D474" s="119"/>
      <c r="E474" s="119"/>
      <c r="F474" s="94"/>
      <c r="G474" s="93"/>
      <c r="H474" s="93"/>
    </row>
    <row r="475" spans="2:8" s="131" customFormat="1">
      <c r="B475" s="116"/>
      <c r="C475" s="117"/>
      <c r="D475" s="119"/>
      <c r="E475" s="119"/>
      <c r="F475" s="94"/>
      <c r="G475" s="93"/>
      <c r="H475" s="93"/>
    </row>
    <row r="476" spans="2:8" s="131" customFormat="1">
      <c r="B476" s="116"/>
      <c r="C476" s="117"/>
      <c r="D476" s="119"/>
      <c r="E476" s="119"/>
      <c r="F476" s="94"/>
      <c r="G476" s="93"/>
      <c r="H476" s="93"/>
    </row>
    <row r="477" spans="2:8" s="131" customFormat="1">
      <c r="B477" s="116"/>
      <c r="C477" s="117"/>
      <c r="D477" s="119"/>
      <c r="E477" s="21"/>
      <c r="F477" s="94"/>
      <c r="G477" s="93"/>
      <c r="H477" s="93"/>
    </row>
    <row r="478" spans="2:8" s="131" customFormat="1">
      <c r="B478" s="116"/>
      <c r="C478" s="117"/>
      <c r="D478" s="119"/>
      <c r="E478" s="119"/>
      <c r="F478" s="94"/>
      <c r="G478" s="93"/>
      <c r="H478" s="93"/>
    </row>
    <row r="479" spans="2:8" s="131" customFormat="1">
      <c r="B479" s="116"/>
      <c r="C479" s="117"/>
      <c r="D479" s="21"/>
      <c r="E479" s="118"/>
      <c r="F479" s="94"/>
      <c r="G479" s="93"/>
      <c r="H479" s="93"/>
    </row>
    <row r="480" spans="2:8" s="131" customFormat="1">
      <c r="B480" s="116"/>
      <c r="C480" s="117"/>
      <c r="D480" s="21"/>
      <c r="E480" s="118"/>
      <c r="F480" s="94"/>
      <c r="G480" s="93"/>
      <c r="H480" s="93"/>
    </row>
    <row r="481" spans="2:8" s="131" customFormat="1">
      <c r="B481" s="116"/>
      <c r="C481" s="117"/>
      <c r="D481" s="21"/>
      <c r="E481" s="118"/>
      <c r="F481" s="94"/>
      <c r="G481" s="93"/>
      <c r="H481" s="93"/>
    </row>
    <row r="482" spans="2:8" s="131" customFormat="1">
      <c r="B482" s="116"/>
      <c r="C482" s="117"/>
      <c r="D482" s="119"/>
      <c r="E482" s="119"/>
      <c r="F482" s="94"/>
      <c r="G482" s="93"/>
      <c r="H482" s="93"/>
    </row>
    <row r="483" spans="2:8" s="131" customFormat="1">
      <c r="B483" s="116"/>
      <c r="C483" s="117"/>
      <c r="D483" s="21"/>
      <c r="E483" s="21"/>
      <c r="F483" s="94"/>
      <c r="G483" s="93"/>
      <c r="H483" s="93"/>
    </row>
    <row r="484" spans="2:8" s="131" customFormat="1">
      <c r="B484" s="116"/>
      <c r="C484" s="116"/>
      <c r="D484" s="21"/>
      <c r="E484" s="21"/>
      <c r="F484" s="94"/>
      <c r="G484" s="93"/>
      <c r="H484" s="93"/>
    </row>
    <row r="485" spans="2:8" s="131" customFormat="1">
      <c r="B485" s="116"/>
      <c r="C485" s="116"/>
      <c r="D485" s="21"/>
      <c r="E485" s="21"/>
      <c r="F485" s="94"/>
      <c r="G485" s="93"/>
      <c r="H485" s="93"/>
    </row>
    <row r="486" spans="2:8" s="131" customFormat="1">
      <c r="B486" s="116"/>
      <c r="C486" s="116"/>
      <c r="D486" s="21"/>
      <c r="E486" s="21"/>
      <c r="F486" s="94"/>
      <c r="G486" s="93"/>
      <c r="H486" s="93"/>
    </row>
    <row r="487" spans="2:8" s="131" customFormat="1">
      <c r="B487" s="116"/>
      <c r="C487" s="116"/>
      <c r="D487" s="21"/>
      <c r="E487" s="21"/>
      <c r="F487" s="94"/>
      <c r="G487" s="93"/>
      <c r="H487" s="93"/>
    </row>
    <row r="488" spans="2:8" s="131" customFormat="1">
      <c r="B488" s="116"/>
      <c r="C488" s="116"/>
      <c r="D488" s="21"/>
      <c r="E488" s="21"/>
      <c r="F488" s="94"/>
      <c r="G488" s="93"/>
      <c r="H488" s="93"/>
    </row>
    <row r="489" spans="2:8" s="131" customFormat="1">
      <c r="B489" s="116"/>
      <c r="C489" s="116"/>
      <c r="D489" s="21"/>
      <c r="E489" s="21"/>
      <c r="F489" s="94"/>
      <c r="G489" s="93"/>
      <c r="H489" s="93"/>
    </row>
    <row r="490" spans="2:8" s="131" customFormat="1">
      <c r="B490" s="116"/>
      <c r="C490" s="116"/>
      <c r="D490" s="21"/>
      <c r="E490" s="21"/>
      <c r="F490" s="94"/>
      <c r="G490" s="93"/>
      <c r="H490" s="93"/>
    </row>
    <row r="491" spans="2:8" s="131" customFormat="1">
      <c r="B491" s="116"/>
      <c r="C491" s="116"/>
      <c r="D491" s="21"/>
      <c r="E491" s="21"/>
      <c r="F491" s="94"/>
      <c r="G491" s="93"/>
      <c r="H491" s="93"/>
    </row>
    <row r="492" spans="2:8" s="131" customFormat="1">
      <c r="B492" s="116"/>
      <c r="C492" s="116"/>
      <c r="D492" s="21"/>
      <c r="E492" s="21"/>
      <c r="F492" s="94"/>
      <c r="G492" s="93"/>
      <c r="H492" s="93"/>
    </row>
    <row r="493" spans="2:8" s="131" customFormat="1">
      <c r="B493" s="116"/>
      <c r="C493" s="116"/>
      <c r="D493" s="21"/>
      <c r="E493" s="21"/>
      <c r="F493" s="94"/>
      <c r="G493" s="93"/>
      <c r="H493" s="93"/>
    </row>
    <row r="494" spans="2:8" s="131" customFormat="1">
      <c r="B494" s="116"/>
      <c r="C494" s="116"/>
      <c r="D494" s="21"/>
      <c r="E494" s="21"/>
      <c r="F494" s="94"/>
      <c r="G494" s="93"/>
      <c r="H494" s="93"/>
    </row>
    <row r="495" spans="2:8" s="131" customFormat="1">
      <c r="B495" s="116"/>
      <c r="C495" s="116"/>
      <c r="D495" s="5"/>
      <c r="E495" s="120"/>
      <c r="F495" s="94"/>
      <c r="G495" s="93"/>
      <c r="H495" s="93"/>
    </row>
    <row r="496" spans="2:8" s="131" customFormat="1">
      <c r="B496" s="89"/>
      <c r="C496" s="89"/>
      <c r="D496" s="93"/>
      <c r="E496" s="93"/>
      <c r="F496" s="94"/>
      <c r="G496" s="93"/>
      <c r="H496" s="93"/>
    </row>
    <row r="497" spans="2:8" s="131" customFormat="1">
      <c r="B497" s="89"/>
      <c r="C497" s="89"/>
      <c r="D497" s="93"/>
      <c r="E497" s="93"/>
      <c r="F497" s="94"/>
      <c r="G497" s="93"/>
      <c r="H497" s="93"/>
    </row>
    <row r="498" spans="2:8" s="131" customFormat="1">
      <c r="B498" s="89"/>
      <c r="C498" s="89"/>
      <c r="D498" s="93"/>
      <c r="E498" s="93"/>
      <c r="F498" s="94"/>
      <c r="G498" s="93"/>
      <c r="H498" s="93"/>
    </row>
    <row r="499" spans="2:8" s="131" customFormat="1">
      <c r="B499" s="89"/>
      <c r="C499" s="89"/>
      <c r="D499" s="93"/>
      <c r="E499" s="93"/>
      <c r="F499" s="94"/>
      <c r="G499" s="93"/>
      <c r="H499" s="93"/>
    </row>
    <row r="500" spans="2:8" s="131" customFormat="1">
      <c r="B500" s="89"/>
      <c r="C500" s="89"/>
      <c r="D500" s="93"/>
      <c r="E500" s="93"/>
      <c r="F500" s="94"/>
      <c r="G500" s="93"/>
      <c r="H500" s="93"/>
    </row>
    <row r="501" spans="2:8" s="131" customFormat="1">
      <c r="B501" s="89"/>
      <c r="C501" s="89"/>
      <c r="D501" s="93"/>
      <c r="E501" s="93"/>
      <c r="F501" s="94"/>
      <c r="G501" s="93"/>
      <c r="H501" s="93"/>
    </row>
    <row r="502" spans="2:8" s="131" customFormat="1">
      <c r="B502" s="89"/>
      <c r="C502" s="89"/>
      <c r="D502" s="93"/>
      <c r="E502" s="93"/>
      <c r="F502" s="94"/>
      <c r="G502" s="93"/>
      <c r="H502" s="93"/>
    </row>
  </sheetData>
  <autoFilter ref="A4:X451" xr:uid="{85B6E963-2664-4494-AE6E-E89C8C9EB8F2}">
    <sortState xmlns:xlrd2="http://schemas.microsoft.com/office/spreadsheetml/2017/richdata2" ref="A21:X442">
      <sortCondition ref="A4:A443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baseColWidth="10" defaultColWidth="8.83203125" defaultRowHeight="15"/>
  <cols>
    <col min="1" max="1" width="9.5" style="7" customWidth="1"/>
    <col min="2" max="2" width="10.6640625" style="7" bestFit="1" customWidth="1"/>
    <col min="3" max="3" width="13.5" style="5" bestFit="1" customWidth="1"/>
    <col min="4" max="4" width="24.1640625" style="5" customWidth="1"/>
    <col min="5" max="5" width="28.83203125" style="6" customWidth="1"/>
    <col min="6" max="6" width="39.6640625" style="7" customWidth="1"/>
    <col min="7" max="7" width="35.5" style="5" customWidth="1"/>
    <col min="8" max="253" width="8.83203125" style="5"/>
    <col min="254" max="254" width="8.83203125" style="5" customWidth="1"/>
    <col min="255" max="255" width="10.5" style="5" customWidth="1"/>
    <col min="256" max="256" width="22.1640625" style="5" customWidth="1"/>
    <col min="257" max="257" width="18.6640625" style="5" bestFit="1" customWidth="1"/>
    <col min="258" max="258" width="7.5" style="5" customWidth="1"/>
    <col min="259" max="259" width="6.83203125" style="5" customWidth="1"/>
    <col min="260" max="260" width="7.5" style="5" customWidth="1"/>
    <col min="261" max="261" width="19.1640625" style="5" bestFit="1" customWidth="1"/>
    <col min="262" max="262" width="19.33203125" style="5" customWidth="1"/>
    <col min="263" max="509" width="8.83203125" style="5"/>
    <col min="510" max="510" width="8.83203125" style="5" customWidth="1"/>
    <col min="511" max="511" width="10.5" style="5" customWidth="1"/>
    <col min="512" max="512" width="22.1640625" style="5" customWidth="1"/>
    <col min="513" max="513" width="18.6640625" style="5" bestFit="1" customWidth="1"/>
    <col min="514" max="514" width="7.5" style="5" customWidth="1"/>
    <col min="515" max="515" width="6.83203125" style="5" customWidth="1"/>
    <col min="516" max="516" width="7.5" style="5" customWidth="1"/>
    <col min="517" max="517" width="19.1640625" style="5" bestFit="1" customWidth="1"/>
    <col min="518" max="518" width="19.33203125" style="5" customWidth="1"/>
    <col min="519" max="765" width="8.83203125" style="5"/>
    <col min="766" max="766" width="8.83203125" style="5" customWidth="1"/>
    <col min="767" max="767" width="10.5" style="5" customWidth="1"/>
    <col min="768" max="768" width="22.1640625" style="5" customWidth="1"/>
    <col min="769" max="769" width="18.6640625" style="5" bestFit="1" customWidth="1"/>
    <col min="770" max="770" width="7.5" style="5" customWidth="1"/>
    <col min="771" max="771" width="6.83203125" style="5" customWidth="1"/>
    <col min="772" max="772" width="7.5" style="5" customWidth="1"/>
    <col min="773" max="773" width="19.1640625" style="5" bestFit="1" customWidth="1"/>
    <col min="774" max="774" width="19.33203125" style="5" customWidth="1"/>
    <col min="775" max="1021" width="8.83203125" style="5"/>
    <col min="1022" max="1022" width="8.83203125" style="5" customWidth="1"/>
    <col min="1023" max="1023" width="10.5" style="5" customWidth="1"/>
    <col min="1024" max="1024" width="22.1640625" style="5" customWidth="1"/>
    <col min="1025" max="1025" width="18.6640625" style="5" bestFit="1" customWidth="1"/>
    <col min="1026" max="1026" width="7.5" style="5" customWidth="1"/>
    <col min="1027" max="1027" width="6.83203125" style="5" customWidth="1"/>
    <col min="1028" max="1028" width="7.5" style="5" customWidth="1"/>
    <col min="1029" max="1029" width="19.1640625" style="5" bestFit="1" customWidth="1"/>
    <col min="1030" max="1030" width="19.33203125" style="5" customWidth="1"/>
    <col min="1031" max="1277" width="8.83203125" style="5"/>
    <col min="1278" max="1278" width="8.83203125" style="5" customWidth="1"/>
    <col min="1279" max="1279" width="10.5" style="5" customWidth="1"/>
    <col min="1280" max="1280" width="22.1640625" style="5" customWidth="1"/>
    <col min="1281" max="1281" width="18.6640625" style="5" bestFit="1" customWidth="1"/>
    <col min="1282" max="1282" width="7.5" style="5" customWidth="1"/>
    <col min="1283" max="1283" width="6.83203125" style="5" customWidth="1"/>
    <col min="1284" max="1284" width="7.5" style="5" customWidth="1"/>
    <col min="1285" max="1285" width="19.1640625" style="5" bestFit="1" customWidth="1"/>
    <col min="1286" max="1286" width="19.33203125" style="5" customWidth="1"/>
    <col min="1287" max="1533" width="8.83203125" style="5"/>
    <col min="1534" max="1534" width="8.83203125" style="5" customWidth="1"/>
    <col min="1535" max="1535" width="10.5" style="5" customWidth="1"/>
    <col min="1536" max="1536" width="22.1640625" style="5" customWidth="1"/>
    <col min="1537" max="1537" width="18.6640625" style="5" bestFit="1" customWidth="1"/>
    <col min="1538" max="1538" width="7.5" style="5" customWidth="1"/>
    <col min="1539" max="1539" width="6.83203125" style="5" customWidth="1"/>
    <col min="1540" max="1540" width="7.5" style="5" customWidth="1"/>
    <col min="1541" max="1541" width="19.1640625" style="5" bestFit="1" customWidth="1"/>
    <col min="1542" max="1542" width="19.33203125" style="5" customWidth="1"/>
    <col min="1543" max="1789" width="8.83203125" style="5"/>
    <col min="1790" max="1790" width="8.83203125" style="5" customWidth="1"/>
    <col min="1791" max="1791" width="10.5" style="5" customWidth="1"/>
    <col min="1792" max="1792" width="22.1640625" style="5" customWidth="1"/>
    <col min="1793" max="1793" width="18.6640625" style="5" bestFit="1" customWidth="1"/>
    <col min="1794" max="1794" width="7.5" style="5" customWidth="1"/>
    <col min="1795" max="1795" width="6.83203125" style="5" customWidth="1"/>
    <col min="1796" max="1796" width="7.5" style="5" customWidth="1"/>
    <col min="1797" max="1797" width="19.1640625" style="5" bestFit="1" customWidth="1"/>
    <col min="1798" max="1798" width="19.33203125" style="5" customWidth="1"/>
    <col min="1799" max="2045" width="8.83203125" style="5"/>
    <col min="2046" max="2046" width="8.83203125" style="5" customWidth="1"/>
    <col min="2047" max="2047" width="10.5" style="5" customWidth="1"/>
    <col min="2048" max="2048" width="22.1640625" style="5" customWidth="1"/>
    <col min="2049" max="2049" width="18.6640625" style="5" bestFit="1" customWidth="1"/>
    <col min="2050" max="2050" width="7.5" style="5" customWidth="1"/>
    <col min="2051" max="2051" width="6.83203125" style="5" customWidth="1"/>
    <col min="2052" max="2052" width="7.5" style="5" customWidth="1"/>
    <col min="2053" max="2053" width="19.1640625" style="5" bestFit="1" customWidth="1"/>
    <col min="2054" max="2054" width="19.33203125" style="5" customWidth="1"/>
    <col min="2055" max="2301" width="8.83203125" style="5"/>
    <col min="2302" max="2302" width="8.83203125" style="5" customWidth="1"/>
    <col min="2303" max="2303" width="10.5" style="5" customWidth="1"/>
    <col min="2304" max="2304" width="22.1640625" style="5" customWidth="1"/>
    <col min="2305" max="2305" width="18.6640625" style="5" bestFit="1" customWidth="1"/>
    <col min="2306" max="2306" width="7.5" style="5" customWidth="1"/>
    <col min="2307" max="2307" width="6.83203125" style="5" customWidth="1"/>
    <col min="2308" max="2308" width="7.5" style="5" customWidth="1"/>
    <col min="2309" max="2309" width="19.1640625" style="5" bestFit="1" customWidth="1"/>
    <col min="2310" max="2310" width="19.33203125" style="5" customWidth="1"/>
    <col min="2311" max="2557" width="8.83203125" style="5"/>
    <col min="2558" max="2558" width="8.83203125" style="5" customWidth="1"/>
    <col min="2559" max="2559" width="10.5" style="5" customWidth="1"/>
    <col min="2560" max="2560" width="22.1640625" style="5" customWidth="1"/>
    <col min="2561" max="2561" width="18.6640625" style="5" bestFit="1" customWidth="1"/>
    <col min="2562" max="2562" width="7.5" style="5" customWidth="1"/>
    <col min="2563" max="2563" width="6.83203125" style="5" customWidth="1"/>
    <col min="2564" max="2564" width="7.5" style="5" customWidth="1"/>
    <col min="2565" max="2565" width="19.1640625" style="5" bestFit="1" customWidth="1"/>
    <col min="2566" max="2566" width="19.33203125" style="5" customWidth="1"/>
    <col min="2567" max="2813" width="8.83203125" style="5"/>
    <col min="2814" max="2814" width="8.83203125" style="5" customWidth="1"/>
    <col min="2815" max="2815" width="10.5" style="5" customWidth="1"/>
    <col min="2816" max="2816" width="22.1640625" style="5" customWidth="1"/>
    <col min="2817" max="2817" width="18.6640625" style="5" bestFit="1" customWidth="1"/>
    <col min="2818" max="2818" width="7.5" style="5" customWidth="1"/>
    <col min="2819" max="2819" width="6.83203125" style="5" customWidth="1"/>
    <col min="2820" max="2820" width="7.5" style="5" customWidth="1"/>
    <col min="2821" max="2821" width="19.1640625" style="5" bestFit="1" customWidth="1"/>
    <col min="2822" max="2822" width="19.33203125" style="5" customWidth="1"/>
    <col min="2823" max="3069" width="8.83203125" style="5"/>
    <col min="3070" max="3070" width="8.83203125" style="5" customWidth="1"/>
    <col min="3071" max="3071" width="10.5" style="5" customWidth="1"/>
    <col min="3072" max="3072" width="22.1640625" style="5" customWidth="1"/>
    <col min="3073" max="3073" width="18.6640625" style="5" bestFit="1" customWidth="1"/>
    <col min="3074" max="3074" width="7.5" style="5" customWidth="1"/>
    <col min="3075" max="3075" width="6.83203125" style="5" customWidth="1"/>
    <col min="3076" max="3076" width="7.5" style="5" customWidth="1"/>
    <col min="3077" max="3077" width="19.1640625" style="5" bestFit="1" customWidth="1"/>
    <col min="3078" max="3078" width="19.33203125" style="5" customWidth="1"/>
    <col min="3079" max="3325" width="8.83203125" style="5"/>
    <col min="3326" max="3326" width="8.83203125" style="5" customWidth="1"/>
    <col min="3327" max="3327" width="10.5" style="5" customWidth="1"/>
    <col min="3328" max="3328" width="22.1640625" style="5" customWidth="1"/>
    <col min="3329" max="3329" width="18.6640625" style="5" bestFit="1" customWidth="1"/>
    <col min="3330" max="3330" width="7.5" style="5" customWidth="1"/>
    <col min="3331" max="3331" width="6.83203125" style="5" customWidth="1"/>
    <col min="3332" max="3332" width="7.5" style="5" customWidth="1"/>
    <col min="3333" max="3333" width="19.1640625" style="5" bestFit="1" customWidth="1"/>
    <col min="3334" max="3334" width="19.33203125" style="5" customWidth="1"/>
    <col min="3335" max="3581" width="8.83203125" style="5"/>
    <col min="3582" max="3582" width="8.83203125" style="5" customWidth="1"/>
    <col min="3583" max="3583" width="10.5" style="5" customWidth="1"/>
    <col min="3584" max="3584" width="22.1640625" style="5" customWidth="1"/>
    <col min="3585" max="3585" width="18.6640625" style="5" bestFit="1" customWidth="1"/>
    <col min="3586" max="3586" width="7.5" style="5" customWidth="1"/>
    <col min="3587" max="3587" width="6.83203125" style="5" customWidth="1"/>
    <col min="3588" max="3588" width="7.5" style="5" customWidth="1"/>
    <col min="3589" max="3589" width="19.1640625" style="5" bestFit="1" customWidth="1"/>
    <col min="3590" max="3590" width="19.33203125" style="5" customWidth="1"/>
    <col min="3591" max="3837" width="8.83203125" style="5"/>
    <col min="3838" max="3838" width="8.83203125" style="5" customWidth="1"/>
    <col min="3839" max="3839" width="10.5" style="5" customWidth="1"/>
    <col min="3840" max="3840" width="22.1640625" style="5" customWidth="1"/>
    <col min="3841" max="3841" width="18.6640625" style="5" bestFit="1" customWidth="1"/>
    <col min="3842" max="3842" width="7.5" style="5" customWidth="1"/>
    <col min="3843" max="3843" width="6.83203125" style="5" customWidth="1"/>
    <col min="3844" max="3844" width="7.5" style="5" customWidth="1"/>
    <col min="3845" max="3845" width="19.1640625" style="5" bestFit="1" customWidth="1"/>
    <col min="3846" max="3846" width="19.33203125" style="5" customWidth="1"/>
    <col min="3847" max="4093" width="8.83203125" style="5"/>
    <col min="4094" max="4094" width="8.83203125" style="5" customWidth="1"/>
    <col min="4095" max="4095" width="10.5" style="5" customWidth="1"/>
    <col min="4096" max="4096" width="22.1640625" style="5" customWidth="1"/>
    <col min="4097" max="4097" width="18.6640625" style="5" bestFit="1" customWidth="1"/>
    <col min="4098" max="4098" width="7.5" style="5" customWidth="1"/>
    <col min="4099" max="4099" width="6.83203125" style="5" customWidth="1"/>
    <col min="4100" max="4100" width="7.5" style="5" customWidth="1"/>
    <col min="4101" max="4101" width="19.1640625" style="5" bestFit="1" customWidth="1"/>
    <col min="4102" max="4102" width="19.33203125" style="5" customWidth="1"/>
    <col min="4103" max="4349" width="8.83203125" style="5"/>
    <col min="4350" max="4350" width="8.83203125" style="5" customWidth="1"/>
    <col min="4351" max="4351" width="10.5" style="5" customWidth="1"/>
    <col min="4352" max="4352" width="22.1640625" style="5" customWidth="1"/>
    <col min="4353" max="4353" width="18.6640625" style="5" bestFit="1" customWidth="1"/>
    <col min="4354" max="4354" width="7.5" style="5" customWidth="1"/>
    <col min="4355" max="4355" width="6.83203125" style="5" customWidth="1"/>
    <col min="4356" max="4356" width="7.5" style="5" customWidth="1"/>
    <col min="4357" max="4357" width="19.1640625" style="5" bestFit="1" customWidth="1"/>
    <col min="4358" max="4358" width="19.33203125" style="5" customWidth="1"/>
    <col min="4359" max="4605" width="8.83203125" style="5"/>
    <col min="4606" max="4606" width="8.83203125" style="5" customWidth="1"/>
    <col min="4607" max="4607" width="10.5" style="5" customWidth="1"/>
    <col min="4608" max="4608" width="22.1640625" style="5" customWidth="1"/>
    <col min="4609" max="4609" width="18.6640625" style="5" bestFit="1" customWidth="1"/>
    <col min="4610" max="4610" width="7.5" style="5" customWidth="1"/>
    <col min="4611" max="4611" width="6.83203125" style="5" customWidth="1"/>
    <col min="4612" max="4612" width="7.5" style="5" customWidth="1"/>
    <col min="4613" max="4613" width="19.1640625" style="5" bestFit="1" customWidth="1"/>
    <col min="4614" max="4614" width="19.33203125" style="5" customWidth="1"/>
    <col min="4615" max="4861" width="8.83203125" style="5"/>
    <col min="4862" max="4862" width="8.83203125" style="5" customWidth="1"/>
    <col min="4863" max="4863" width="10.5" style="5" customWidth="1"/>
    <col min="4864" max="4864" width="22.1640625" style="5" customWidth="1"/>
    <col min="4865" max="4865" width="18.6640625" style="5" bestFit="1" customWidth="1"/>
    <col min="4866" max="4866" width="7.5" style="5" customWidth="1"/>
    <col min="4867" max="4867" width="6.83203125" style="5" customWidth="1"/>
    <col min="4868" max="4868" width="7.5" style="5" customWidth="1"/>
    <col min="4869" max="4869" width="19.1640625" style="5" bestFit="1" customWidth="1"/>
    <col min="4870" max="4870" width="19.33203125" style="5" customWidth="1"/>
    <col min="4871" max="5117" width="8.83203125" style="5"/>
    <col min="5118" max="5118" width="8.83203125" style="5" customWidth="1"/>
    <col min="5119" max="5119" width="10.5" style="5" customWidth="1"/>
    <col min="5120" max="5120" width="22.1640625" style="5" customWidth="1"/>
    <col min="5121" max="5121" width="18.6640625" style="5" bestFit="1" customWidth="1"/>
    <col min="5122" max="5122" width="7.5" style="5" customWidth="1"/>
    <col min="5123" max="5123" width="6.83203125" style="5" customWidth="1"/>
    <col min="5124" max="5124" width="7.5" style="5" customWidth="1"/>
    <col min="5125" max="5125" width="19.1640625" style="5" bestFit="1" customWidth="1"/>
    <col min="5126" max="5126" width="19.33203125" style="5" customWidth="1"/>
    <col min="5127" max="5373" width="8.83203125" style="5"/>
    <col min="5374" max="5374" width="8.83203125" style="5" customWidth="1"/>
    <col min="5375" max="5375" width="10.5" style="5" customWidth="1"/>
    <col min="5376" max="5376" width="22.1640625" style="5" customWidth="1"/>
    <col min="5377" max="5377" width="18.6640625" style="5" bestFit="1" customWidth="1"/>
    <col min="5378" max="5378" width="7.5" style="5" customWidth="1"/>
    <col min="5379" max="5379" width="6.83203125" style="5" customWidth="1"/>
    <col min="5380" max="5380" width="7.5" style="5" customWidth="1"/>
    <col min="5381" max="5381" width="19.1640625" style="5" bestFit="1" customWidth="1"/>
    <col min="5382" max="5382" width="19.33203125" style="5" customWidth="1"/>
    <col min="5383" max="5629" width="8.83203125" style="5"/>
    <col min="5630" max="5630" width="8.83203125" style="5" customWidth="1"/>
    <col min="5631" max="5631" width="10.5" style="5" customWidth="1"/>
    <col min="5632" max="5632" width="22.1640625" style="5" customWidth="1"/>
    <col min="5633" max="5633" width="18.6640625" style="5" bestFit="1" customWidth="1"/>
    <col min="5634" max="5634" width="7.5" style="5" customWidth="1"/>
    <col min="5635" max="5635" width="6.83203125" style="5" customWidth="1"/>
    <col min="5636" max="5636" width="7.5" style="5" customWidth="1"/>
    <col min="5637" max="5637" width="19.1640625" style="5" bestFit="1" customWidth="1"/>
    <col min="5638" max="5638" width="19.33203125" style="5" customWidth="1"/>
    <col min="5639" max="5885" width="8.83203125" style="5"/>
    <col min="5886" max="5886" width="8.83203125" style="5" customWidth="1"/>
    <col min="5887" max="5887" width="10.5" style="5" customWidth="1"/>
    <col min="5888" max="5888" width="22.1640625" style="5" customWidth="1"/>
    <col min="5889" max="5889" width="18.6640625" style="5" bestFit="1" customWidth="1"/>
    <col min="5890" max="5890" width="7.5" style="5" customWidth="1"/>
    <col min="5891" max="5891" width="6.83203125" style="5" customWidth="1"/>
    <col min="5892" max="5892" width="7.5" style="5" customWidth="1"/>
    <col min="5893" max="5893" width="19.1640625" style="5" bestFit="1" customWidth="1"/>
    <col min="5894" max="5894" width="19.33203125" style="5" customWidth="1"/>
    <col min="5895" max="6141" width="8.83203125" style="5"/>
    <col min="6142" max="6142" width="8.83203125" style="5" customWidth="1"/>
    <col min="6143" max="6143" width="10.5" style="5" customWidth="1"/>
    <col min="6144" max="6144" width="22.1640625" style="5" customWidth="1"/>
    <col min="6145" max="6145" width="18.6640625" style="5" bestFit="1" customWidth="1"/>
    <col min="6146" max="6146" width="7.5" style="5" customWidth="1"/>
    <col min="6147" max="6147" width="6.83203125" style="5" customWidth="1"/>
    <col min="6148" max="6148" width="7.5" style="5" customWidth="1"/>
    <col min="6149" max="6149" width="19.1640625" style="5" bestFit="1" customWidth="1"/>
    <col min="6150" max="6150" width="19.33203125" style="5" customWidth="1"/>
    <col min="6151" max="6397" width="8.83203125" style="5"/>
    <col min="6398" max="6398" width="8.83203125" style="5" customWidth="1"/>
    <col min="6399" max="6399" width="10.5" style="5" customWidth="1"/>
    <col min="6400" max="6400" width="22.1640625" style="5" customWidth="1"/>
    <col min="6401" max="6401" width="18.6640625" style="5" bestFit="1" customWidth="1"/>
    <col min="6402" max="6402" width="7.5" style="5" customWidth="1"/>
    <col min="6403" max="6403" width="6.83203125" style="5" customWidth="1"/>
    <col min="6404" max="6404" width="7.5" style="5" customWidth="1"/>
    <col min="6405" max="6405" width="19.1640625" style="5" bestFit="1" customWidth="1"/>
    <col min="6406" max="6406" width="19.33203125" style="5" customWidth="1"/>
    <col min="6407" max="6653" width="8.83203125" style="5"/>
    <col min="6654" max="6654" width="8.83203125" style="5" customWidth="1"/>
    <col min="6655" max="6655" width="10.5" style="5" customWidth="1"/>
    <col min="6656" max="6656" width="22.1640625" style="5" customWidth="1"/>
    <col min="6657" max="6657" width="18.6640625" style="5" bestFit="1" customWidth="1"/>
    <col min="6658" max="6658" width="7.5" style="5" customWidth="1"/>
    <col min="6659" max="6659" width="6.83203125" style="5" customWidth="1"/>
    <col min="6660" max="6660" width="7.5" style="5" customWidth="1"/>
    <col min="6661" max="6661" width="19.1640625" style="5" bestFit="1" customWidth="1"/>
    <col min="6662" max="6662" width="19.33203125" style="5" customWidth="1"/>
    <col min="6663" max="6909" width="8.83203125" style="5"/>
    <col min="6910" max="6910" width="8.83203125" style="5" customWidth="1"/>
    <col min="6911" max="6911" width="10.5" style="5" customWidth="1"/>
    <col min="6912" max="6912" width="22.1640625" style="5" customWidth="1"/>
    <col min="6913" max="6913" width="18.6640625" style="5" bestFit="1" customWidth="1"/>
    <col min="6914" max="6914" width="7.5" style="5" customWidth="1"/>
    <col min="6915" max="6915" width="6.83203125" style="5" customWidth="1"/>
    <col min="6916" max="6916" width="7.5" style="5" customWidth="1"/>
    <col min="6917" max="6917" width="19.1640625" style="5" bestFit="1" customWidth="1"/>
    <col min="6918" max="6918" width="19.33203125" style="5" customWidth="1"/>
    <col min="6919" max="7165" width="8.83203125" style="5"/>
    <col min="7166" max="7166" width="8.83203125" style="5" customWidth="1"/>
    <col min="7167" max="7167" width="10.5" style="5" customWidth="1"/>
    <col min="7168" max="7168" width="22.1640625" style="5" customWidth="1"/>
    <col min="7169" max="7169" width="18.6640625" style="5" bestFit="1" customWidth="1"/>
    <col min="7170" max="7170" width="7.5" style="5" customWidth="1"/>
    <col min="7171" max="7171" width="6.83203125" style="5" customWidth="1"/>
    <col min="7172" max="7172" width="7.5" style="5" customWidth="1"/>
    <col min="7173" max="7173" width="19.1640625" style="5" bestFit="1" customWidth="1"/>
    <col min="7174" max="7174" width="19.33203125" style="5" customWidth="1"/>
    <col min="7175" max="7421" width="8.83203125" style="5"/>
    <col min="7422" max="7422" width="8.83203125" style="5" customWidth="1"/>
    <col min="7423" max="7423" width="10.5" style="5" customWidth="1"/>
    <col min="7424" max="7424" width="22.1640625" style="5" customWidth="1"/>
    <col min="7425" max="7425" width="18.6640625" style="5" bestFit="1" customWidth="1"/>
    <col min="7426" max="7426" width="7.5" style="5" customWidth="1"/>
    <col min="7427" max="7427" width="6.83203125" style="5" customWidth="1"/>
    <col min="7428" max="7428" width="7.5" style="5" customWidth="1"/>
    <col min="7429" max="7429" width="19.1640625" style="5" bestFit="1" customWidth="1"/>
    <col min="7430" max="7430" width="19.33203125" style="5" customWidth="1"/>
    <col min="7431" max="7677" width="8.83203125" style="5"/>
    <col min="7678" max="7678" width="8.83203125" style="5" customWidth="1"/>
    <col min="7679" max="7679" width="10.5" style="5" customWidth="1"/>
    <col min="7680" max="7680" width="22.1640625" style="5" customWidth="1"/>
    <col min="7681" max="7681" width="18.6640625" style="5" bestFit="1" customWidth="1"/>
    <col min="7682" max="7682" width="7.5" style="5" customWidth="1"/>
    <col min="7683" max="7683" width="6.83203125" style="5" customWidth="1"/>
    <col min="7684" max="7684" width="7.5" style="5" customWidth="1"/>
    <col min="7685" max="7685" width="19.1640625" style="5" bestFit="1" customWidth="1"/>
    <col min="7686" max="7686" width="19.33203125" style="5" customWidth="1"/>
    <col min="7687" max="7933" width="8.83203125" style="5"/>
    <col min="7934" max="7934" width="8.83203125" style="5" customWidth="1"/>
    <col min="7935" max="7935" width="10.5" style="5" customWidth="1"/>
    <col min="7936" max="7936" width="22.1640625" style="5" customWidth="1"/>
    <col min="7937" max="7937" width="18.6640625" style="5" bestFit="1" customWidth="1"/>
    <col min="7938" max="7938" width="7.5" style="5" customWidth="1"/>
    <col min="7939" max="7939" width="6.83203125" style="5" customWidth="1"/>
    <col min="7940" max="7940" width="7.5" style="5" customWidth="1"/>
    <col min="7941" max="7941" width="19.1640625" style="5" bestFit="1" customWidth="1"/>
    <col min="7942" max="7942" width="19.33203125" style="5" customWidth="1"/>
    <col min="7943" max="8189" width="8.83203125" style="5"/>
    <col min="8190" max="8190" width="8.83203125" style="5" customWidth="1"/>
    <col min="8191" max="8191" width="10.5" style="5" customWidth="1"/>
    <col min="8192" max="8192" width="22.1640625" style="5" customWidth="1"/>
    <col min="8193" max="8193" width="18.6640625" style="5" bestFit="1" customWidth="1"/>
    <col min="8194" max="8194" width="7.5" style="5" customWidth="1"/>
    <col min="8195" max="8195" width="6.83203125" style="5" customWidth="1"/>
    <col min="8196" max="8196" width="7.5" style="5" customWidth="1"/>
    <col min="8197" max="8197" width="19.1640625" style="5" bestFit="1" customWidth="1"/>
    <col min="8198" max="8198" width="19.33203125" style="5" customWidth="1"/>
    <col min="8199" max="8445" width="8.83203125" style="5"/>
    <col min="8446" max="8446" width="8.83203125" style="5" customWidth="1"/>
    <col min="8447" max="8447" width="10.5" style="5" customWidth="1"/>
    <col min="8448" max="8448" width="22.1640625" style="5" customWidth="1"/>
    <col min="8449" max="8449" width="18.6640625" style="5" bestFit="1" customWidth="1"/>
    <col min="8450" max="8450" width="7.5" style="5" customWidth="1"/>
    <col min="8451" max="8451" width="6.83203125" style="5" customWidth="1"/>
    <col min="8452" max="8452" width="7.5" style="5" customWidth="1"/>
    <col min="8453" max="8453" width="19.1640625" style="5" bestFit="1" customWidth="1"/>
    <col min="8454" max="8454" width="19.33203125" style="5" customWidth="1"/>
    <col min="8455" max="8701" width="8.83203125" style="5"/>
    <col min="8702" max="8702" width="8.83203125" style="5" customWidth="1"/>
    <col min="8703" max="8703" width="10.5" style="5" customWidth="1"/>
    <col min="8704" max="8704" width="22.1640625" style="5" customWidth="1"/>
    <col min="8705" max="8705" width="18.6640625" style="5" bestFit="1" customWidth="1"/>
    <col min="8706" max="8706" width="7.5" style="5" customWidth="1"/>
    <col min="8707" max="8707" width="6.83203125" style="5" customWidth="1"/>
    <col min="8708" max="8708" width="7.5" style="5" customWidth="1"/>
    <col min="8709" max="8709" width="19.1640625" style="5" bestFit="1" customWidth="1"/>
    <col min="8710" max="8710" width="19.33203125" style="5" customWidth="1"/>
    <col min="8711" max="8957" width="8.83203125" style="5"/>
    <col min="8958" max="8958" width="8.83203125" style="5" customWidth="1"/>
    <col min="8959" max="8959" width="10.5" style="5" customWidth="1"/>
    <col min="8960" max="8960" width="22.1640625" style="5" customWidth="1"/>
    <col min="8961" max="8961" width="18.6640625" style="5" bestFit="1" customWidth="1"/>
    <col min="8962" max="8962" width="7.5" style="5" customWidth="1"/>
    <col min="8963" max="8963" width="6.83203125" style="5" customWidth="1"/>
    <col min="8964" max="8964" width="7.5" style="5" customWidth="1"/>
    <col min="8965" max="8965" width="19.1640625" style="5" bestFit="1" customWidth="1"/>
    <col min="8966" max="8966" width="19.33203125" style="5" customWidth="1"/>
    <col min="8967" max="9213" width="8.83203125" style="5"/>
    <col min="9214" max="9214" width="8.83203125" style="5" customWidth="1"/>
    <col min="9215" max="9215" width="10.5" style="5" customWidth="1"/>
    <col min="9216" max="9216" width="22.1640625" style="5" customWidth="1"/>
    <col min="9217" max="9217" width="18.6640625" style="5" bestFit="1" customWidth="1"/>
    <col min="9218" max="9218" width="7.5" style="5" customWidth="1"/>
    <col min="9219" max="9219" width="6.83203125" style="5" customWidth="1"/>
    <col min="9220" max="9220" width="7.5" style="5" customWidth="1"/>
    <col min="9221" max="9221" width="19.1640625" style="5" bestFit="1" customWidth="1"/>
    <col min="9222" max="9222" width="19.33203125" style="5" customWidth="1"/>
    <col min="9223" max="9469" width="8.83203125" style="5"/>
    <col min="9470" max="9470" width="8.83203125" style="5" customWidth="1"/>
    <col min="9471" max="9471" width="10.5" style="5" customWidth="1"/>
    <col min="9472" max="9472" width="22.1640625" style="5" customWidth="1"/>
    <col min="9473" max="9473" width="18.6640625" style="5" bestFit="1" customWidth="1"/>
    <col min="9474" max="9474" width="7.5" style="5" customWidth="1"/>
    <col min="9475" max="9475" width="6.83203125" style="5" customWidth="1"/>
    <col min="9476" max="9476" width="7.5" style="5" customWidth="1"/>
    <col min="9477" max="9477" width="19.1640625" style="5" bestFit="1" customWidth="1"/>
    <col min="9478" max="9478" width="19.33203125" style="5" customWidth="1"/>
    <col min="9479" max="9725" width="8.83203125" style="5"/>
    <col min="9726" max="9726" width="8.83203125" style="5" customWidth="1"/>
    <col min="9727" max="9727" width="10.5" style="5" customWidth="1"/>
    <col min="9728" max="9728" width="22.1640625" style="5" customWidth="1"/>
    <col min="9729" max="9729" width="18.6640625" style="5" bestFit="1" customWidth="1"/>
    <col min="9730" max="9730" width="7.5" style="5" customWidth="1"/>
    <col min="9731" max="9731" width="6.83203125" style="5" customWidth="1"/>
    <col min="9732" max="9732" width="7.5" style="5" customWidth="1"/>
    <col min="9733" max="9733" width="19.1640625" style="5" bestFit="1" customWidth="1"/>
    <col min="9734" max="9734" width="19.33203125" style="5" customWidth="1"/>
    <col min="9735" max="9981" width="8.83203125" style="5"/>
    <col min="9982" max="9982" width="8.83203125" style="5" customWidth="1"/>
    <col min="9983" max="9983" width="10.5" style="5" customWidth="1"/>
    <col min="9984" max="9984" width="22.1640625" style="5" customWidth="1"/>
    <col min="9985" max="9985" width="18.6640625" style="5" bestFit="1" customWidth="1"/>
    <col min="9986" max="9986" width="7.5" style="5" customWidth="1"/>
    <col min="9987" max="9987" width="6.83203125" style="5" customWidth="1"/>
    <col min="9988" max="9988" width="7.5" style="5" customWidth="1"/>
    <col min="9989" max="9989" width="19.1640625" style="5" bestFit="1" customWidth="1"/>
    <col min="9990" max="9990" width="19.33203125" style="5" customWidth="1"/>
    <col min="9991" max="10237" width="8.83203125" style="5"/>
    <col min="10238" max="10238" width="8.83203125" style="5" customWidth="1"/>
    <col min="10239" max="10239" width="10.5" style="5" customWidth="1"/>
    <col min="10240" max="10240" width="22.1640625" style="5" customWidth="1"/>
    <col min="10241" max="10241" width="18.6640625" style="5" bestFit="1" customWidth="1"/>
    <col min="10242" max="10242" width="7.5" style="5" customWidth="1"/>
    <col min="10243" max="10243" width="6.83203125" style="5" customWidth="1"/>
    <col min="10244" max="10244" width="7.5" style="5" customWidth="1"/>
    <col min="10245" max="10245" width="19.1640625" style="5" bestFit="1" customWidth="1"/>
    <col min="10246" max="10246" width="19.33203125" style="5" customWidth="1"/>
    <col min="10247" max="10493" width="8.83203125" style="5"/>
    <col min="10494" max="10494" width="8.83203125" style="5" customWidth="1"/>
    <col min="10495" max="10495" width="10.5" style="5" customWidth="1"/>
    <col min="10496" max="10496" width="22.1640625" style="5" customWidth="1"/>
    <col min="10497" max="10497" width="18.6640625" style="5" bestFit="1" customWidth="1"/>
    <col min="10498" max="10498" width="7.5" style="5" customWidth="1"/>
    <col min="10499" max="10499" width="6.83203125" style="5" customWidth="1"/>
    <col min="10500" max="10500" width="7.5" style="5" customWidth="1"/>
    <col min="10501" max="10501" width="19.1640625" style="5" bestFit="1" customWidth="1"/>
    <col min="10502" max="10502" width="19.33203125" style="5" customWidth="1"/>
    <col min="10503" max="10749" width="8.83203125" style="5"/>
    <col min="10750" max="10750" width="8.83203125" style="5" customWidth="1"/>
    <col min="10751" max="10751" width="10.5" style="5" customWidth="1"/>
    <col min="10752" max="10752" width="22.1640625" style="5" customWidth="1"/>
    <col min="10753" max="10753" width="18.6640625" style="5" bestFit="1" customWidth="1"/>
    <col min="10754" max="10754" width="7.5" style="5" customWidth="1"/>
    <col min="10755" max="10755" width="6.83203125" style="5" customWidth="1"/>
    <col min="10756" max="10756" width="7.5" style="5" customWidth="1"/>
    <col min="10757" max="10757" width="19.1640625" style="5" bestFit="1" customWidth="1"/>
    <col min="10758" max="10758" width="19.33203125" style="5" customWidth="1"/>
    <col min="10759" max="11005" width="8.83203125" style="5"/>
    <col min="11006" max="11006" width="8.83203125" style="5" customWidth="1"/>
    <col min="11007" max="11007" width="10.5" style="5" customWidth="1"/>
    <col min="11008" max="11008" width="22.1640625" style="5" customWidth="1"/>
    <col min="11009" max="11009" width="18.6640625" style="5" bestFit="1" customWidth="1"/>
    <col min="11010" max="11010" width="7.5" style="5" customWidth="1"/>
    <col min="11011" max="11011" width="6.83203125" style="5" customWidth="1"/>
    <col min="11012" max="11012" width="7.5" style="5" customWidth="1"/>
    <col min="11013" max="11013" width="19.1640625" style="5" bestFit="1" customWidth="1"/>
    <col min="11014" max="11014" width="19.33203125" style="5" customWidth="1"/>
    <col min="11015" max="11261" width="8.83203125" style="5"/>
    <col min="11262" max="11262" width="8.83203125" style="5" customWidth="1"/>
    <col min="11263" max="11263" width="10.5" style="5" customWidth="1"/>
    <col min="11264" max="11264" width="22.1640625" style="5" customWidth="1"/>
    <col min="11265" max="11265" width="18.6640625" style="5" bestFit="1" customWidth="1"/>
    <col min="11266" max="11266" width="7.5" style="5" customWidth="1"/>
    <col min="11267" max="11267" width="6.83203125" style="5" customWidth="1"/>
    <col min="11268" max="11268" width="7.5" style="5" customWidth="1"/>
    <col min="11269" max="11269" width="19.1640625" style="5" bestFit="1" customWidth="1"/>
    <col min="11270" max="11270" width="19.33203125" style="5" customWidth="1"/>
    <col min="11271" max="11517" width="8.83203125" style="5"/>
    <col min="11518" max="11518" width="8.83203125" style="5" customWidth="1"/>
    <col min="11519" max="11519" width="10.5" style="5" customWidth="1"/>
    <col min="11520" max="11520" width="22.1640625" style="5" customWidth="1"/>
    <col min="11521" max="11521" width="18.6640625" style="5" bestFit="1" customWidth="1"/>
    <col min="11522" max="11522" width="7.5" style="5" customWidth="1"/>
    <col min="11523" max="11523" width="6.83203125" style="5" customWidth="1"/>
    <col min="11524" max="11524" width="7.5" style="5" customWidth="1"/>
    <col min="11525" max="11525" width="19.1640625" style="5" bestFit="1" customWidth="1"/>
    <col min="11526" max="11526" width="19.33203125" style="5" customWidth="1"/>
    <col min="11527" max="11773" width="8.83203125" style="5"/>
    <col min="11774" max="11774" width="8.83203125" style="5" customWidth="1"/>
    <col min="11775" max="11775" width="10.5" style="5" customWidth="1"/>
    <col min="11776" max="11776" width="22.1640625" style="5" customWidth="1"/>
    <col min="11777" max="11777" width="18.6640625" style="5" bestFit="1" customWidth="1"/>
    <col min="11778" max="11778" width="7.5" style="5" customWidth="1"/>
    <col min="11779" max="11779" width="6.83203125" style="5" customWidth="1"/>
    <col min="11780" max="11780" width="7.5" style="5" customWidth="1"/>
    <col min="11781" max="11781" width="19.1640625" style="5" bestFit="1" customWidth="1"/>
    <col min="11782" max="11782" width="19.33203125" style="5" customWidth="1"/>
    <col min="11783" max="12029" width="8.83203125" style="5"/>
    <col min="12030" max="12030" width="8.83203125" style="5" customWidth="1"/>
    <col min="12031" max="12031" width="10.5" style="5" customWidth="1"/>
    <col min="12032" max="12032" width="22.1640625" style="5" customWidth="1"/>
    <col min="12033" max="12033" width="18.6640625" style="5" bestFit="1" customWidth="1"/>
    <col min="12034" max="12034" width="7.5" style="5" customWidth="1"/>
    <col min="12035" max="12035" width="6.83203125" style="5" customWidth="1"/>
    <col min="12036" max="12036" width="7.5" style="5" customWidth="1"/>
    <col min="12037" max="12037" width="19.1640625" style="5" bestFit="1" customWidth="1"/>
    <col min="12038" max="12038" width="19.33203125" style="5" customWidth="1"/>
    <col min="12039" max="12285" width="8.83203125" style="5"/>
    <col min="12286" max="12286" width="8.83203125" style="5" customWidth="1"/>
    <col min="12287" max="12287" width="10.5" style="5" customWidth="1"/>
    <col min="12288" max="12288" width="22.1640625" style="5" customWidth="1"/>
    <col min="12289" max="12289" width="18.6640625" style="5" bestFit="1" customWidth="1"/>
    <col min="12290" max="12290" width="7.5" style="5" customWidth="1"/>
    <col min="12291" max="12291" width="6.83203125" style="5" customWidth="1"/>
    <col min="12292" max="12292" width="7.5" style="5" customWidth="1"/>
    <col min="12293" max="12293" width="19.1640625" style="5" bestFit="1" customWidth="1"/>
    <col min="12294" max="12294" width="19.33203125" style="5" customWidth="1"/>
    <col min="12295" max="12541" width="8.83203125" style="5"/>
    <col min="12542" max="12542" width="8.83203125" style="5" customWidth="1"/>
    <col min="12543" max="12543" width="10.5" style="5" customWidth="1"/>
    <col min="12544" max="12544" width="22.1640625" style="5" customWidth="1"/>
    <col min="12545" max="12545" width="18.6640625" style="5" bestFit="1" customWidth="1"/>
    <col min="12546" max="12546" width="7.5" style="5" customWidth="1"/>
    <col min="12547" max="12547" width="6.83203125" style="5" customWidth="1"/>
    <col min="12548" max="12548" width="7.5" style="5" customWidth="1"/>
    <col min="12549" max="12549" width="19.1640625" style="5" bestFit="1" customWidth="1"/>
    <col min="12550" max="12550" width="19.33203125" style="5" customWidth="1"/>
    <col min="12551" max="12797" width="8.83203125" style="5"/>
    <col min="12798" max="12798" width="8.83203125" style="5" customWidth="1"/>
    <col min="12799" max="12799" width="10.5" style="5" customWidth="1"/>
    <col min="12800" max="12800" width="22.1640625" style="5" customWidth="1"/>
    <col min="12801" max="12801" width="18.6640625" style="5" bestFit="1" customWidth="1"/>
    <col min="12802" max="12802" width="7.5" style="5" customWidth="1"/>
    <col min="12803" max="12803" width="6.83203125" style="5" customWidth="1"/>
    <col min="12804" max="12804" width="7.5" style="5" customWidth="1"/>
    <col min="12805" max="12805" width="19.1640625" style="5" bestFit="1" customWidth="1"/>
    <col min="12806" max="12806" width="19.33203125" style="5" customWidth="1"/>
    <col min="12807" max="13053" width="8.83203125" style="5"/>
    <col min="13054" max="13054" width="8.83203125" style="5" customWidth="1"/>
    <col min="13055" max="13055" width="10.5" style="5" customWidth="1"/>
    <col min="13056" max="13056" width="22.1640625" style="5" customWidth="1"/>
    <col min="13057" max="13057" width="18.6640625" style="5" bestFit="1" customWidth="1"/>
    <col min="13058" max="13058" width="7.5" style="5" customWidth="1"/>
    <col min="13059" max="13059" width="6.83203125" style="5" customWidth="1"/>
    <col min="13060" max="13060" width="7.5" style="5" customWidth="1"/>
    <col min="13061" max="13061" width="19.1640625" style="5" bestFit="1" customWidth="1"/>
    <col min="13062" max="13062" width="19.33203125" style="5" customWidth="1"/>
    <col min="13063" max="13309" width="8.83203125" style="5"/>
    <col min="13310" max="13310" width="8.83203125" style="5" customWidth="1"/>
    <col min="13311" max="13311" width="10.5" style="5" customWidth="1"/>
    <col min="13312" max="13312" width="22.1640625" style="5" customWidth="1"/>
    <col min="13313" max="13313" width="18.6640625" style="5" bestFit="1" customWidth="1"/>
    <col min="13314" max="13314" width="7.5" style="5" customWidth="1"/>
    <col min="13315" max="13315" width="6.83203125" style="5" customWidth="1"/>
    <col min="13316" max="13316" width="7.5" style="5" customWidth="1"/>
    <col min="13317" max="13317" width="19.1640625" style="5" bestFit="1" customWidth="1"/>
    <col min="13318" max="13318" width="19.33203125" style="5" customWidth="1"/>
    <col min="13319" max="13565" width="8.83203125" style="5"/>
    <col min="13566" max="13566" width="8.83203125" style="5" customWidth="1"/>
    <col min="13567" max="13567" width="10.5" style="5" customWidth="1"/>
    <col min="13568" max="13568" width="22.1640625" style="5" customWidth="1"/>
    <col min="13569" max="13569" width="18.6640625" style="5" bestFit="1" customWidth="1"/>
    <col min="13570" max="13570" width="7.5" style="5" customWidth="1"/>
    <col min="13571" max="13571" width="6.83203125" style="5" customWidth="1"/>
    <col min="13572" max="13572" width="7.5" style="5" customWidth="1"/>
    <col min="13573" max="13573" width="19.1640625" style="5" bestFit="1" customWidth="1"/>
    <col min="13574" max="13574" width="19.33203125" style="5" customWidth="1"/>
    <col min="13575" max="13821" width="8.83203125" style="5"/>
    <col min="13822" max="13822" width="8.83203125" style="5" customWidth="1"/>
    <col min="13823" max="13823" width="10.5" style="5" customWidth="1"/>
    <col min="13824" max="13824" width="22.1640625" style="5" customWidth="1"/>
    <col min="13825" max="13825" width="18.6640625" style="5" bestFit="1" customWidth="1"/>
    <col min="13826" max="13826" width="7.5" style="5" customWidth="1"/>
    <col min="13827" max="13827" width="6.83203125" style="5" customWidth="1"/>
    <col min="13828" max="13828" width="7.5" style="5" customWidth="1"/>
    <col min="13829" max="13829" width="19.1640625" style="5" bestFit="1" customWidth="1"/>
    <col min="13830" max="13830" width="19.33203125" style="5" customWidth="1"/>
    <col min="13831" max="14077" width="8.83203125" style="5"/>
    <col min="14078" max="14078" width="8.83203125" style="5" customWidth="1"/>
    <col min="14079" max="14079" width="10.5" style="5" customWidth="1"/>
    <col min="14080" max="14080" width="22.1640625" style="5" customWidth="1"/>
    <col min="14081" max="14081" width="18.6640625" style="5" bestFit="1" customWidth="1"/>
    <col min="14082" max="14082" width="7.5" style="5" customWidth="1"/>
    <col min="14083" max="14083" width="6.83203125" style="5" customWidth="1"/>
    <col min="14084" max="14084" width="7.5" style="5" customWidth="1"/>
    <col min="14085" max="14085" width="19.1640625" style="5" bestFit="1" customWidth="1"/>
    <col min="14086" max="14086" width="19.33203125" style="5" customWidth="1"/>
    <col min="14087" max="14333" width="8.83203125" style="5"/>
    <col min="14334" max="14334" width="8.83203125" style="5" customWidth="1"/>
    <col min="14335" max="14335" width="10.5" style="5" customWidth="1"/>
    <col min="14336" max="14336" width="22.1640625" style="5" customWidth="1"/>
    <col min="14337" max="14337" width="18.6640625" style="5" bestFit="1" customWidth="1"/>
    <col min="14338" max="14338" width="7.5" style="5" customWidth="1"/>
    <col min="14339" max="14339" width="6.83203125" style="5" customWidth="1"/>
    <col min="14340" max="14340" width="7.5" style="5" customWidth="1"/>
    <col min="14341" max="14341" width="19.1640625" style="5" bestFit="1" customWidth="1"/>
    <col min="14342" max="14342" width="19.33203125" style="5" customWidth="1"/>
    <col min="14343" max="14589" width="8.83203125" style="5"/>
    <col min="14590" max="14590" width="8.83203125" style="5" customWidth="1"/>
    <col min="14591" max="14591" width="10.5" style="5" customWidth="1"/>
    <col min="14592" max="14592" width="22.1640625" style="5" customWidth="1"/>
    <col min="14593" max="14593" width="18.6640625" style="5" bestFit="1" customWidth="1"/>
    <col min="14594" max="14594" width="7.5" style="5" customWidth="1"/>
    <col min="14595" max="14595" width="6.83203125" style="5" customWidth="1"/>
    <col min="14596" max="14596" width="7.5" style="5" customWidth="1"/>
    <col min="14597" max="14597" width="19.1640625" style="5" bestFit="1" customWidth="1"/>
    <col min="14598" max="14598" width="19.33203125" style="5" customWidth="1"/>
    <col min="14599" max="14845" width="8.83203125" style="5"/>
    <col min="14846" max="14846" width="8.83203125" style="5" customWidth="1"/>
    <col min="14847" max="14847" width="10.5" style="5" customWidth="1"/>
    <col min="14848" max="14848" width="22.1640625" style="5" customWidth="1"/>
    <col min="14849" max="14849" width="18.6640625" style="5" bestFit="1" customWidth="1"/>
    <col min="14850" max="14850" width="7.5" style="5" customWidth="1"/>
    <col min="14851" max="14851" width="6.83203125" style="5" customWidth="1"/>
    <col min="14852" max="14852" width="7.5" style="5" customWidth="1"/>
    <col min="14853" max="14853" width="19.1640625" style="5" bestFit="1" customWidth="1"/>
    <col min="14854" max="14854" width="19.33203125" style="5" customWidth="1"/>
    <col min="14855" max="15101" width="8.83203125" style="5"/>
    <col min="15102" max="15102" width="8.83203125" style="5" customWidth="1"/>
    <col min="15103" max="15103" width="10.5" style="5" customWidth="1"/>
    <col min="15104" max="15104" width="22.1640625" style="5" customWidth="1"/>
    <col min="15105" max="15105" width="18.6640625" style="5" bestFit="1" customWidth="1"/>
    <col min="15106" max="15106" width="7.5" style="5" customWidth="1"/>
    <col min="15107" max="15107" width="6.83203125" style="5" customWidth="1"/>
    <col min="15108" max="15108" width="7.5" style="5" customWidth="1"/>
    <col min="15109" max="15109" width="19.1640625" style="5" bestFit="1" customWidth="1"/>
    <col min="15110" max="15110" width="19.33203125" style="5" customWidth="1"/>
    <col min="15111" max="15357" width="8.83203125" style="5"/>
    <col min="15358" max="15358" width="8.83203125" style="5" customWidth="1"/>
    <col min="15359" max="15359" width="10.5" style="5" customWidth="1"/>
    <col min="15360" max="15360" width="22.1640625" style="5" customWidth="1"/>
    <col min="15361" max="15361" width="18.6640625" style="5" bestFit="1" customWidth="1"/>
    <col min="15362" max="15362" width="7.5" style="5" customWidth="1"/>
    <col min="15363" max="15363" width="6.83203125" style="5" customWidth="1"/>
    <col min="15364" max="15364" width="7.5" style="5" customWidth="1"/>
    <col min="15365" max="15365" width="19.1640625" style="5" bestFit="1" customWidth="1"/>
    <col min="15366" max="15366" width="19.33203125" style="5" customWidth="1"/>
    <col min="15367" max="15613" width="8.83203125" style="5"/>
    <col min="15614" max="15614" width="8.83203125" style="5" customWidth="1"/>
    <col min="15615" max="15615" width="10.5" style="5" customWidth="1"/>
    <col min="15616" max="15616" width="22.1640625" style="5" customWidth="1"/>
    <col min="15617" max="15617" width="18.6640625" style="5" bestFit="1" customWidth="1"/>
    <col min="15618" max="15618" width="7.5" style="5" customWidth="1"/>
    <col min="15619" max="15619" width="6.83203125" style="5" customWidth="1"/>
    <col min="15620" max="15620" width="7.5" style="5" customWidth="1"/>
    <col min="15621" max="15621" width="19.1640625" style="5" bestFit="1" customWidth="1"/>
    <col min="15622" max="15622" width="19.33203125" style="5" customWidth="1"/>
    <col min="15623" max="15869" width="8.83203125" style="5"/>
    <col min="15870" max="15870" width="8.83203125" style="5" customWidth="1"/>
    <col min="15871" max="15871" width="10.5" style="5" customWidth="1"/>
    <col min="15872" max="15872" width="22.1640625" style="5" customWidth="1"/>
    <col min="15873" max="15873" width="18.6640625" style="5" bestFit="1" customWidth="1"/>
    <col min="15874" max="15874" width="7.5" style="5" customWidth="1"/>
    <col min="15875" max="15875" width="6.83203125" style="5" customWidth="1"/>
    <col min="15876" max="15876" width="7.5" style="5" customWidth="1"/>
    <col min="15877" max="15877" width="19.1640625" style="5" bestFit="1" customWidth="1"/>
    <col min="15878" max="15878" width="19.33203125" style="5" customWidth="1"/>
    <col min="15879" max="16125" width="8.83203125" style="5"/>
    <col min="16126" max="16126" width="8.83203125" style="5" customWidth="1"/>
    <col min="16127" max="16127" width="10.5" style="5" customWidth="1"/>
    <col min="16128" max="16128" width="22.1640625" style="5" customWidth="1"/>
    <col min="16129" max="16129" width="18.6640625" style="5" bestFit="1" customWidth="1"/>
    <col min="16130" max="16130" width="7.5" style="5" customWidth="1"/>
    <col min="16131" max="16131" width="6.83203125" style="5" customWidth="1"/>
    <col min="16132" max="16132" width="7.5" style="5" customWidth="1"/>
    <col min="16133" max="16133" width="19.1640625" style="5" bestFit="1" customWidth="1"/>
    <col min="16134" max="16134" width="19.33203125" style="5" customWidth="1"/>
    <col min="16135" max="16384" width="8.8320312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 ht="16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32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32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32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32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32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32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jjeoV</cp:lastModifiedBy>
  <cp:lastPrinted>2022-11-01T06:20:35Z</cp:lastPrinted>
  <dcterms:created xsi:type="dcterms:W3CDTF">1998-12-28T01:18:47Z</dcterms:created>
  <dcterms:modified xsi:type="dcterms:W3CDTF">2024-01-21T04:42:13Z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