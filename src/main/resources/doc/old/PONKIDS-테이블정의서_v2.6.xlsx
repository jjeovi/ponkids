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8B9F59F6-4237-4641-8AE4-64628B70CF15}" xr6:coauthVersionLast="36" xr6:coauthVersionMax="47" xr10:uidLastSave="{00000000-0000-0000-0000-000000000000}"/>
  <bookViews>
    <workbookView xWindow="0" yWindow="855" windowWidth="28800" windowHeight="114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테이블정의서!$A$4:$X$429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G6" i="26" l="1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5" i="26"/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4" i="26"/>
  <c r="AB355" i="26"/>
  <c r="AB356" i="26"/>
  <c r="AB357" i="26"/>
  <c r="AB358" i="26"/>
  <c r="AB359" i="26"/>
  <c r="AB360" i="26"/>
  <c r="AB361" i="26"/>
  <c r="AB362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3" i="26"/>
  <c r="AB385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2" i="26"/>
  <c r="AB403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5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E429" i="26"/>
  <c r="AE428" i="26"/>
  <c r="AE427" i="26"/>
  <c r="AE426" i="26"/>
  <c r="AE425" i="26"/>
  <c r="AE424" i="26"/>
  <c r="AE423" i="26"/>
  <c r="AE422" i="26"/>
  <c r="AE421" i="26"/>
  <c r="AE420" i="26"/>
  <c r="AE419" i="26"/>
  <c r="AE418" i="26"/>
  <c r="AE417" i="26"/>
  <c r="AE416" i="26"/>
  <c r="AE415" i="26"/>
  <c r="AE414" i="26"/>
  <c r="AE413" i="26"/>
  <c r="AE412" i="26"/>
  <c r="AE411" i="26"/>
  <c r="AE410" i="26"/>
  <c r="AE409" i="26"/>
  <c r="AE408" i="26"/>
  <c r="AE407" i="26"/>
  <c r="AE406" i="26"/>
  <c r="AE405" i="26"/>
  <c r="AE404" i="26"/>
  <c r="AE403" i="26"/>
  <c r="AE402" i="26"/>
  <c r="AE401" i="26"/>
  <c r="AE400" i="26"/>
  <c r="AE399" i="26"/>
  <c r="AE398" i="26"/>
  <c r="AE397" i="26"/>
  <c r="AE396" i="26"/>
  <c r="AE395" i="26"/>
  <c r="AE394" i="26"/>
  <c r="AE393" i="26"/>
  <c r="AE392" i="26"/>
  <c r="AE391" i="26"/>
  <c r="AE390" i="26"/>
  <c r="AE389" i="26"/>
  <c r="AE388" i="26"/>
  <c r="AE387" i="26"/>
  <c r="AE386" i="26"/>
  <c r="AE385" i="26"/>
  <c r="AE384" i="26"/>
  <c r="AE383" i="26"/>
  <c r="AE382" i="26"/>
  <c r="AE381" i="26"/>
  <c r="AE380" i="26"/>
  <c r="AE379" i="26"/>
  <c r="AE378" i="26"/>
  <c r="AE377" i="26"/>
  <c r="AE376" i="26"/>
  <c r="AE375" i="26"/>
  <c r="AE374" i="26"/>
  <c r="AE373" i="26"/>
  <c r="AE372" i="26"/>
  <c r="AE371" i="26"/>
  <c r="AE370" i="26"/>
  <c r="AE369" i="26"/>
  <c r="AE368" i="26"/>
  <c r="AE367" i="26"/>
  <c r="AE366" i="26"/>
  <c r="AE365" i="26"/>
  <c r="AE364" i="26"/>
  <c r="AE363" i="26"/>
  <c r="AE362" i="26"/>
  <c r="AE361" i="26"/>
  <c r="AE360" i="26"/>
  <c r="AE359" i="26"/>
  <c r="AE358" i="26"/>
  <c r="AE357" i="26"/>
  <c r="AE356" i="26"/>
  <c r="AE355" i="26"/>
  <c r="AE354" i="26"/>
  <c r="AE353" i="26"/>
  <c r="AE352" i="26"/>
  <c r="AE351" i="26"/>
  <c r="AE350" i="26"/>
  <c r="AE349" i="26"/>
  <c r="AE348" i="26"/>
  <c r="AE347" i="26"/>
  <c r="AE346" i="26"/>
  <c r="AE345" i="26"/>
  <c r="AE344" i="26"/>
  <c r="AE343" i="26"/>
  <c r="AE342" i="26"/>
  <c r="AE341" i="26"/>
  <c r="AE340" i="26"/>
  <c r="AE339" i="26"/>
  <c r="AE338" i="26"/>
  <c r="AE337" i="26"/>
  <c r="AE336" i="26"/>
  <c r="AE335" i="26"/>
  <c r="AE334" i="26"/>
  <c r="AE333" i="26"/>
  <c r="AE332" i="26"/>
  <c r="AE331" i="26"/>
  <c r="AE330" i="26"/>
  <c r="AE329" i="26"/>
  <c r="AE328" i="26"/>
  <c r="AE327" i="26"/>
  <c r="AE326" i="26"/>
  <c r="AE325" i="26"/>
  <c r="AE324" i="26"/>
  <c r="AE323" i="26"/>
  <c r="AE322" i="26"/>
  <c r="AE321" i="26"/>
  <c r="AE320" i="26"/>
  <c r="AE319" i="26"/>
  <c r="AE318" i="26"/>
  <c r="AE317" i="26"/>
  <c r="AE316" i="26"/>
  <c r="AE315" i="26"/>
  <c r="AE314" i="26"/>
  <c r="AE313" i="26"/>
  <c r="AE312" i="26"/>
  <c r="AE311" i="26"/>
  <c r="AE310" i="26"/>
  <c r="AE309" i="26"/>
  <c r="AE308" i="26"/>
  <c r="AE307" i="26"/>
  <c r="AE306" i="26"/>
  <c r="AE305" i="26"/>
  <c r="AE304" i="26"/>
  <c r="AE303" i="26"/>
  <c r="AE302" i="26"/>
  <c r="AE301" i="26"/>
  <c r="AE300" i="26"/>
  <c r="AE299" i="26"/>
  <c r="AE298" i="26"/>
  <c r="AE297" i="26"/>
  <c r="AE296" i="26"/>
  <c r="AE295" i="26"/>
  <c r="AE294" i="26"/>
  <c r="AE293" i="26"/>
  <c r="AE292" i="26"/>
  <c r="AE291" i="26"/>
  <c r="AE290" i="26"/>
  <c r="AE289" i="26"/>
  <c r="AE288" i="26"/>
  <c r="AE287" i="26"/>
  <c r="AE286" i="26"/>
  <c r="AE285" i="26"/>
  <c r="AE284" i="26"/>
  <c r="AE283" i="26"/>
  <c r="AE282" i="26"/>
  <c r="AE281" i="26"/>
  <c r="AE280" i="26"/>
  <c r="AE279" i="26"/>
  <c r="AE278" i="26"/>
  <c r="AE277" i="26"/>
  <c r="AE276" i="26"/>
  <c r="AE275" i="26"/>
  <c r="AE274" i="26"/>
  <c r="AE273" i="26"/>
  <c r="AE272" i="26"/>
  <c r="AE271" i="26"/>
  <c r="AE270" i="26"/>
  <c r="AE269" i="26"/>
  <c r="AE268" i="26"/>
  <c r="AE267" i="26"/>
  <c r="AE266" i="26"/>
  <c r="AE265" i="26"/>
  <c r="AE264" i="26"/>
  <c r="AE263" i="26"/>
  <c r="AE262" i="26"/>
  <c r="AE261" i="26"/>
  <c r="AE260" i="26"/>
  <c r="AE259" i="26"/>
  <c r="AE258" i="26"/>
  <c r="AE257" i="26"/>
  <c r="AE256" i="26"/>
  <c r="AE255" i="26"/>
  <c r="AE254" i="26"/>
  <c r="AE253" i="26"/>
  <c r="AE252" i="26"/>
  <c r="AE251" i="26"/>
  <c r="AE250" i="26"/>
  <c r="AE249" i="26"/>
  <c r="AE248" i="26"/>
  <c r="AE247" i="26"/>
  <c r="AE246" i="26"/>
  <c r="AE245" i="26"/>
  <c r="AE244" i="26"/>
  <c r="AE243" i="26"/>
  <c r="AE242" i="26"/>
  <c r="AE241" i="26"/>
  <c r="AE240" i="26"/>
  <c r="AE239" i="26"/>
  <c r="AE238" i="26"/>
  <c r="AE237" i="26"/>
  <c r="AE236" i="26"/>
  <c r="AE235" i="26"/>
  <c r="AE234" i="26"/>
  <c r="AE233" i="26"/>
  <c r="AE232" i="26"/>
  <c r="AE231" i="26"/>
  <c r="AE230" i="26"/>
  <c r="AE229" i="26"/>
  <c r="AE228" i="26"/>
  <c r="AE227" i="26"/>
  <c r="AE226" i="26"/>
  <c r="AE225" i="26"/>
  <c r="AE224" i="26"/>
  <c r="AE223" i="26"/>
  <c r="AE222" i="26"/>
  <c r="AE221" i="26"/>
  <c r="AE220" i="26"/>
  <c r="AE219" i="26"/>
  <c r="AE218" i="26"/>
  <c r="AE217" i="26"/>
  <c r="AE216" i="26"/>
  <c r="AE215" i="26"/>
  <c r="AE214" i="26"/>
  <c r="AE213" i="26"/>
  <c r="AE212" i="26"/>
  <c r="AE211" i="26"/>
  <c r="AE210" i="26"/>
  <c r="AE209" i="26"/>
  <c r="AE208" i="26"/>
  <c r="AE207" i="26"/>
  <c r="AE206" i="26"/>
  <c r="AE205" i="26"/>
  <c r="AE204" i="26"/>
  <c r="AE203" i="26"/>
  <c r="AE202" i="26"/>
  <c r="AE201" i="26"/>
  <c r="AE200" i="26"/>
  <c r="AE199" i="26"/>
  <c r="AE198" i="26"/>
  <c r="AE197" i="26"/>
  <c r="AE196" i="26"/>
  <c r="AE195" i="26"/>
  <c r="AE194" i="26"/>
  <c r="AE193" i="26"/>
  <c r="AE192" i="26"/>
  <c r="AE191" i="26"/>
  <c r="AE190" i="26"/>
  <c r="AE189" i="26"/>
  <c r="AE188" i="26"/>
  <c r="AE187" i="26"/>
  <c r="AE186" i="26"/>
  <c r="AE185" i="26"/>
  <c r="AE184" i="26"/>
  <c r="AE183" i="26"/>
  <c r="AE182" i="26"/>
  <c r="AE181" i="26"/>
  <c r="AE180" i="26"/>
  <c r="AE179" i="26"/>
  <c r="AE178" i="26"/>
  <c r="AE177" i="26"/>
  <c r="AE176" i="26"/>
  <c r="AE175" i="26"/>
  <c r="AE174" i="26"/>
  <c r="AE173" i="26"/>
  <c r="AE172" i="26"/>
  <c r="AE171" i="26"/>
  <c r="AE170" i="26"/>
  <c r="AE169" i="26"/>
  <c r="AE168" i="26"/>
  <c r="AE167" i="26"/>
  <c r="AE166" i="26"/>
  <c r="AE165" i="26"/>
  <c r="AE164" i="26"/>
  <c r="AE163" i="26"/>
  <c r="AE162" i="26"/>
  <c r="AE161" i="26"/>
  <c r="AE160" i="26"/>
  <c r="AE159" i="26"/>
  <c r="AE158" i="26"/>
  <c r="AE157" i="26"/>
  <c r="AE156" i="26"/>
  <c r="AE155" i="26"/>
  <c r="AE154" i="26"/>
  <c r="AE153" i="26"/>
  <c r="AE152" i="26"/>
  <c r="AE151" i="26"/>
  <c r="AE150" i="26"/>
  <c r="AE149" i="26"/>
  <c r="AE148" i="26"/>
  <c r="AE147" i="26"/>
  <c r="AE146" i="26"/>
  <c r="AE145" i="26"/>
  <c r="AE144" i="26"/>
  <c r="AE143" i="26"/>
  <c r="AE142" i="26"/>
  <c r="AE141" i="26"/>
  <c r="AE140" i="26"/>
  <c r="AE139" i="26"/>
  <c r="AE138" i="26"/>
  <c r="AE137" i="26"/>
  <c r="AE136" i="26"/>
  <c r="AE135" i="26"/>
  <c r="AE134" i="26"/>
  <c r="AE133" i="26"/>
  <c r="AE132" i="26"/>
  <c r="AE131" i="26"/>
  <c r="AE130" i="26"/>
  <c r="AE129" i="26"/>
  <c r="AE128" i="26"/>
  <c r="AE127" i="26"/>
  <c r="AE126" i="26"/>
  <c r="AE125" i="26"/>
  <c r="AE124" i="26"/>
  <c r="AE123" i="26"/>
  <c r="AE122" i="26"/>
  <c r="AE121" i="26"/>
  <c r="AE120" i="26"/>
  <c r="AE119" i="26"/>
  <c r="AE118" i="26"/>
  <c r="AE117" i="26"/>
  <c r="AE116" i="26"/>
  <c r="AE115" i="26"/>
  <c r="AE114" i="26"/>
  <c r="AE113" i="26"/>
  <c r="AE112" i="26"/>
  <c r="AE111" i="26"/>
  <c r="AE110" i="26"/>
  <c r="AE109" i="26"/>
  <c r="AE108" i="26"/>
  <c r="AE107" i="26"/>
  <c r="AE106" i="26"/>
  <c r="AE105" i="26"/>
  <c r="AE104" i="26"/>
  <c r="AE103" i="26"/>
  <c r="AE102" i="26"/>
  <c r="AE101" i="26"/>
  <c r="AE100" i="26"/>
  <c r="AE99" i="26"/>
  <c r="AE98" i="26"/>
  <c r="AE97" i="26"/>
  <c r="AE96" i="26"/>
  <c r="AE95" i="26"/>
  <c r="AE94" i="26"/>
  <c r="AE93" i="26"/>
  <c r="AE92" i="26"/>
  <c r="AE91" i="26"/>
  <c r="AE90" i="26"/>
  <c r="AE89" i="26"/>
  <c r="AE88" i="26"/>
  <c r="AE87" i="26"/>
  <c r="AE86" i="26"/>
  <c r="AE85" i="26"/>
  <c r="AE84" i="26"/>
  <c r="AE83" i="26"/>
  <c r="AE82" i="26"/>
  <c r="AE81" i="26"/>
  <c r="AE80" i="26"/>
  <c r="AE79" i="26"/>
  <c r="AE78" i="26"/>
  <c r="AE77" i="26"/>
  <c r="AE76" i="26"/>
  <c r="AE75" i="26"/>
  <c r="AE74" i="26"/>
  <c r="AE73" i="26"/>
  <c r="AE72" i="26"/>
  <c r="AE71" i="26"/>
  <c r="AE70" i="26"/>
  <c r="AE69" i="26"/>
  <c r="AE68" i="26"/>
  <c r="AE67" i="26"/>
  <c r="AE66" i="26"/>
  <c r="AE65" i="26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49" i="26"/>
  <c r="AE48" i="26"/>
  <c r="AE47" i="26"/>
  <c r="AE46" i="26"/>
  <c r="AE45" i="26"/>
  <c r="AE44" i="26"/>
  <c r="AE43" i="26"/>
  <c r="AE42" i="26"/>
  <c r="AE41" i="26"/>
  <c r="AE40" i="26"/>
  <c r="AE39" i="26"/>
  <c r="AE38" i="26"/>
  <c r="AE37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10" i="26"/>
  <c r="AE9" i="26"/>
  <c r="AE8" i="26"/>
  <c r="AE7" i="26"/>
  <c r="AE6" i="26"/>
  <c r="AE5" i="26"/>
  <c r="AH220" i="26" l="1"/>
  <c r="AC220" i="26"/>
  <c r="AB220" i="26"/>
  <c r="AA220" i="26"/>
  <c r="Z220" i="26"/>
  <c r="Y220" i="26"/>
  <c r="Y221" i="26"/>
  <c r="Z221" i="26"/>
  <c r="AA221" i="26"/>
  <c r="AB221" i="26"/>
  <c r="AC221" i="26"/>
  <c r="AH221" i="26"/>
  <c r="AH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3" i="26"/>
  <c r="AC385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2" i="26"/>
  <c r="AC403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H392" i="26" l="1"/>
  <c r="Y392" i="26"/>
  <c r="T335" i="26" l="1"/>
  <c r="T237" i="26"/>
  <c r="T160" i="26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H314" i="26"/>
  <c r="Y314" i="26"/>
  <c r="T291" i="26"/>
  <c r="T289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AH290" i="26"/>
  <c r="Y290" i="26"/>
  <c r="AH289" i="26"/>
  <c r="Y289" i="26"/>
  <c r="AH288" i="26"/>
  <c r="Y288" i="26"/>
  <c r="AH287" i="26"/>
  <c r="Y287" i="26"/>
  <c r="AH286" i="26"/>
  <c r="Y286" i="26"/>
  <c r="AH285" i="26"/>
  <c r="Y285" i="26"/>
  <c r="AH284" i="26"/>
  <c r="Y284" i="26"/>
  <c r="AH283" i="26"/>
  <c r="Y283" i="26"/>
  <c r="AH282" i="26"/>
  <c r="Y282" i="26"/>
  <c r="AH281" i="26"/>
  <c r="Y281" i="26"/>
  <c r="AH280" i="26"/>
  <c r="Y280" i="26"/>
  <c r="AH279" i="26"/>
  <c r="Y279" i="26"/>
  <c r="AH278" i="26"/>
  <c r="Y278" i="26"/>
  <c r="AH277" i="26"/>
  <c r="Y277" i="26"/>
  <c r="AH276" i="26"/>
  <c r="Y276" i="26"/>
  <c r="T278" i="26"/>
  <c r="AB278" i="26" s="1"/>
  <c r="AH269" i="26"/>
  <c r="AH268" i="26"/>
  <c r="AH267" i="26"/>
  <c r="AH266" i="26"/>
  <c r="AH265" i="26"/>
  <c r="AH264" i="26"/>
  <c r="AH263" i="26"/>
  <c r="Y268" i="26"/>
  <c r="Y267" i="26"/>
  <c r="Y266" i="26"/>
  <c r="Y265" i="26"/>
  <c r="Y264" i="26"/>
  <c r="Y263" i="26"/>
  <c r="AH275" i="26"/>
  <c r="Y275" i="26"/>
  <c r="AH274" i="26"/>
  <c r="Y274" i="26"/>
  <c r="AH273" i="26"/>
  <c r="Y273" i="26"/>
  <c r="AH272" i="26"/>
  <c r="Y272" i="26"/>
  <c r="AH271" i="26"/>
  <c r="Y271" i="26"/>
  <c r="AH270" i="26"/>
  <c r="Y270" i="26"/>
  <c r="Y269" i="26"/>
  <c r="T323" i="26"/>
  <c r="AB323" i="26" s="1"/>
  <c r="Y323" i="26"/>
  <c r="AH323" i="26"/>
  <c r="Y324" i="26"/>
  <c r="AH324" i="26"/>
  <c r="Y325" i="26"/>
  <c r="AH325" i="26"/>
  <c r="Y326" i="26"/>
  <c r="AH326" i="26"/>
  <c r="Y327" i="26"/>
  <c r="AH327" i="26"/>
  <c r="Y328" i="26"/>
  <c r="AH328" i="26"/>
  <c r="Y329" i="26"/>
  <c r="AH329" i="26"/>
  <c r="Y330" i="26"/>
  <c r="AH330" i="26"/>
  <c r="Y331" i="26"/>
  <c r="AH331" i="26"/>
  <c r="Y332" i="26"/>
  <c r="AH332" i="26"/>
  <c r="Y333" i="26"/>
  <c r="AH333" i="26"/>
  <c r="T334" i="26"/>
  <c r="Y334" i="26"/>
  <c r="AH334" i="26"/>
  <c r="Y335" i="26"/>
  <c r="AH335" i="26"/>
  <c r="Y336" i="26"/>
  <c r="AH336" i="26"/>
  <c r="Y337" i="26"/>
  <c r="AH337" i="26"/>
  <c r="Y338" i="26"/>
  <c r="AH338" i="26"/>
  <c r="AH339" i="26"/>
  <c r="T340" i="26"/>
  <c r="AB340" i="26" s="1"/>
  <c r="AH340" i="26"/>
  <c r="Y341" i="26"/>
  <c r="AH341" i="26"/>
  <c r="Y342" i="26"/>
  <c r="AH342" i="26"/>
  <c r="Y343" i="26"/>
  <c r="AH343" i="26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T353" i="26"/>
  <c r="Y353" i="26"/>
  <c r="AH353" i="26"/>
  <c r="Y354" i="26"/>
  <c r="AH354" i="26"/>
  <c r="Y355" i="26"/>
  <c r="AH355" i="26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T363" i="26"/>
  <c r="AB363" i="26" s="1"/>
  <c r="Y363" i="26"/>
  <c r="AH363" i="26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T382" i="26"/>
  <c r="Y382" i="26"/>
  <c r="AH382" i="26"/>
  <c r="Y383" i="26"/>
  <c r="AH383" i="26"/>
  <c r="AC289" i="26" l="1"/>
  <c r="AB289" i="26"/>
  <c r="AC291" i="26"/>
  <c r="AB291" i="26"/>
  <c r="AC334" i="26"/>
  <c r="AB334" i="26"/>
  <c r="AC382" i="26"/>
  <c r="AB382" i="26"/>
  <c r="AC353" i="26"/>
  <c r="AB353" i="26"/>
  <c r="AC327" i="26"/>
  <c r="AB327" i="26"/>
  <c r="AC363" i="26"/>
  <c r="AC340" i="26"/>
  <c r="AC323" i="26"/>
  <c r="AC278" i="26"/>
  <c r="AH237" i="26"/>
  <c r="Y237" i="26"/>
  <c r="AH236" i="26"/>
  <c r="Y236" i="26"/>
  <c r="AH160" i="26"/>
  <c r="AB160" i="26"/>
  <c r="AA160" i="26"/>
  <c r="Z160" i="26"/>
  <c r="Y160" i="26"/>
  <c r="AH159" i="26"/>
  <c r="AB159" i="26"/>
  <c r="AA159" i="26"/>
  <c r="Z159" i="26"/>
  <c r="Y159" i="26"/>
  <c r="AH164" i="26"/>
  <c r="AB164" i="26"/>
  <c r="AA164" i="26"/>
  <c r="Z164" i="26"/>
  <c r="Y164" i="26"/>
  <c r="AH178" i="26" l="1"/>
  <c r="AB178" i="26"/>
  <c r="AA178" i="26"/>
  <c r="Z178" i="26"/>
  <c r="Y178" i="26"/>
  <c r="AH146" i="26" l="1"/>
  <c r="AH145" i="26"/>
  <c r="AB146" i="26"/>
  <c r="AB145" i="26"/>
  <c r="AA146" i="26"/>
  <c r="AA145" i="26"/>
  <c r="Z146" i="26"/>
  <c r="Z145" i="26"/>
  <c r="Y146" i="26"/>
  <c r="Y145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06" i="26" l="1"/>
  <c r="AB206" i="26"/>
  <c r="AA206" i="26"/>
  <c r="Z206" i="26"/>
  <c r="Y206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H216" i="26" l="1"/>
  <c r="AH217" i="26"/>
  <c r="AH218" i="26"/>
  <c r="AH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61" i="26"/>
  <c r="AH162" i="26"/>
  <c r="AH163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8" i="26"/>
  <c r="AH209" i="26"/>
  <c r="AH210" i="26"/>
  <c r="AH211" i="26"/>
  <c r="AH212" i="26"/>
  <c r="AH213" i="26"/>
  <c r="AH214" i="26"/>
  <c r="AH215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384" i="26"/>
  <c r="AH385" i="26"/>
  <c r="AH386" i="26"/>
  <c r="AH387" i="26"/>
  <c r="AH388" i="26"/>
  <c r="AH389" i="26"/>
  <c r="AH390" i="26"/>
  <c r="AH391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4" i="26"/>
  <c r="AB404" i="26" s="1"/>
  <c r="T384" i="26"/>
  <c r="T238" i="26"/>
  <c r="AB238" i="26" s="1"/>
  <c r="T175" i="26"/>
  <c r="AC175" i="26" s="1"/>
  <c r="AB101" i="26"/>
  <c r="AB32" i="26"/>
  <c r="T401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1" i="26" l="1"/>
  <c r="AB401" i="26"/>
  <c r="AC384" i="26"/>
  <c r="AB384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4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4" i="26"/>
  <c r="Y385" i="26"/>
  <c r="Y386" i="26"/>
  <c r="Y387" i="26"/>
  <c r="Y388" i="26"/>
  <c r="Y389" i="26"/>
  <c r="Y390" i="26"/>
  <c r="Y391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<sst xmlns="http://schemas.openxmlformats.org/spreadsheetml/2006/main" count="4314" uniqueCount="765">
  <si>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</si>
  <si>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</si>
  <si>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</si>
  <si>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</si>
  <si>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</si>
  <si>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</si>
  <si>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</si>
  <si>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</si>
  <si>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</si>
  <si>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</si>
  <si>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</si>
  <si>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</si>
  <si>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</si>
  <si>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</si>
  <si>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</si>
  <si>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</si>
  <si>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</si>
  <si>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</si>
  <si>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</si>
  <si>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</si>
  <si>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</si>
  <si>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</si>
  <si>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</si>
  <si>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</si>
  <si>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</si>
  <si>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</si>
  <si>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</si>
  <si>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</si>
  <si>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</si>
  <si>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</si>
  <si>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</si>
  <si>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</si>
  <si>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</si>
  <si>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</si>
  <si>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</si>
  <si>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</si>
  <si>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</si>
  <si>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</si>
  <si>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</si>
  <si>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</si>
  <si>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</si>
  <si>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</si>
  <si>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</si>
  <si>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</si>
  <si>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</si>
  <si>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</si>
  <si>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</si>
  <si>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</si>
  <si>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</si>
  <si>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</si>
  <si>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</si>
  <si>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</si>
  <si>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</si>
  <si>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</si>
  <si>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</si>
  <si>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</si>
  <si>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</si>
  <si>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</si>
  <si>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</si>
  <si>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</si>
  <si>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</si>
  <si>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</si>
  <si>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</si>
  <si>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</si>
  <si>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</si>
  <si>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</si>
  <si>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</si>
  <si>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</si>
  <si>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</si>
  <si>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</si>
  <si>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</si>
  <si>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</si>
  <si>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</si>
  <si>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</si>
  <si>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</si>
  <si>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</si>
  <si>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</si>
  <si>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</si>
  <si>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</si>
  <si>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</si>
  <si>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</si>
  <si>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</si>
  <si>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</si>
  <si>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</si>
  <si>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</si>
  <si>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</si>
  <si>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</si>
  <si>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</si>
  <si>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</si>
  <si>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</si>
  <si>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</si>
  <si>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</si>
  <si>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</si>
  <si>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</si>
  <si>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</si>
  <si>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</si>
  <si>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</si>
  <si>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</si>
  <si>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</si>
  <si>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</si>
  <si>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</si>
  <si>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</si>
  <si>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</si>
  <si>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</si>
  <si>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</si>
  <si>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</si>
  <si>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</si>
  <si>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</si>
  <si>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</si>
  <si>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</si>
  <si>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</si>
  <si>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</si>
  <si>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</si>
  <si>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</si>
  <si>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</si>
  <si>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</si>
  <si>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</si>
  <si>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</si>
  <si>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</si>
  <si>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</si>
  <si>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</si>
  <si>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</si>
  <si>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</si>
  <si>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</si>
  <si>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</si>
  <si>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</si>
  <si>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</si>
  <si>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</si>
  <si>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</si>
  <si>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</si>
  <si>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</si>
  <si>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</si>
  <si>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</si>
  <si>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</si>
  <si>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</si>
  <si>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</si>
  <si>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</si>
  <si>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</si>
  <si>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</si>
  <si>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</si>
  <si>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</si>
  <si>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</si>
  <si>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</si>
  <si>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</si>
  <si>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</si>
  <si>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</si>
  <si>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</si>
  <si>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</si>
  <si>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</si>
  <si>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</si>
  <si>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</si>
  <si>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</si>
  <si>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</si>
  <si>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</si>
  <si>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</si>
  <si>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</si>
  <si>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</si>
  <si>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</si>
  <si>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</si>
  <si>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</si>
  <si>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</si>
  <si>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</si>
  <si>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</si>
  <si>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</si>
  <si>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</si>
  <si>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</si>
  <si>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</si>
  <si>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</si>
  <si>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</si>
  <si>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</si>
  <si>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</si>
  <si>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</si>
  <si>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</si>
  <si>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</si>
  <si>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</si>
  <si>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</si>
  <si>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</si>
  <si>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</si>
  <si>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</si>
  <si>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</si>
  <si>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</si>
  <si>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</si>
  <si>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</si>
  <si>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</si>
  <si>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</si>
  <si>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</si>
  <si>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</si>
  <si>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</si>
  <si>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</si>
  <si>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</si>
  <si>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</si>
  <si>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</si>
  <si>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</si>
  <si>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</si>
  <si>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</si>
  <si>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</si>
  <si>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</si>
  <si>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</si>
  <si>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</si>
  <si>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</si>
  <si>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</si>
  <si>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</si>
  <si>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</si>
  <si>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</si>
  <si>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</si>
  <si>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</si>
  <si>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</si>
  <si>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</si>
  <si>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</si>
  <si>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</si>
  <si>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</si>
  <si>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</si>
  <si>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</si>
  <si>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</si>
  <si>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</si>
  <si>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</si>
  <si>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</si>
  <si>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</si>
  <si>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</si>
  <si>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</si>
  <si>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</si>
  <si>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</si>
  <si>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</si>
  <si>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</si>
  <si>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</si>
  <si>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</si>
  <si>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</si>
  <si>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</si>
  <si>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</si>
  <si>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</si>
  <si>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</si>
  <si>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</si>
  <si>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</si>
  <si>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</si>
  <si>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</si>
  <si>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</si>
  <si>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</si>
  <si>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</si>
  <si>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</si>
  <si>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</si>
  <si>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</si>
  <si>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</si>
  <si>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</si>
  <si>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</si>
  <si>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</si>
  <si>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</si>
  <si>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</si>
  <si>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</si>
  <si>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</si>
  <si>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</si>
  <si>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</si>
  <si>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</si>
  <si>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</si>
  <si>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</si>
  <si>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</si>
  <si>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</si>
  <si>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</si>
  <si>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</si>
  <si>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</si>
  <si>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</si>
  <si>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</si>
  <si>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</si>
  <si>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</si>
  <si>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</si>
  <si>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</si>
  <si>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</si>
  <si>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</si>
  <si>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</si>
  <si>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</si>
  <si>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</si>
  <si>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</si>
  <si>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</si>
  <si>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</si>
  <si>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</si>
  <si>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</si>
  <si>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</si>
  <si>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</si>
  <si>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</si>
  <si>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</si>
  <si>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</si>
  <si>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</si>
  <si>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</si>
  <si>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</si>
  <si>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</si>
  <si>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</si>
  <si>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</si>
  <si>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</si>
  <si>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</si>
  <si>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</si>
  <si>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</si>
  <si>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</si>
  <si>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</si>
  <si>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TB_NTT_ANSWER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</si>
  <si>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</si>
  <si>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</si>
  <si>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</si>
  <si>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</si>
  <si>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</si>
  <si>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</si>
  <si>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</si>
  <si>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</si>
  <si>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</si>
  <si>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</si>
  <si>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</si>
  <si>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</si>
  <si>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</si>
  <si>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</si>
  <si>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</si>
  <si>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</si>
  <si>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</si>
  <si>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</si>
  <si>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</si>
  <si>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</si>
  <si>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</si>
  <si>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</si>
  <si>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</si>
  <si>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</si>
  <si>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</si>
  <si>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</si>
  <si>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</si>
  <si>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</si>
  <si>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</si>
  <si>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</si>
  <si>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</si>
  <si>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</si>
  <si>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</si>
  <si>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</si>
  <si>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</si>
  <si>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</si>
  <si>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</si>
  <si>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</si>
  <si>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</si>
  <si>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</si>
  <si>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</si>
  <si>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</si>
  <si>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</si>
  <si>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</si>
  <si>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</si>
  <si>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</si>
  <si>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</si>
  <si>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</si>
  <si>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</si>
  <si>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</si>
  <si>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</si>
  <si>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</si>
  <si>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NTT_ANSWER_SN</t>
    <phoneticPr fontId="12" type="noConversion"/>
  </si>
  <si>
    <t>NTT_ANSWER_SEQ</t>
    <phoneticPr fontId="12" type="noConversion"/>
  </si>
  <si>
    <t>NTT_ANSWER_CN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</si>
  <si>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</si>
  <si>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</si>
  <si>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</si>
  <si>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</si>
  <si>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</si>
  <si>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</si>
  <si>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</si>
  <si>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</si>
  <si>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</si>
  <si>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</si>
  <si>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</si>
  <si>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</si>
  <si>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</si>
  <si>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</si>
  <si>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</si>
  <si>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</si>
  <si>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</si>
  <si>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</si>
  <si>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</si>
  <si>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</si>
  <si>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</si>
  <si>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</si>
  <si>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</si>
  <si>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</si>
  <si>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</si>
  <si>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</si>
  <si>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</si>
  <si>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</si>
  <si>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</si>
  <si>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</si>
  <si>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</si>
  <si>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</si>
  <si>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</si>
  <si>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</si>
  <si>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</si>
  <si>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</si>
  <si>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</si>
  <si>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</si>
  <si>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</si>
  <si>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</si>
  <si>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</si>
  <si>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</si>
  <si>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</si>
  <si>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</si>
  <si>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</si>
  <si>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</si>
  <si>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</si>
  <si>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</si>
  <si>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</si>
  <si>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</si>
  <si>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</si>
  <si>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</si>
  <si>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</si>
  <si>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</si>
  <si>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</si>
  <si>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</si>
  <si>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</si>
  <si>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</si>
  <si>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</si>
  <si>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</si>
  <si>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</si>
  <si>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</si>
  <si>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</si>
  <si>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</si>
  <si>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</si>
  <si>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</si>
  <si>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</si>
  <si>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</si>
  <si>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</si>
  <si>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</si>
  <si>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</si>
  <si>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</si>
  <si>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</si>
  <si>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</si>
  <si>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</si>
  <si>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</si>
  <si>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</si>
  <si>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</si>
  <si>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</si>
  <si>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</si>
  <si>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</si>
  <si>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</si>
  <si>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</si>
  <si>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</si>
  <si>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</si>
  <si>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</si>
  <si>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</si>
  <si>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</si>
  <si>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</si>
  <si>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</si>
  <si>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</si>
  <si>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</si>
  <si>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</si>
  <si>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</si>
  <si>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</si>
  <si>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</si>
  <si>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</si>
  <si>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</si>
  <si>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</si>
  <si>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</si>
  <si>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</si>
  <si>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</si>
  <si>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</si>
  <si>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</si>
  <si>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</si>
  <si>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</si>
  <si>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</si>
  <si>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</si>
  <si>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</si>
  <si>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</si>
  <si>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</si>
  <si>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</si>
  <si>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</si>
  <si>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</si>
  <si>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</si>
  <si>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</si>
  <si>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</si>
  <si>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</si>
  <si>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</si>
  <si>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</si>
  <si>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</si>
  <si>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</si>
  <si>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</si>
  <si>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</si>
  <si>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</si>
  <si>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</si>
  <si>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</si>
  <si>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</si>
  <si>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</si>
  <si>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</si>
  <si>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</si>
  <si>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</si>
  <si>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</si>
  <si>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</si>
  <si>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</si>
  <si>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</si>
  <si>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</si>
  <si>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</si>
  <si>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</si>
  <si>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</si>
  <si>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</si>
  <si>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</si>
  <si>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</si>
  <si>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</si>
  <si>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</si>
  <si>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</si>
  <si>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</si>
  <si>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</si>
  <si>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</si>
  <si>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</si>
  <si>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</si>
  <si>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</si>
  <si>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</si>
  <si>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</si>
  <si>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</si>
  <si>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</si>
  <si>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</si>
  <si>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</si>
  <si>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</si>
  <si>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</si>
  <si>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</si>
  <si>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</si>
  <si>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</si>
  <si>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</si>
  <si>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</si>
  <si>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</si>
  <si>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</si>
  <si>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</si>
  <si>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</si>
  <si>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</si>
  <si>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</si>
  <si>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</si>
  <si>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</si>
  <si>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</si>
  <si>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</si>
  <si>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</si>
  <si>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</si>
  <si>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</si>
  <si>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</si>
  <si>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</si>
  <si>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</si>
  <si>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</si>
  <si>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</si>
  <si>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</si>
  <si>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</si>
  <si>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</si>
  <si>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</si>
  <si>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</si>
  <si>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</si>
  <si>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</si>
  <si>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</si>
  <si>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</si>
  <si>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</si>
  <si>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</si>
  <si>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</si>
  <si>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</si>
  <si>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</si>
  <si>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</si>
  <si>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</si>
  <si>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</si>
  <si>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</si>
  <si>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</si>
  <si>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</si>
  <si>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</si>
  <si>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</si>
  <si>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</si>
  <si>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</si>
  <si>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</si>
  <si>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</si>
  <si>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</si>
  <si>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</si>
  <si>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</si>
  <si>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</si>
  <si>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</si>
  <si>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</si>
  <si>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</si>
  <si>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</si>
  <si>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</si>
  <si>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</si>
  <si>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</si>
  <si>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</si>
  <si>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</si>
  <si>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</si>
  <si>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</si>
  <si>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</si>
  <si>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</si>
  <si>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</si>
  <si>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</si>
  <si>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</si>
  <si>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</si>
  <si>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</si>
  <si>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</si>
  <si>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</si>
  <si>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</si>
  <si>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</si>
  <si>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</si>
  <si>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</si>
  <si>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</si>
  <si>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</si>
  <si>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</si>
  <si>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</si>
  <si>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</si>
  <si>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</si>
  <si>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</si>
  <si>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</si>
  <si>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</si>
  <si>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</si>
  <si>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</si>
  <si>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</si>
  <si>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</si>
  <si>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</si>
  <si>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</si>
  <si>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</si>
  <si>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</si>
  <si>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</si>
  <si>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</si>
  <si>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</si>
  <si>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</si>
  <si>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</si>
  <si>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</si>
  <si>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</si>
  <si>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</si>
  <si>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</si>
  <si>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ANSWER_SET_YN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</si>
  <si>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</si>
  <si>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</si>
  <si>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</si>
  <si>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</si>
  <si>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</si>
  <si>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</si>
  <si>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</si>
  <si>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</si>
  <si>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</si>
  <si>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</si>
  <si>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</si>
  <si>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</si>
  <si>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</si>
  <si>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</si>
  <si>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</si>
  <si>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</si>
  <si>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</si>
  <si>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</si>
  <si>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</si>
  <si>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</si>
  <si>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</si>
  <si>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</si>
  <si>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</si>
  <si>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</si>
  <si>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</si>
  <si>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</si>
  <si>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</si>
  <si>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</si>
  <si>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</si>
  <si>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</si>
  <si>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</si>
  <si>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</si>
  <si>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</si>
  <si>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</si>
  <si>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</si>
  <si>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</si>
  <si>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</si>
  <si>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</si>
  <si>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</si>
  <si>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</si>
  <si>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</si>
  <si>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</si>
  <si>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</si>
  <si>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</si>
  <si>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</si>
  <si>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</si>
  <si>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</si>
  <si>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</si>
  <si>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</si>
  <si>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</si>
  <si>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</si>
  <si>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</si>
  <si>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</si>
  <si>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</si>
  <si>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</si>
  <si>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</si>
  <si>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</si>
  <si>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</si>
  <si>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</si>
  <si>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</si>
  <si>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</si>
  <si>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</si>
  <si>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</si>
  <si>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PARNTS_ANSWER_SN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</si>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</sst>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480"/>
  <sheetViews>
    <sheetView tabSelected="1" topLeftCell="Q1" zoomScale="115" zoomScaleNormal="115" zoomScaleSheetLayoutView="85" workbookViewId="0">
      <pane ySplit="4" topLeftCell="A5" activePane="bottomLeft" state="frozen"/>
      <selection activeCell="S1" sqref="S1"/>
      <selection pane="bottomLeft" activeCell="Q14" sqref="Q14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7.77734375" style="93" bestFit="1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17.44140625" style="93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36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570</v>
      </c>
      <c r="M4" s="80" t="s">
        <v>571</v>
      </c>
      <c r="N4" s="80" t="s">
        <v>573</v>
      </c>
      <c r="O4" s="80" t="s">
        <v>572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578</v>
      </c>
      <c r="U4" s="71" t="s">
        <v>577</v>
      </c>
      <c r="V4" s="122" t="s">
        <v>325</v>
      </c>
      <c r="W4" s="72" t="s">
        <v>69</v>
      </c>
      <c r="X4" s="72" t="s">
        <v>70</v>
      </c>
      <c r="Z4" s="41" t="s">
        <v>567</v>
      </c>
      <c r="AA4" s="41" t="s">
        <v>568</v>
      </c>
      <c r="AB4" s="41" t="s">
        <v>569</v>
      </c>
      <c r="AC4" s="41" t="s">
        <v>757</v>
      </c>
      <c r="AD4" s="41" t="s">
        <v>758</v>
      </c>
      <c r="AE4" s="41" t="s">
        <v>760</v>
      </c>
      <c r="AF4" s="41" t="s">
        <v>761</v>
      </c>
      <c r="AG4" s="41" t="s">
        <v>764</v>
      </c>
      <c r="AH4" s="41" t="s">
        <v>579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"&amp;$R5)&amp;";"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526</v>
      </c>
      <c r="H6" s="100" t="s">
        <v>527</v>
      </c>
      <c r="I6" s="75" t="s">
        <v>72</v>
      </c>
      <c r="J6" s="75"/>
      <c r="K6" s="75"/>
      <c r="L6" s="75"/>
      <c r="M6" s="75"/>
      <c r="N6" s="75"/>
      <c r="O6" s="75"/>
      <c r="P6" s="105" t="s">
        <v>555</v>
      </c>
      <c r="Q6" s="126" t="s">
        <v>560</v>
      </c>
      <c r="R6" s="75"/>
      <c r="S6" s="110" t="s">
        <v>528</v>
      </c>
      <c r="T6" s="115"/>
      <c r="U6" s="115"/>
      <c r="V6" s="123" t="s">
        <v>529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G69" si="5">"ALTER TABLE "&amp;$D6&amp;" ADD COLUMN "&amp;$G6&amp;" "&amp;$P6&amp;IF(ISBLANK(Q6),"",$Q6)&amp;IF(ISBLANK($I6),""," NOT NULL")&amp;IF(ISBLANK($R6),""," DEFAULT "&amp;$R6)&amp;";"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751</v>
      </c>
      <c r="H7" s="101" t="s">
        <v>752</v>
      </c>
      <c r="I7" s="75" t="s">
        <v>72</v>
      </c>
      <c r="J7" s="52"/>
      <c r="K7" s="52"/>
      <c r="L7" s="84"/>
      <c r="M7" s="84"/>
      <c r="N7" s="84"/>
      <c r="O7" s="84"/>
      <c r="P7" s="105" t="s">
        <v>555</v>
      </c>
      <c r="Q7" s="126" t="s">
        <v>562</v>
      </c>
      <c r="R7" s="84"/>
      <c r="S7" s="53" t="s">
        <v>752</v>
      </c>
      <c r="T7" s="115"/>
      <c r="U7" s="115"/>
      <c r="V7" s="123" t="s">
        <v>753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555</v>
      </c>
      <c r="Q8" s="126" t="s">
        <v>560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754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556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557</v>
      </c>
      <c r="R10" s="84"/>
      <c r="S10" s="58" t="s">
        <v>111</v>
      </c>
      <c r="T10" s="115"/>
      <c r="U10" s="115"/>
      <c r="V10" s="123" t="s">
        <v>756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558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561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593</v>
      </c>
      <c r="H13" s="101" t="s">
        <v>588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557</v>
      </c>
      <c r="R13" s="84"/>
      <c r="S13" s="58" t="s">
        <v>588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594</v>
      </c>
      <c r="H14" s="101" t="s">
        <v>590</v>
      </c>
      <c r="I14" s="84"/>
      <c r="J14" s="52"/>
      <c r="K14" s="52"/>
      <c r="L14" s="84"/>
      <c r="M14" s="84"/>
      <c r="N14" s="84"/>
      <c r="O14" s="84"/>
      <c r="P14" s="51" t="s">
        <v>592</v>
      </c>
      <c r="Q14" s="126" t="s">
        <v>563</v>
      </c>
      <c r="R14" s="84"/>
      <c r="S14" s="58" t="s">
        <v>587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595</v>
      </c>
      <c r="H15" s="101" t="s">
        <v>591</v>
      </c>
      <c r="I15" s="84"/>
      <c r="J15" s="52"/>
      <c r="K15" s="52"/>
      <c r="L15" s="84"/>
      <c r="M15" s="84"/>
      <c r="N15" s="84"/>
      <c r="O15" s="84"/>
      <c r="P15" s="51" t="s">
        <v>592</v>
      </c>
      <c r="Q15" s="126" t="s">
        <v>563</v>
      </c>
      <c r="R15" s="84"/>
      <c r="S15" s="58" t="s">
        <v>589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383</v>
      </c>
      <c r="H16" s="101" t="s">
        <v>385</v>
      </c>
      <c r="I16" s="75"/>
      <c r="J16" s="52"/>
      <c r="K16" s="52">
        <v>1</v>
      </c>
      <c r="L16" s="10" t="s">
        <v>382</v>
      </c>
      <c r="M16" s="101" t="s">
        <v>383</v>
      </c>
      <c r="N16" s="101" t="s">
        <v>574</v>
      </c>
      <c r="O16" s="101" t="s">
        <v>575</v>
      </c>
      <c r="P16" s="51" t="s">
        <v>236</v>
      </c>
      <c r="Q16" s="124"/>
      <c r="R16" s="84"/>
      <c r="S16" s="101" t="s">
        <v>387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556</v>
      </c>
      <c r="R17" s="87" t="s">
        <v>604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'N';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630</v>
      </c>
      <c r="H18" s="101" t="s">
        <v>629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556</v>
      </c>
      <c r="R18" s="87"/>
      <c r="S18" s="53" t="s">
        <v>637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632</v>
      </c>
      <c r="H19" s="101" t="s">
        <v>634</v>
      </c>
      <c r="I19" s="52"/>
      <c r="J19" s="52"/>
      <c r="K19" s="52"/>
      <c r="L19" s="84"/>
      <c r="M19" s="84"/>
      <c r="N19" s="84"/>
      <c r="O19" s="84"/>
      <c r="P19" s="105" t="s">
        <v>555</v>
      </c>
      <c r="Q19" s="126" t="s">
        <v>560</v>
      </c>
      <c r="R19" s="85"/>
      <c r="S19" s="112" t="s">
        <v>638</v>
      </c>
      <c r="T19" s="115"/>
      <c r="U19" s="115"/>
      <c r="V19" s="123" t="s">
        <v>529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633</v>
      </c>
      <c r="H20" s="101" t="s">
        <v>635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561</v>
      </c>
      <c r="R20" s="85"/>
      <c r="S20" s="112" t="s">
        <v>639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631</v>
      </c>
      <c r="H21" s="102" t="s">
        <v>636</v>
      </c>
      <c r="I21" s="61"/>
      <c r="J21" s="61"/>
      <c r="K21" s="61"/>
      <c r="L21" s="61"/>
      <c r="M21" s="61"/>
      <c r="N21" s="61"/>
      <c r="O21" s="61"/>
      <c r="P21" s="51" t="s">
        <v>749</v>
      </c>
      <c r="Q21" s="126"/>
      <c r="R21" s="82"/>
      <c r="S21" s="112" t="s">
        <v>640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627</v>
      </c>
      <c r="H22" s="101" t="s">
        <v>626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562</v>
      </c>
      <c r="R22" s="85"/>
      <c r="S22" s="101" t="s">
        <v>628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749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561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749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555</v>
      </c>
      <c r="Q26" s="126" t="s">
        <v>560</v>
      </c>
      <c r="R26" s="85"/>
      <c r="S26" s="112" t="s">
        <v>223</v>
      </c>
      <c r="T26" s="115"/>
      <c r="U26" s="115"/>
      <c r="V26" s="123" t="s">
        <v>529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561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749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556</v>
      </c>
      <c r="R29" s="87" t="s">
        <v>604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'N';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762</v>
      </c>
      <c r="H31" s="100" t="s">
        <v>763</v>
      </c>
      <c r="I31" s="75" t="s">
        <v>72</v>
      </c>
      <c r="J31" s="61"/>
      <c r="K31" s="61">
        <v>1</v>
      </c>
      <c r="L31" s="83" t="s">
        <v>9</v>
      </c>
      <c r="M31" s="100" t="s">
        <v>762</v>
      </c>
      <c r="N31" s="100" t="s">
        <v>574</v>
      </c>
      <c r="O31" s="100" t="s">
        <v>576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5" t="s">
        <v>178</v>
      </c>
      <c r="Q32" s="47" t="s">
        <v>200</v>
      </c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NUMERIC(10,3)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NUMERIC(10,3);</v>
      </c>
      <c r="AE32" s="50" t="str">
        <f t="shared" si="5"/>
        <v>ALTER TABLE TB_USER_CHLDRN ADD COLUMN USER_CHLDRN_SEQ NUMERIC(10,3)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555</v>
      </c>
      <c r="Q33" s="126" t="s">
        <v>560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755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556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557</v>
      </c>
      <c r="R35" s="76"/>
      <c r="S35" s="113" t="s">
        <v>140</v>
      </c>
      <c r="T35" s="115"/>
      <c r="U35" s="115"/>
      <c r="V35" s="123" t="s">
        <v>756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624</v>
      </c>
      <c r="H36" s="104" t="s">
        <v>623</v>
      </c>
      <c r="I36" s="75"/>
      <c r="J36" s="76"/>
      <c r="K36" s="76"/>
      <c r="L36" s="76"/>
      <c r="M36" s="76"/>
      <c r="N36" s="76"/>
      <c r="O36" s="76"/>
      <c r="P36" s="105" t="s">
        <v>555</v>
      </c>
      <c r="Q36" s="126" t="s">
        <v>563</v>
      </c>
      <c r="R36" s="76"/>
      <c r="S36" s="113" t="s">
        <v>625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558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383</v>
      </c>
      <c r="H38" s="105" t="s">
        <v>385</v>
      </c>
      <c r="I38" s="75"/>
      <c r="J38" s="75"/>
      <c r="K38" s="75">
        <v>2</v>
      </c>
      <c r="L38" s="10" t="s">
        <v>382</v>
      </c>
      <c r="M38" s="101" t="s">
        <v>383</v>
      </c>
      <c r="N38" s="101" t="s">
        <v>574</v>
      </c>
      <c r="O38" s="101" t="s">
        <v>575</v>
      </c>
      <c r="P38" s="51" t="s">
        <v>236</v>
      </c>
      <c r="Q38" s="124"/>
      <c r="R38" s="84"/>
      <c r="S38" s="101" t="s">
        <v>387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555</v>
      </c>
      <c r="Q39" s="126" t="s">
        <v>560</v>
      </c>
      <c r="R39" s="85"/>
      <c r="S39" s="112" t="s">
        <v>226</v>
      </c>
      <c r="T39" s="115"/>
      <c r="U39" s="115"/>
      <c r="V39" s="123" t="s">
        <v>529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561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749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555</v>
      </c>
      <c r="Q42" s="126" t="s">
        <v>560</v>
      </c>
      <c r="R42" s="85"/>
      <c r="S42" s="112" t="s">
        <v>223</v>
      </c>
      <c r="T42" s="115"/>
      <c r="U42" s="115"/>
      <c r="V42" s="123" t="s">
        <v>529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561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749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556</v>
      </c>
      <c r="R45" s="87" t="s">
        <v>604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'N';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560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563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555</v>
      </c>
      <c r="Q49" s="126" t="s">
        <v>560</v>
      </c>
      <c r="R49" s="85"/>
      <c r="S49" s="112" t="s">
        <v>226</v>
      </c>
      <c r="T49" s="130"/>
      <c r="U49" s="130"/>
      <c r="V49" s="123" t="s">
        <v>529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561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749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555</v>
      </c>
      <c r="Q52" s="126" t="s">
        <v>560</v>
      </c>
      <c r="R52" s="85"/>
      <c r="S52" s="112" t="s">
        <v>223</v>
      </c>
      <c r="T52" s="130"/>
      <c r="U52" s="130"/>
      <c r="V52" s="123" t="s">
        <v>529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561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749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556</v>
      </c>
      <c r="R55" s="87" t="s">
        <v>604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'N';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762</v>
      </c>
      <c r="H57" s="100" t="s">
        <v>763</v>
      </c>
      <c r="I57" s="75" t="s">
        <v>72</v>
      </c>
      <c r="J57" s="45"/>
      <c r="K57" s="45">
        <v>1</v>
      </c>
      <c r="L57" s="83" t="s">
        <v>9</v>
      </c>
      <c r="M57" s="100" t="s">
        <v>762</v>
      </c>
      <c r="N57" s="100" t="s">
        <v>574</v>
      </c>
      <c r="O57" s="100" t="s">
        <v>576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574</v>
      </c>
      <c r="O58" s="100" t="s">
        <v>576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555</v>
      </c>
      <c r="Q59" s="126" t="s">
        <v>560</v>
      </c>
      <c r="R59" s="85"/>
      <c r="S59" s="112" t="s">
        <v>226</v>
      </c>
      <c r="T59" s="130"/>
      <c r="U59" s="130"/>
      <c r="V59" s="123" t="s">
        <v>529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561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749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555</v>
      </c>
      <c r="Q62" s="126" t="s">
        <v>560</v>
      </c>
      <c r="R62" s="85"/>
      <c r="S62" s="112" t="s">
        <v>223</v>
      </c>
      <c r="T62" s="130"/>
      <c r="U62" s="130"/>
      <c r="V62" s="123" t="s">
        <v>529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561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749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556</v>
      </c>
      <c r="R65" s="87" t="s">
        <v>604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'N';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560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5">D67</f>
        <v>TB_CLASS</v>
      </c>
      <c r="Z67" s="50" t="str">
        <f t="shared" si="9"/>
        <v>CTGRY_CD VARCHAR(50),</v>
      </c>
      <c r="AA67" s="50" t="str">
        <f t="shared" ref="AA67:AA131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31" si="18">"COMMENT ON COLUMN "&amp;D67&amp;"."&amp;G67&amp;" IS '"&amp;S67&amp;"' ;"</f>
        <v>COMMENT ON COLUMN TB_CLASS.CTGRY_CD IS '클래스 카테고리 코드'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560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32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649</v>
      </c>
      <c r="H69" s="106" t="s">
        <v>650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562</v>
      </c>
      <c r="R69" s="45"/>
      <c r="S69" s="106" t="s">
        <v>651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646</v>
      </c>
      <c r="H70" s="106" t="s">
        <v>647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648</v>
      </c>
      <c r="T70" s="130"/>
      <c r="U70" s="130"/>
      <c r="V70" s="109" t="s">
        <v>641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33" si="24">IF(ISBLANK(T70),"","ALTER TABLE "&amp;D70&amp;" ALTER COLUMN "&amp;G70&amp;" SET DEFAULT NEXTVAL('"&amp;T70&amp;"');")</f>
        <v/>
      </c>
      <c r="AD70" s="50" t="str">
        <f t="shared" ref="AD70:AD133" si="25">"ALTER TABLE "&amp;$D70&amp;" ALTER COLUMN "&amp;$G70&amp;" TYPE "&amp;$P70&amp;IF(ISBLANK(Q70),"",Q70)&amp;";"</f>
        <v>ALTER TABLE TB_CLASS ALTER COLUMN CLASS_SUMRY TYPE TEXT;</v>
      </c>
      <c r="AE70" s="50" t="str">
        <f t="shared" ref="AE70:AE133" si="26">"ALTER TABLE "&amp;$D70&amp;" ADD COLUMN "&amp;$G70&amp;" "&amp;$P70&amp;IF(ISBLANK(Q70),"",$Q70)&amp;IF(ISBLANK($I70),""," NOT NULL")&amp;IF(ISBLANK($R70),""," DEFAULT "&amp;$R70)&amp;";"</f>
        <v>ALTER TABLE TB_CLASS ADD COLUMN CLASS_SUMRY TEXT;</v>
      </c>
      <c r="AF70" s="50" t="str">
        <f t="shared" ref="AF70:AF133" si="27">"ALTER TABLE "&amp;$D70&amp;" DROP COLUMN "&amp;$G70&amp;";"</f>
        <v>ALTER TABLE TB_CLASS DROP COLUMN CLASS_SUMRY;</v>
      </c>
      <c r="AG70" s="50" t="str">
        <f t="shared" ref="AG70:AG133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641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645</v>
      </c>
      <c r="H73" s="106" t="s">
        <v>644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643</v>
      </c>
      <c r="T73" s="130"/>
      <c r="U73" s="130"/>
      <c r="V73" s="109" t="s">
        <v>642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556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750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750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384</v>
      </c>
      <c r="H77" s="106" t="s">
        <v>386</v>
      </c>
      <c r="I77" s="69"/>
      <c r="J77" s="61"/>
      <c r="K77" s="61">
        <v>1</v>
      </c>
      <c r="L77" s="10" t="s">
        <v>382</v>
      </c>
      <c r="M77" s="101" t="s">
        <v>383</v>
      </c>
      <c r="N77" s="101" t="s">
        <v>574</v>
      </c>
      <c r="O77" s="101" t="s">
        <v>575</v>
      </c>
      <c r="P77" s="51" t="s">
        <v>236</v>
      </c>
      <c r="Q77" s="124"/>
      <c r="R77" s="45"/>
      <c r="S77" s="106" t="s">
        <v>388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383</v>
      </c>
      <c r="H78" s="101" t="s">
        <v>385</v>
      </c>
      <c r="I78" s="75"/>
      <c r="J78" s="61"/>
      <c r="K78" s="61">
        <v>2</v>
      </c>
      <c r="L78" s="10" t="s">
        <v>382</v>
      </c>
      <c r="M78" s="101" t="s">
        <v>383</v>
      </c>
      <c r="N78" s="101" t="s">
        <v>574</v>
      </c>
      <c r="O78" s="101" t="s">
        <v>575</v>
      </c>
      <c r="P78" s="51" t="s">
        <v>236</v>
      </c>
      <c r="Q78" s="124"/>
      <c r="R78" s="84"/>
      <c r="S78" s="101" t="s">
        <v>387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556</v>
      </c>
      <c r="R79" s="87" t="s">
        <v>604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'N';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555</v>
      </c>
      <c r="Q80" s="126" t="s">
        <v>560</v>
      </c>
      <c r="R80" s="85"/>
      <c r="S80" s="112" t="s">
        <v>226</v>
      </c>
      <c r="T80" s="130"/>
      <c r="U80" s="130"/>
      <c r="V80" s="123" t="s">
        <v>529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561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749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555</v>
      </c>
      <c r="Q83" s="126" t="s">
        <v>560</v>
      </c>
      <c r="R83" s="85"/>
      <c r="S83" s="112" t="s">
        <v>223</v>
      </c>
      <c r="T83" s="130"/>
      <c r="U83" s="130"/>
      <c r="V83" s="123" t="s">
        <v>529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561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749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556</v>
      </c>
      <c r="R86" s="87" t="s">
        <v>604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'N';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5"/>
        <v>TB_CLASS_DETAIL</v>
      </c>
      <c r="Z87" s="50" t="str">
        <f t="shared" si="19"/>
        <v>CLASS_DETAIL_SN INTEGER PRIMARY KEY,</v>
      </c>
      <c r="AA87" s="50" t="str">
        <f t="shared" si="16"/>
        <v/>
      </c>
      <c r="AB87" s="50" t="str">
        <f t="shared" si="17"/>
        <v>CREATE SEQUENCE SEQ_TB_CLASS_DETAIL_SN START 100000;</v>
      </c>
      <c r="AC87" s="50" t="str">
        <f t="shared" si="24"/>
        <v>ALTER TABLE TB_CLASS_DETAIL ALTER COLUMN CLASS_DETAIL_SN SET DEFAULT NEXTVAL('SEQ_TB_CLASS_DETAIL_SN');</v>
      </c>
      <c r="AD87" s="50" t="str">
        <f t="shared" si="25"/>
        <v>ALTER TABLE TB_CLASS_DETAIL ALTER COLUMN CLASS_DETAIL_SN TYPE INTEGER;</v>
      </c>
      <c r="AE87" s="50" t="str">
        <f t="shared" si="26"/>
        <v>ALTER TABLE TB_CLASS_DETAIL ADD COLUMN CLASS_DETAIL_SN INTEGER NOT NULL;</v>
      </c>
      <c r="AF87" s="50" t="str">
        <f t="shared" si="27"/>
        <v>ALTER TABLE TB_CLASS_DETAIL DROP COLUMN CLASS_DETAIL_SN;</v>
      </c>
      <c r="AG87" s="50" t="str">
        <f t="shared" si="28"/>
        <v/>
      </c>
      <c r="AH87" s="50" t="str">
        <f t="shared" si="18"/>
        <v>COMMENT ON COLUMN TB_CLASS_DETAIL.CLASS_DETAIL_SN IS '클래스 상세 일련번호' ;</v>
      </c>
    </row>
    <row r="88" spans="1:34" ht="20.100000000000001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574</v>
      </c>
      <c r="O88" s="100" t="s">
        <v>576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5"/>
        <v>TB_CLASS_DETAIL</v>
      </c>
      <c r="Z88" s="50" t="str">
        <f t="shared" si="19"/>
        <v>CLASS_SN INTEGER NOT NULL,</v>
      </c>
      <c r="AA88" s="50" t="str">
        <f t="shared" si="16"/>
        <v>ALTER TABLE TB_CLASS_DETAIL ADD CONSTRAINT TB_CLASS_DETAIL_FKEY1 FOREIGN KEY(CLASS_SN) REFERENCES TB_CLASS(CLASS_SN) ON UPDATE CASCADE ON DELETE CASCADE;</v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TB_CLASS_DETAIL ALTER COLUMN CLASS_SN TYPE INTEGER;</v>
      </c>
      <c r="AE88" s="50" t="str">
        <f t="shared" si="26"/>
        <v>ALTER TABLE TB_CLASS_DETAIL ADD COLUMN CLASS_SN INTEGER NOT NULL;</v>
      </c>
      <c r="AF88" s="50" t="str">
        <f t="shared" si="27"/>
        <v>ALTER TABLE TB_CLASS_DETAIL DROP COLUMN CLASS_SN;</v>
      </c>
      <c r="AG88" s="50" t="str">
        <f t="shared" si="28"/>
        <v/>
      </c>
      <c r="AH88" s="50" t="str">
        <f t="shared" si="18"/>
        <v>COMMENT ON COLUMN TB_CLASS_DETAIL.CLASS_SN IS '클래스 일련번호' ;</v>
      </c>
    </row>
    <row r="89" spans="1:34" ht="20.100000000000001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5" t="s">
        <v>178</v>
      </c>
      <c r="Q89" s="47" t="s">
        <v>200</v>
      </c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5"/>
        <v>TB_CLASS_DETAIL</v>
      </c>
      <c r="Z89" s="50" t="str">
        <f t="shared" si="19"/>
        <v>CLASS_DETAIL_SEQ NUMERIC(10,3) NOT NULL,</v>
      </c>
      <c r="AA89" s="50" t="str">
        <f t="shared" si="16"/>
        <v/>
      </c>
      <c r="AB89" s="50" t="str">
        <f t="shared" si="17"/>
        <v>CREATE SEQUENCE SEQ_TB_CLASS_DETAIL_SEQ START 100000;</v>
      </c>
      <c r="AC89" s="50" t="str">
        <f t="shared" si="24"/>
        <v>ALTER TABLE TB_CLASS_DETAIL ALTER COLUMN CLASS_DETAIL_SEQ SET DEFAULT NEXTVAL('SEQ_TB_CLASS_DETAIL_SEQ');</v>
      </c>
      <c r="AD89" s="50" t="str">
        <f t="shared" si="25"/>
        <v>ALTER TABLE TB_CLASS_DETAIL ALTER COLUMN CLASS_DETAIL_SEQ TYPE NUMERIC(10,3);</v>
      </c>
      <c r="AE89" s="50" t="str">
        <f t="shared" si="26"/>
        <v>ALTER TABLE TB_CLASS_DETAIL ADD COLUMN CLASS_DETAIL_SEQ NUMERIC(10,3) NOT NULL;</v>
      </c>
      <c r="AF89" s="50" t="str">
        <f t="shared" si="27"/>
        <v>ALTER TABLE TB_CLASS_DETAIL DROP COLUMN CLASS_DETAIL_SEQ;</v>
      </c>
      <c r="AG89" s="50" t="str">
        <f t="shared" si="28"/>
        <v/>
      </c>
      <c r="AH89" s="50" t="str">
        <f t="shared" si="18"/>
        <v>COMMENT ON COLUMN TB_CLASS_DETAIL.CLASS_DETAIL_SEQ IS '클래스 상세 순번' ;</v>
      </c>
    </row>
    <row r="90" spans="1:34" ht="20.100000000000001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560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5"/>
        <v>TB_CLASS_DETAIL</v>
      </c>
      <c r="Z90" s="50" t="str">
        <f t="shared" si="19"/>
        <v>CLASS_DETAIL_ITEM_TY_CD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TB_CLASS_DETAIL ALTER COLUMN CLASS_DETAIL_ITEM_TY_CD TYPE VARCHAR(50);</v>
      </c>
      <c r="AE90" s="50" t="str">
        <f t="shared" si="26"/>
        <v>ALTER TABLE TB_CLASS_DETAIL ADD COLUMN CLASS_DETAIL_ITEM_TY_CD VARCHAR(50) NOT NULL;</v>
      </c>
      <c r="AF90" s="50" t="str">
        <f t="shared" si="27"/>
        <v>ALTER TABLE TB_CLASS_DETAIL DROP COLUMN CLASS_DETAIL_ITEM_TY_CD;</v>
      </c>
      <c r="AG90" s="50" t="str">
        <f t="shared" si="28"/>
        <v/>
      </c>
      <c r="AH90" s="50" t="str">
        <f t="shared" si="18"/>
        <v>COMMENT ON COLUMN TB_CLASS_DETAIL.CLASS_DETAIL_ITEM_TY_CD IS '클래스 상세 항목 유형 코드' ;</v>
      </c>
    </row>
    <row r="91" spans="1:34" ht="20.100000000000001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564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5"/>
        <v>TB_CLASS_DETAIL</v>
      </c>
      <c r="Z91" s="50" t="str">
        <f t="shared" si="19"/>
        <v>CLASS_DETAIL_ITEM_CN VARCHAR(2000),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TB_CLASS_DETAIL ALTER COLUMN CLASS_DETAIL_ITEM_CN TYPE VARCHAR(2000);</v>
      </c>
      <c r="AE91" s="50" t="str">
        <f t="shared" si="26"/>
        <v>ALTER TABLE TB_CLASS_DETAIL ADD COLUMN CLASS_DETAIL_ITEM_CN VARCHAR(2000);</v>
      </c>
      <c r="AF91" s="50" t="str">
        <f t="shared" si="27"/>
        <v>ALTER TABLE TB_CLASS_DETAIL DROP COLUMN CLASS_DETAIL_ITEM_CN;</v>
      </c>
      <c r="AG91" s="50" t="str">
        <f t="shared" si="28"/>
        <v/>
      </c>
      <c r="AH91" s="50" t="str">
        <f t="shared" si="18"/>
        <v>COMMENT ON COLUMN TB_CLASS_DETAIL.CLASS_DETAIL_ITEM_CN IS '클래스 상세 항목' ;</v>
      </c>
    </row>
    <row r="92" spans="1:34" ht="20.100000000000001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322</v>
      </c>
      <c r="H92" s="106" t="s">
        <v>321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556</v>
      </c>
      <c r="R92" s="86"/>
      <c r="S92" s="112" t="s">
        <v>323</v>
      </c>
      <c r="T92" s="130"/>
      <c r="U92" s="130"/>
      <c r="V92" s="106" t="s">
        <v>324</v>
      </c>
      <c r="W92" s="45"/>
      <c r="X92" s="83"/>
      <c r="Y92" s="129" t="str">
        <f t="shared" si="15"/>
        <v>TB_CLASS_DETAIL</v>
      </c>
      <c r="Z92" s="50" t="str">
        <f t="shared" si="19"/>
        <v>CLASS_DETAIL_ESSNTL_YN VARCHAR(1)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TB_CLASS_DETAIL ALTER COLUMN CLASS_DETAIL_ESSNTL_YN TYPE VARCHAR(1);</v>
      </c>
      <c r="AE92" s="50" t="str">
        <f t="shared" si="26"/>
        <v>ALTER TABLE TB_CLASS_DETAIL ADD COLUMN CLASS_DETAIL_ESSNTL_YN VARCHAR(1) NOT NULL;</v>
      </c>
      <c r="AF92" s="50" t="str">
        <f t="shared" si="27"/>
        <v>ALTER TABLE TB_CLASS_DETAIL DROP COLUMN CLASS_DETAIL_ESSNTL_YN;</v>
      </c>
      <c r="AG92" s="50" t="str">
        <f t="shared" si="28"/>
        <v/>
      </c>
      <c r="AH92" s="50" t="str">
        <f t="shared" si="18"/>
        <v>COMMENT ON COLUMN TB_CLASS_DETAIL.CLASS_DETAIL_ESSNTL_YN IS '클래스 상세 필수 여부' ;</v>
      </c>
    </row>
    <row r="93" spans="1:34" ht="20.100000000000001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555</v>
      </c>
      <c r="Q93" s="126" t="s">
        <v>560</v>
      </c>
      <c r="R93" s="85"/>
      <c r="S93" s="112" t="s">
        <v>226</v>
      </c>
      <c r="T93" s="83"/>
      <c r="U93" s="83"/>
      <c r="V93" s="123" t="s">
        <v>529</v>
      </c>
      <c r="W93" s="45"/>
      <c r="X93" s="83"/>
      <c r="Y93" s="129" t="str">
        <f t="shared" si="15"/>
        <v>TB_CLASS_DETAIL</v>
      </c>
      <c r="Z93" s="50" t="str">
        <f t="shared" si="19"/>
        <v>REGISTER_ID VARCHAR(50)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TB_CLASS_DETAIL ALTER COLUMN REGISTER_ID TYPE VARCHAR(50);</v>
      </c>
      <c r="AE93" s="50" t="str">
        <f t="shared" si="26"/>
        <v>ALTER TABLE TB_CLASS_DETAIL ADD COLUMN REGISTER_ID VARCHAR(50) NOT NULL;</v>
      </c>
      <c r="AF93" s="50" t="str">
        <f t="shared" si="27"/>
        <v>ALTER TABLE TB_CLASS_DETAIL DROP COLUMN REGISTER_ID;</v>
      </c>
      <c r="AG93" s="50" t="str">
        <f t="shared" si="28"/>
        <v/>
      </c>
      <c r="AH93" s="50" t="str">
        <f t="shared" si="18"/>
        <v>COMMENT ON COLUMN TB_CLASS_DETAIL.REGISTER_ID IS '등록자 ID' ;</v>
      </c>
    </row>
    <row r="94" spans="1:34" ht="20.100000000000001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561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5"/>
        <v>TB_CLASS_DETAIL</v>
      </c>
      <c r="Z94" s="50" t="str">
        <f t="shared" si="19"/>
        <v>REGISTER_IP VARCHAR(100) NOT NULL,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TB_CLASS_DETAIL ALTER COLUMN REGISTER_IP TYPE VARCHAR(100);</v>
      </c>
      <c r="AE94" s="50" t="str">
        <f t="shared" si="26"/>
        <v>ALTER TABLE TB_CLASS_DETAIL ADD COLUMN REGISTER_IP VARCHAR(100) NOT NULL;</v>
      </c>
      <c r="AF94" s="50" t="str">
        <f t="shared" si="27"/>
        <v>ALTER TABLE TB_CLASS_DETAIL DROP COLUMN REGISTER_IP;</v>
      </c>
      <c r="AG94" s="50" t="str">
        <f t="shared" si="28"/>
        <v/>
      </c>
      <c r="AH94" s="50" t="str">
        <f t="shared" si="18"/>
        <v>COMMENT ON COLUMN TB_CLASS_DETAIL.REGISTER_IP IS '등록자 IP' ;</v>
      </c>
    </row>
    <row r="95" spans="1:34" ht="20.100000000000001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749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5"/>
        <v>TB_CLASS_DETAIL</v>
      </c>
      <c r="Z95" s="50" t="str">
        <f t="shared" si="19"/>
        <v>REG_DT TIMESTAMP NOT NULL,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TB_CLASS_DETAIL ALTER COLUMN REG_DT TYPE TIMESTAMP;</v>
      </c>
      <c r="AE95" s="50" t="str">
        <f t="shared" si="26"/>
        <v>ALTER TABLE TB_CLASS_DETAIL ADD COLUMN REG_DT TIMESTAMP NOT NULL;</v>
      </c>
      <c r="AF95" s="50" t="str">
        <f t="shared" si="27"/>
        <v>ALTER TABLE TB_CLASS_DETAIL DROP COLUMN REG_DT;</v>
      </c>
      <c r="AG95" s="50" t="str">
        <f t="shared" si="28"/>
        <v/>
      </c>
      <c r="AH95" s="50" t="str">
        <f t="shared" si="18"/>
        <v>COMMENT ON COLUMN TB_CLASS_DETAIL.REG_DT IS '등록 일시' ;</v>
      </c>
    </row>
    <row r="96" spans="1:34" ht="20.100000000000001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555</v>
      </c>
      <c r="Q96" s="126" t="s">
        <v>560</v>
      </c>
      <c r="R96" s="85"/>
      <c r="S96" s="112" t="s">
        <v>223</v>
      </c>
      <c r="T96" s="83"/>
      <c r="U96" s="83"/>
      <c r="V96" s="123" t="s">
        <v>529</v>
      </c>
      <c r="W96" s="45"/>
      <c r="X96" s="83"/>
      <c r="Y96" s="129" t="str">
        <f t="shared" si="15"/>
        <v>TB_CLASS_DETAIL</v>
      </c>
      <c r="Z96" s="50" t="str">
        <f t="shared" si="19"/>
        <v>UPDUSR_ID VARCHAR(50),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TB_CLASS_DETAIL ALTER COLUMN UPDUSR_ID TYPE VARCHAR(50);</v>
      </c>
      <c r="AE96" s="50" t="str">
        <f t="shared" si="26"/>
        <v>ALTER TABLE TB_CLASS_DETAIL ADD COLUMN UPDUSR_ID VARCHAR(50);</v>
      </c>
      <c r="AF96" s="50" t="str">
        <f t="shared" si="27"/>
        <v>ALTER TABLE TB_CLASS_DETAIL DROP COLUMN UPDUSR_ID;</v>
      </c>
      <c r="AG96" s="50" t="str">
        <f t="shared" si="28"/>
        <v/>
      </c>
      <c r="AH96" s="50" t="str">
        <f t="shared" si="18"/>
        <v>COMMENT ON COLUMN TB_CLASS_DETAIL.UPDUSR_ID IS '수정자 ID' ;</v>
      </c>
    </row>
    <row r="97" spans="1:34" ht="20.100000000000001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561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5"/>
        <v>TB_CLASS_DETAIL</v>
      </c>
      <c r="Z97" s="50" t="str">
        <f t="shared" si="19"/>
        <v>UPDUSR_IP VARCHAR(100),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TB_CLASS_DETAIL ALTER COLUMN UPDUSR_IP TYPE VARCHAR(100);</v>
      </c>
      <c r="AE97" s="50" t="str">
        <f t="shared" si="26"/>
        <v>ALTER TABLE TB_CLASS_DETAIL ADD COLUMN UPDUSR_IP VARCHAR(100);</v>
      </c>
      <c r="AF97" s="50" t="str">
        <f t="shared" si="27"/>
        <v>ALTER TABLE TB_CLASS_DETAIL DROP COLUMN UPDUSR_IP;</v>
      </c>
      <c r="AG97" s="50" t="str">
        <f t="shared" si="28"/>
        <v/>
      </c>
      <c r="AH97" s="50" t="str">
        <f t="shared" si="18"/>
        <v>COMMENT ON COLUMN TB_CLASS_DETAIL.UPDUSR_IP IS '수정자 IP' ;</v>
      </c>
    </row>
    <row r="98" spans="1:34" ht="20.100000000000001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749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5"/>
        <v>TB_CLASS_DETAIL</v>
      </c>
      <c r="Z98" s="50" t="str">
        <f t="shared" si="19"/>
        <v>UPDT_DT TIMESTAMP,</v>
      </c>
      <c r="AA98" s="50" t="str">
        <f t="shared" si="16"/>
        <v/>
      </c>
      <c r="AB98" s="50" t="str">
        <f t="shared" si="17"/>
        <v/>
      </c>
      <c r="AC98" s="50" t="str">
        <f t="shared" si="24"/>
        <v/>
      </c>
      <c r="AD98" s="50" t="str">
        <f t="shared" si="25"/>
        <v>ALTER TABLE TB_CLASS_DETAIL ALTER COLUMN UPDT_DT TYPE TIMESTAMP;</v>
      </c>
      <c r="AE98" s="50" t="str">
        <f t="shared" si="26"/>
        <v>ALTER TABLE TB_CLASS_DETAIL ADD COLUMN UPDT_DT TIMESTAMP;</v>
      </c>
      <c r="AF98" s="50" t="str">
        <f t="shared" si="27"/>
        <v>ALTER TABLE TB_CLASS_DETAIL DROP COLUMN UPDT_DT;</v>
      </c>
      <c r="AG98" s="50" t="str">
        <f t="shared" si="28"/>
        <v/>
      </c>
      <c r="AH98" s="50" t="str">
        <f t="shared" si="18"/>
        <v>COMMENT ON COLUMN TB_CLASS_DETAIL.UPDT_DT IS '수정 일시' ;</v>
      </c>
    </row>
    <row r="99" spans="1:34" ht="20.100000000000001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556</v>
      </c>
      <c r="R99" s="87" t="s">
        <v>604</v>
      </c>
      <c r="S99" s="112" t="s">
        <v>220</v>
      </c>
      <c r="T99" s="83"/>
      <c r="U99" s="83"/>
      <c r="V99" s="106"/>
      <c r="W99" s="45"/>
      <c r="X99" s="83"/>
      <c r="Y99" s="129" t="str">
        <f t="shared" si="15"/>
        <v>TB_CLASS_DETAIL</v>
      </c>
      <c r="Z99" s="50" t="str">
        <f t="shared" si="19"/>
        <v>DEL_YN VARCHAR(1) NOT NULL,</v>
      </c>
      <c r="AA99" s="50" t="str">
        <f t="shared" si="16"/>
        <v/>
      </c>
      <c r="AB99" s="50" t="str">
        <f t="shared" si="17"/>
        <v/>
      </c>
      <c r="AC99" s="50" t="str">
        <f t="shared" si="24"/>
        <v/>
      </c>
      <c r="AD99" s="50" t="str">
        <f t="shared" si="25"/>
        <v>ALTER TABLE TB_CLASS_DETAIL ALTER COLUMN DEL_YN TYPE VARCHAR(1);</v>
      </c>
      <c r="AE99" s="50" t="str">
        <f t="shared" si="26"/>
        <v>ALTER TABLE TB_CLASS_DETAIL ADD COLUMN DEL_YN VARCHAR(1) NOT NULL DEFAULT 'N';</v>
      </c>
      <c r="AF99" s="50" t="str">
        <f t="shared" si="27"/>
        <v>ALTER TABLE TB_CLASS_DETAIL DROP COLUMN DEL_YN;</v>
      </c>
      <c r="AG99" s="50" t="str">
        <f t="shared" si="28"/>
        <v>ALTER TABLE TB_CLASS_DETAIL ALTER COLUMN DEL_YN SET DEFAULT 'N';</v>
      </c>
      <c r="AH99" s="50" t="str">
        <f t="shared" si="18"/>
        <v>COMMENT ON COLUMN TB_CLASS_DETAIL.DEL_YN IS '삭제 여부' ;</v>
      </c>
    </row>
    <row r="100" spans="1:34" ht="20.100000000000001" customHeight="1">
      <c r="A100" s="55">
        <v>96</v>
      </c>
      <c r="B100" s="26" t="s">
        <v>7</v>
      </c>
      <c r="C100" s="25" t="s">
        <v>11</v>
      </c>
      <c r="D100" s="13" t="s">
        <v>313</v>
      </c>
      <c r="E100" s="13" t="s">
        <v>314</v>
      </c>
      <c r="F100" s="97">
        <v>1</v>
      </c>
      <c r="G100" s="102" t="s">
        <v>315</v>
      </c>
      <c r="H100" s="102" t="s">
        <v>316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327</v>
      </c>
      <c r="T100" s="132" t="str">
        <f>"SEQ_"&amp;D100&amp;"_SN"</f>
        <v>SEQ_TB_CLASS_DETAIL_OPTN_SN</v>
      </c>
      <c r="U100" s="132"/>
      <c r="V100" s="106" t="s">
        <v>553</v>
      </c>
      <c r="W100" s="45"/>
      <c r="X100" s="83"/>
      <c r="Y100" s="129" t="str">
        <f t="shared" si="15"/>
        <v>TB_CLASS_DETAIL_OPTN</v>
      </c>
      <c r="Z100" s="50" t="str">
        <f t="shared" si="19"/>
        <v>CLASS_DETAIL_OPTN_SN INTEGER PRIMARY KEY,</v>
      </c>
      <c r="AA100" s="50" t="str">
        <f t="shared" si="16"/>
        <v/>
      </c>
      <c r="AB100" s="50" t="str">
        <f t="shared" si="17"/>
        <v>CREATE SEQUENCE SEQ_TB_CLASS_DETAIL_OPTN_SN START 100000;</v>
      </c>
      <c r="AC100" s="50" t="str">
        <f t="shared" si="24"/>
        <v>ALTER TABLE TB_CLASS_DETAIL_OPTN ALTER COLUMN CLASS_DETAIL_OPTN_SN SET DEFAULT NEXTVAL('SEQ_TB_CLASS_DETAIL_OPTN_SN');</v>
      </c>
      <c r="AD100" s="50" t="str">
        <f t="shared" si="25"/>
        <v>ALTER TABLE TB_CLASS_DETAIL_OPTN ALTER COLUMN CLASS_DETAIL_OPTN_SN TYPE INTEGER;</v>
      </c>
      <c r="AE100" s="50" t="str">
        <f t="shared" si="26"/>
        <v>ALTER TABLE TB_CLASS_DETAIL_OPTN ADD COLUMN CLASS_DETAIL_OPTN_SN INTEGER NOT NULL;</v>
      </c>
      <c r="AF100" s="50" t="str">
        <f t="shared" si="27"/>
        <v>ALTER TABLE TB_CLASS_DETAIL_OPTN DROP COLUMN CLASS_DETAIL_OPTN_SN;</v>
      </c>
      <c r="AG100" s="50" t="str">
        <f t="shared" si="28"/>
        <v/>
      </c>
      <c r="AH100" s="50" t="str">
        <f t="shared" si="18"/>
        <v>COMMENT ON COLUMN TB_CLASS_DETAIL_OPTN.CLASS_DETAIL_OPTN_SN IS '클래스 상세 옵션 일련번호' ;</v>
      </c>
    </row>
    <row r="101" spans="1:34" ht="20.100000000000001" customHeight="1">
      <c r="A101" s="55">
        <v>97</v>
      </c>
      <c r="B101" s="26" t="s">
        <v>7</v>
      </c>
      <c r="C101" s="25" t="s">
        <v>11</v>
      </c>
      <c r="D101" s="13" t="s">
        <v>313</v>
      </c>
      <c r="E101" s="13" t="s">
        <v>314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574</v>
      </c>
      <c r="O101" s="100" t="s">
        <v>576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5"/>
        <v>TB_CLASS_DETAIL_OPTN</v>
      </c>
      <c r="Z101" s="50" t="str">
        <f t="shared" si="19"/>
        <v>CLASS_DETAIL_SN INTEGER NOT NULL,</v>
      </c>
      <c r="AA101" s="50" t="str">
        <f t="shared" si="16"/>
        <v>ALTER TABLE TB_CLASS_DETAIL_OPTN ADD CONSTRAINT TB_CLASS_DETAIL_OPTN_FKEY1 FOREIGN KEY(CLASS_DETAIL_SN) REFERENCES TB_CLASS_DETAIL(CLASS_DETAIL_SN) ON UPDATE CASCADE ON DELETE CASCADE;</v>
      </c>
      <c r="AB101" s="50" t="str">
        <f t="shared" si="17"/>
        <v/>
      </c>
      <c r="AC101" s="50" t="str">
        <f t="shared" si="24"/>
        <v/>
      </c>
      <c r="AD101" s="50" t="str">
        <f t="shared" si="25"/>
        <v>ALTER TABLE TB_CLASS_DETAIL_OPTN ALTER COLUMN CLASS_DETAIL_SN TYPE INTEGER;</v>
      </c>
      <c r="AE101" s="50" t="str">
        <f t="shared" si="26"/>
        <v>ALTER TABLE TB_CLASS_DETAIL_OPTN ADD COLUMN CLASS_DETAIL_SN INTEGER NOT NULL;</v>
      </c>
      <c r="AF101" s="50" t="str">
        <f t="shared" si="27"/>
        <v>ALTER TABLE TB_CLASS_DETAIL_OPTN DROP COLUMN CLASS_DETAIL_SN;</v>
      </c>
      <c r="AG101" s="50" t="str">
        <f t="shared" si="28"/>
        <v/>
      </c>
      <c r="AH101" s="50" t="str">
        <f t="shared" si="18"/>
        <v>COMMENT ON COLUMN TB_CLASS_DETAIL_OPTN.CLASS_DETAIL_SN IS '클래스 상세 일련번호' ;</v>
      </c>
    </row>
    <row r="102" spans="1:34" ht="20.100000000000001" customHeight="1">
      <c r="A102" s="55">
        <v>98</v>
      </c>
      <c r="B102" s="26" t="s">
        <v>7</v>
      </c>
      <c r="C102" s="25" t="s">
        <v>11</v>
      </c>
      <c r="D102" s="13" t="s">
        <v>313</v>
      </c>
      <c r="E102" s="13" t="s">
        <v>314</v>
      </c>
      <c r="F102" s="97">
        <v>3</v>
      </c>
      <c r="G102" s="102" t="s">
        <v>317</v>
      </c>
      <c r="H102" s="102" t="s">
        <v>318</v>
      </c>
      <c r="I102" s="75"/>
      <c r="J102" s="61"/>
      <c r="K102" s="61"/>
      <c r="L102" s="69"/>
      <c r="M102" s="69"/>
      <c r="N102" s="69"/>
      <c r="O102" s="69"/>
      <c r="P102" s="105" t="s">
        <v>178</v>
      </c>
      <c r="Q102" s="47" t="s">
        <v>200</v>
      </c>
      <c r="R102" s="86"/>
      <c r="S102" s="112" t="s">
        <v>328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5"/>
        <v>TB_CLASS_DETAIL_OPTN</v>
      </c>
      <c r="Z102" s="50" t="str">
        <f t="shared" si="19"/>
        <v>CLASS_DETAIL_OPTN_SEQ NUMERIC(10,3),</v>
      </c>
      <c r="AA102" s="50" t="str">
        <f t="shared" si="16"/>
        <v/>
      </c>
      <c r="AB102" s="50" t="str">
        <f t="shared" si="17"/>
        <v>CREATE SEQUENCE SEQ_TB_CLASS_DETAIL_OPTN_SEQ START 100000;</v>
      </c>
      <c r="AC102" s="50" t="str">
        <f t="shared" si="24"/>
        <v>ALTER TABLE TB_CLASS_DETAIL_OPTN ALTER COLUMN CLASS_DETAIL_OPTN_SEQ SET DEFAULT NEXTVAL('SEQ_TB_CLASS_DETAIL_OPTN_SEQ');</v>
      </c>
      <c r="AD102" s="50" t="str">
        <f t="shared" si="25"/>
        <v>ALTER TABLE TB_CLASS_DETAIL_OPTN ALTER COLUMN CLASS_DETAIL_OPTN_SEQ TYPE NUMERIC(10,3);</v>
      </c>
      <c r="AE102" s="50" t="str">
        <f t="shared" si="26"/>
        <v>ALTER TABLE TB_CLASS_DETAIL_OPTN ADD COLUMN CLASS_DETAIL_OPTN_SEQ NUMERIC(10,3);</v>
      </c>
      <c r="AF102" s="50" t="str">
        <f t="shared" si="27"/>
        <v>ALTER TABLE TB_CLASS_DETAIL_OPTN DROP COLUMN CLASS_DETAIL_OPTN_SEQ;</v>
      </c>
      <c r="AG102" s="50" t="str">
        <f t="shared" si="28"/>
        <v/>
      </c>
      <c r="AH102" s="50" t="str">
        <f t="shared" si="18"/>
        <v>COMMENT ON COLUMN TB_CLASS_DETAIL_OPTN.CLASS_DETAIL_OPTN_SEQ IS '클래스 상세 옵션 순번' ;</v>
      </c>
    </row>
    <row r="103" spans="1:34" ht="20.100000000000001" customHeight="1">
      <c r="A103" s="55">
        <v>99</v>
      </c>
      <c r="B103" s="26" t="s">
        <v>7</v>
      </c>
      <c r="C103" s="25" t="s">
        <v>11</v>
      </c>
      <c r="D103" s="13" t="s">
        <v>313</v>
      </c>
      <c r="E103" s="13" t="s">
        <v>314</v>
      </c>
      <c r="F103" s="97">
        <v>4</v>
      </c>
      <c r="G103" s="102" t="s">
        <v>319</v>
      </c>
      <c r="H103" s="102" t="s">
        <v>320</v>
      </c>
      <c r="I103" s="75"/>
      <c r="J103" s="61"/>
      <c r="K103" s="61"/>
      <c r="L103" s="61"/>
      <c r="M103" s="61"/>
      <c r="N103" s="61"/>
      <c r="O103" s="61"/>
      <c r="P103" s="62" t="s">
        <v>326</v>
      </c>
      <c r="Q103" s="126" t="s">
        <v>564</v>
      </c>
      <c r="R103" s="86"/>
      <c r="S103" s="112" t="s">
        <v>329</v>
      </c>
      <c r="T103" s="83"/>
      <c r="U103" s="83"/>
      <c r="V103" s="106"/>
      <c r="W103" s="45"/>
      <c r="X103" s="83"/>
      <c r="Y103" s="129" t="str">
        <f t="shared" si="15"/>
        <v>TB_CLASS_DETAIL_OPTN</v>
      </c>
      <c r="Z103" s="50" t="str">
        <f t="shared" si="19"/>
        <v>CLASS_DETAIL_OPTN_CN VARCHAR(2000),</v>
      </c>
      <c r="AA103" s="50" t="str">
        <f t="shared" si="16"/>
        <v/>
      </c>
      <c r="AB103" s="50" t="str">
        <f t="shared" si="17"/>
        <v/>
      </c>
      <c r="AC103" s="50" t="str">
        <f t="shared" si="24"/>
        <v/>
      </c>
      <c r="AD103" s="50" t="str">
        <f t="shared" si="25"/>
        <v>ALTER TABLE TB_CLASS_DETAIL_OPTN ALTER COLUMN CLASS_DETAIL_OPTN_CN TYPE VARCHAR(2000);</v>
      </c>
      <c r="AE103" s="50" t="str">
        <f t="shared" si="26"/>
        <v>ALTER TABLE TB_CLASS_DETAIL_OPTN ADD COLUMN CLASS_DETAIL_OPTN_CN VARCHAR(2000);</v>
      </c>
      <c r="AF103" s="50" t="str">
        <f t="shared" si="27"/>
        <v>ALTER TABLE TB_CLASS_DETAIL_OPTN DROP COLUMN CLASS_DETAIL_OPTN_CN;</v>
      </c>
      <c r="AG103" s="50" t="str">
        <f t="shared" si="28"/>
        <v/>
      </c>
      <c r="AH103" s="50" t="str">
        <f t="shared" si="18"/>
        <v>COMMENT ON COLUMN TB_CLASS_DETAIL_OPTN.CLASS_DETAIL_OPTN_CN IS '클래스 상세 옵션 내용' ;</v>
      </c>
    </row>
    <row r="104" spans="1:34" ht="20.100000000000001" customHeight="1">
      <c r="A104" s="55">
        <v>100</v>
      </c>
      <c r="B104" s="26" t="s">
        <v>7</v>
      </c>
      <c r="C104" s="25" t="s">
        <v>11</v>
      </c>
      <c r="D104" s="13" t="s">
        <v>313</v>
      </c>
      <c r="E104" s="13" t="s">
        <v>314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555</v>
      </c>
      <c r="Q104" s="126" t="s">
        <v>560</v>
      </c>
      <c r="R104" s="85"/>
      <c r="S104" s="112" t="s">
        <v>226</v>
      </c>
      <c r="T104" s="83"/>
      <c r="U104" s="83"/>
      <c r="V104" s="123" t="s">
        <v>529</v>
      </c>
      <c r="W104" s="45"/>
      <c r="X104" s="83"/>
      <c r="Y104" s="129" t="str">
        <f t="shared" si="15"/>
        <v>TB_CLASS_DETAIL_OPTN</v>
      </c>
      <c r="Z104" s="50" t="str">
        <f t="shared" si="19"/>
        <v>REGISTER_ID VARCHAR(50) NOT NULL,</v>
      </c>
      <c r="AA104" s="50" t="str">
        <f t="shared" si="16"/>
        <v/>
      </c>
      <c r="AB104" s="50" t="str">
        <f t="shared" si="17"/>
        <v/>
      </c>
      <c r="AC104" s="50" t="str">
        <f t="shared" si="24"/>
        <v/>
      </c>
      <c r="AD104" s="50" t="str">
        <f t="shared" si="25"/>
        <v>ALTER TABLE TB_CLASS_DETAIL_OPTN ALTER COLUMN REGISTER_ID TYPE VARCHAR(50);</v>
      </c>
      <c r="AE104" s="50" t="str">
        <f t="shared" si="26"/>
        <v>ALTER TABLE TB_CLASS_DETAIL_OPTN ADD COLUMN REGISTER_ID VARCHAR(50) NOT NULL;</v>
      </c>
      <c r="AF104" s="50" t="str">
        <f t="shared" si="27"/>
        <v>ALTER TABLE TB_CLASS_DETAIL_OPTN DROP COLUMN REGISTER_ID;</v>
      </c>
      <c r="AG104" s="50" t="str">
        <f t="shared" si="28"/>
        <v/>
      </c>
      <c r="AH104" s="50" t="str">
        <f t="shared" si="18"/>
        <v>COMMENT ON COLUMN TB_CLASS_DETAIL_OPTN.REGISTER_ID IS '등록자 ID' ;</v>
      </c>
    </row>
    <row r="105" spans="1:34" ht="20.100000000000001" customHeight="1">
      <c r="A105" s="55">
        <v>101</v>
      </c>
      <c r="B105" s="26" t="s">
        <v>7</v>
      </c>
      <c r="C105" s="25" t="s">
        <v>11</v>
      </c>
      <c r="D105" s="13" t="s">
        <v>313</v>
      </c>
      <c r="E105" s="13" t="s">
        <v>314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561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5"/>
        <v>TB_CLASS_DETAIL_OPTN</v>
      </c>
      <c r="Z105" s="50" t="str">
        <f t="shared" si="19"/>
        <v>REGISTER_IP VARCHAR(100) NOT NULL,</v>
      </c>
      <c r="AA105" s="50" t="str">
        <f t="shared" si="16"/>
        <v/>
      </c>
      <c r="AB105" s="50" t="str">
        <f t="shared" si="17"/>
        <v/>
      </c>
      <c r="AC105" s="50" t="str">
        <f t="shared" si="24"/>
        <v/>
      </c>
      <c r="AD105" s="50" t="str">
        <f t="shared" si="25"/>
        <v>ALTER TABLE TB_CLASS_DETAIL_OPTN ALTER COLUMN REGISTER_IP TYPE VARCHAR(100);</v>
      </c>
      <c r="AE105" s="50" t="str">
        <f t="shared" si="26"/>
        <v>ALTER TABLE TB_CLASS_DETAIL_OPTN ADD COLUMN REGISTER_IP VARCHAR(100) NOT NULL;</v>
      </c>
      <c r="AF105" s="50" t="str">
        <f t="shared" si="27"/>
        <v>ALTER TABLE TB_CLASS_DETAIL_OPTN DROP COLUMN REGISTER_IP;</v>
      </c>
      <c r="AG105" s="50" t="str">
        <f t="shared" si="28"/>
        <v/>
      </c>
      <c r="AH105" s="50" t="str">
        <f t="shared" si="18"/>
        <v>COMMENT ON COLUMN TB_CLASS_DETAIL_OPTN.REGISTER_IP IS '등록자 IP' ;</v>
      </c>
    </row>
    <row r="106" spans="1:34" ht="20.100000000000001" customHeight="1">
      <c r="A106" s="55">
        <v>102</v>
      </c>
      <c r="B106" s="26" t="s">
        <v>7</v>
      </c>
      <c r="C106" s="25" t="s">
        <v>11</v>
      </c>
      <c r="D106" s="13" t="s">
        <v>313</v>
      </c>
      <c r="E106" s="13" t="s">
        <v>314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749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5"/>
        <v>TB_CLASS_DETAIL_OPTN</v>
      </c>
      <c r="Z106" s="50" t="str">
        <f t="shared" si="19"/>
        <v>REG_DT TIMESTAMP NOT NULL,</v>
      </c>
      <c r="AA106" s="50" t="str">
        <f t="shared" si="16"/>
        <v/>
      </c>
      <c r="AB106" s="50" t="str">
        <f t="shared" si="17"/>
        <v/>
      </c>
      <c r="AC106" s="50" t="str">
        <f t="shared" si="24"/>
        <v/>
      </c>
      <c r="AD106" s="50" t="str">
        <f t="shared" si="25"/>
        <v>ALTER TABLE TB_CLASS_DETAIL_OPTN ALTER COLUMN REG_DT TYPE TIMESTAMP;</v>
      </c>
      <c r="AE106" s="50" t="str">
        <f t="shared" si="26"/>
        <v>ALTER TABLE TB_CLASS_DETAIL_OPTN ADD COLUMN REG_DT TIMESTAMP NOT NULL;</v>
      </c>
      <c r="AF106" s="50" t="str">
        <f t="shared" si="27"/>
        <v>ALTER TABLE TB_CLASS_DETAIL_OPTN DROP COLUMN REG_DT;</v>
      </c>
      <c r="AG106" s="50" t="str">
        <f t="shared" si="28"/>
        <v/>
      </c>
      <c r="AH106" s="50" t="str">
        <f t="shared" si="18"/>
        <v>COMMENT ON COLUMN TB_CLASS_DETAIL_OPTN.REG_DT IS '등록 일시' ;</v>
      </c>
    </row>
    <row r="107" spans="1:34" ht="20.100000000000001" customHeight="1">
      <c r="A107" s="55">
        <v>103</v>
      </c>
      <c r="B107" s="26" t="s">
        <v>7</v>
      </c>
      <c r="C107" s="25" t="s">
        <v>11</v>
      </c>
      <c r="D107" s="13" t="s">
        <v>313</v>
      </c>
      <c r="E107" s="13" t="s">
        <v>314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555</v>
      </c>
      <c r="Q107" s="126" t="s">
        <v>560</v>
      </c>
      <c r="R107" s="85"/>
      <c r="S107" s="112" t="s">
        <v>223</v>
      </c>
      <c r="T107" s="83"/>
      <c r="U107" s="83"/>
      <c r="V107" s="123" t="s">
        <v>529</v>
      </c>
      <c r="W107" s="45"/>
      <c r="X107" s="83"/>
      <c r="Y107" s="129" t="str">
        <f t="shared" si="15"/>
        <v>TB_CLASS_DETAIL_OPTN</v>
      </c>
      <c r="Z107" s="50" t="str">
        <f t="shared" si="19"/>
        <v>UPDUSR_ID VARCHAR(50),</v>
      </c>
      <c r="AA107" s="50" t="str">
        <f t="shared" si="16"/>
        <v/>
      </c>
      <c r="AB107" s="50" t="str">
        <f t="shared" si="17"/>
        <v/>
      </c>
      <c r="AC107" s="50" t="str">
        <f t="shared" si="24"/>
        <v/>
      </c>
      <c r="AD107" s="50" t="str">
        <f t="shared" si="25"/>
        <v>ALTER TABLE TB_CLASS_DETAIL_OPTN ALTER COLUMN UPDUSR_ID TYPE VARCHAR(50);</v>
      </c>
      <c r="AE107" s="50" t="str">
        <f t="shared" si="26"/>
        <v>ALTER TABLE TB_CLASS_DETAIL_OPTN ADD COLUMN UPDUSR_ID VARCHAR(50);</v>
      </c>
      <c r="AF107" s="50" t="str">
        <f t="shared" si="27"/>
        <v>ALTER TABLE TB_CLASS_DETAIL_OPTN DROP COLUMN UPDUSR_ID;</v>
      </c>
      <c r="AG107" s="50" t="str">
        <f t="shared" si="28"/>
        <v/>
      </c>
      <c r="AH107" s="50" t="str">
        <f t="shared" si="18"/>
        <v>COMMENT ON COLUMN TB_CLASS_DETAIL_OPTN.UPDUSR_ID IS '수정자 ID' ;</v>
      </c>
    </row>
    <row r="108" spans="1:34" ht="20.100000000000001" customHeight="1">
      <c r="A108" s="55">
        <v>104</v>
      </c>
      <c r="B108" s="26" t="s">
        <v>7</v>
      </c>
      <c r="C108" s="25" t="s">
        <v>11</v>
      </c>
      <c r="D108" s="13" t="s">
        <v>313</v>
      </c>
      <c r="E108" s="13" t="s">
        <v>314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561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5"/>
        <v>TB_CLASS_DETAIL_OPTN</v>
      </c>
      <c r="Z108" s="50" t="str">
        <f t="shared" si="19"/>
        <v>UPDUSR_IP VARCHAR(100),</v>
      </c>
      <c r="AA108" s="50" t="str">
        <f t="shared" si="16"/>
        <v/>
      </c>
      <c r="AB108" s="50" t="str">
        <f t="shared" si="17"/>
        <v/>
      </c>
      <c r="AC108" s="50" t="str">
        <f t="shared" si="24"/>
        <v/>
      </c>
      <c r="AD108" s="50" t="str">
        <f t="shared" si="25"/>
        <v>ALTER TABLE TB_CLASS_DETAIL_OPTN ALTER COLUMN UPDUSR_IP TYPE VARCHAR(100);</v>
      </c>
      <c r="AE108" s="50" t="str">
        <f t="shared" si="26"/>
        <v>ALTER TABLE TB_CLASS_DETAIL_OPTN ADD COLUMN UPDUSR_IP VARCHAR(100);</v>
      </c>
      <c r="AF108" s="50" t="str">
        <f t="shared" si="27"/>
        <v>ALTER TABLE TB_CLASS_DETAIL_OPTN DROP COLUMN UPDUSR_IP;</v>
      </c>
      <c r="AG108" s="50" t="str">
        <f t="shared" si="28"/>
        <v/>
      </c>
      <c r="AH108" s="50" t="str">
        <f t="shared" si="18"/>
        <v>COMMENT ON COLUMN TB_CLASS_DETAIL_OPTN.UPDUSR_IP IS '수정자 IP' ;</v>
      </c>
    </row>
    <row r="109" spans="1:34" ht="20.100000000000001" customHeight="1">
      <c r="A109" s="55">
        <v>105</v>
      </c>
      <c r="B109" s="26" t="s">
        <v>7</v>
      </c>
      <c r="C109" s="25" t="s">
        <v>11</v>
      </c>
      <c r="D109" s="13" t="s">
        <v>313</v>
      </c>
      <c r="E109" s="13" t="s">
        <v>314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749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5"/>
        <v>TB_CLASS_DETAIL_OPTN</v>
      </c>
      <c r="Z109" s="50" t="str">
        <f t="shared" si="19"/>
        <v>UPDT_DT TIMESTAMP,</v>
      </c>
      <c r="AA109" s="50" t="str">
        <f t="shared" si="16"/>
        <v/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TB_CLASS_DETAIL_OPTN ALTER COLUMN UPDT_DT TYPE TIMESTAMP;</v>
      </c>
      <c r="AE109" s="50" t="str">
        <f t="shared" si="26"/>
        <v>ALTER TABLE TB_CLASS_DETAIL_OPTN ADD COLUMN UPDT_DT TIMESTAMP;</v>
      </c>
      <c r="AF109" s="50" t="str">
        <f t="shared" si="27"/>
        <v>ALTER TABLE TB_CLASS_DETAIL_OPTN DROP COLUMN UPDT_DT;</v>
      </c>
      <c r="AG109" s="50" t="str">
        <f t="shared" si="28"/>
        <v/>
      </c>
      <c r="AH109" s="50" t="str">
        <f t="shared" si="18"/>
        <v>COMMENT ON COLUMN TB_CLASS_DETAIL_OPTN.UPDT_DT IS '수정 일시' ;</v>
      </c>
    </row>
    <row r="110" spans="1:34" ht="20.100000000000001" customHeight="1">
      <c r="A110" s="55">
        <v>106</v>
      </c>
      <c r="B110" s="26" t="s">
        <v>7</v>
      </c>
      <c r="C110" s="25" t="s">
        <v>11</v>
      </c>
      <c r="D110" s="13" t="s">
        <v>313</v>
      </c>
      <c r="E110" s="13" t="s">
        <v>314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556</v>
      </c>
      <c r="R110" s="87" t="s">
        <v>604</v>
      </c>
      <c r="S110" s="112" t="s">
        <v>220</v>
      </c>
      <c r="T110" s="83"/>
      <c r="U110" s="83"/>
      <c r="V110" s="106"/>
      <c r="W110" s="45"/>
      <c r="X110" s="83"/>
      <c r="Y110" s="129" t="str">
        <f t="shared" si="15"/>
        <v>TB_CLASS_DETAIL_OPTN</v>
      </c>
      <c r="Z110" s="50" t="str">
        <f t="shared" si="19"/>
        <v>DEL_YN VARCHAR(1)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TB_CLASS_DETAIL_OPTN ALTER COLUMN DEL_YN TYPE VARCHAR(1);</v>
      </c>
      <c r="AE110" s="50" t="str">
        <f t="shared" si="26"/>
        <v>ALTER TABLE TB_CLASS_DETAIL_OPTN ADD COLUMN DEL_YN VARCHAR(1) NOT NULL DEFAULT 'N';</v>
      </c>
      <c r="AF110" s="50" t="str">
        <f t="shared" si="27"/>
        <v>ALTER TABLE TB_CLASS_DETAIL_OPTN DROP COLUMN DEL_YN;</v>
      </c>
      <c r="AG110" s="50" t="str">
        <f t="shared" si="28"/>
        <v>ALTER TABLE TB_CLASS_DETAIL_OPTN ALTER COLUMN DEL_YN SET DEFAULT 'N';</v>
      </c>
      <c r="AH110" s="50" t="str">
        <f t="shared" si="18"/>
        <v>COMMENT ON COLUMN TB_CLASS_DETAIL_OPTN.DEL_YN IS '삭제 여부' ;</v>
      </c>
    </row>
    <row r="111" spans="1:34" ht="20.100000000000001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330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5"/>
        <v>TB_CLASS_DETAIL_REQST</v>
      </c>
      <c r="Z111" s="50" t="str">
        <f t="shared" si="19"/>
        <v>CLASS_DETAIL_REQST_SN INTEGER PRIMARY KEY,</v>
      </c>
      <c r="AA111" s="50" t="str">
        <f t="shared" si="16"/>
        <v/>
      </c>
      <c r="AB111" s="50" t="str">
        <f t="shared" si="17"/>
        <v>CREATE SEQUENCE SEQ_TB_CLASS_DETAIL_REQST_SN START 100000;</v>
      </c>
      <c r="AC111" s="50" t="str">
        <f t="shared" si="24"/>
        <v>ALTER TABLE TB_CLASS_DETAIL_REQST ALTER COLUMN CLASS_DETAIL_REQST_SN SET DEFAULT NEXTVAL('SEQ_TB_CLASS_DETAIL_REQST_SN');</v>
      </c>
      <c r="AD111" s="50" t="str">
        <f t="shared" si="25"/>
        <v>ALTER TABLE TB_CLASS_DETAIL_REQST ALTER COLUMN CLASS_DETAIL_REQST_SN TYPE INTEGER;</v>
      </c>
      <c r="AE111" s="50" t="str">
        <f t="shared" si="26"/>
        <v>ALTER TABLE TB_CLASS_DETAIL_REQST ADD COLUMN CLASS_DETAIL_REQST_SN INTEGER NOT NULL;</v>
      </c>
      <c r="AF111" s="50" t="str">
        <f t="shared" si="27"/>
        <v>ALTER TABLE TB_CLASS_DETAIL_REQST DROP COLUMN CLASS_DETAIL_REQST_SN;</v>
      </c>
      <c r="AG111" s="50" t="str">
        <f t="shared" si="28"/>
        <v/>
      </c>
      <c r="AH111" s="50" t="str">
        <f t="shared" si="18"/>
        <v>COMMENT ON COLUMN TB_CLASS_DETAIL_REQST.CLASS_DETAIL_REQST_SN IS '클래스 상세 신청 일련번호' ;</v>
      </c>
    </row>
    <row r="112" spans="1:34" ht="20.100000000000001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574</v>
      </c>
      <c r="O112" s="100" t="s">
        <v>576</v>
      </c>
      <c r="P112" s="106" t="s">
        <v>177</v>
      </c>
      <c r="Q112" s="47"/>
      <c r="R112" s="85"/>
      <c r="S112" s="112" t="s">
        <v>331</v>
      </c>
      <c r="T112" s="83"/>
      <c r="U112" s="83"/>
      <c r="V112" s="106"/>
      <c r="W112" s="45"/>
      <c r="X112" s="83"/>
      <c r="Y112" s="129" t="str">
        <f t="shared" si="15"/>
        <v>TB_CLASS_DETAIL_REQST</v>
      </c>
      <c r="Z112" s="50" t="str">
        <f t="shared" si="19"/>
        <v>CLASS_DETAIL_SN INTEGER NOT NULL,</v>
      </c>
      <c r="AA112" s="50" t="str">
        <f t="shared" si="16"/>
        <v>ALTER TABLE TB_CLASS_DETAIL_REQST ADD CONSTRAINT TB_CLASS_DETAIL_REQST_FKEY1 FOREIGN KEY(CLASS_DETAIL_SN) REFERENCES TB_CLASS_DETAIL(CLASS_DETAIL_SN) ON UPDATE CASCADE ON DELETE CASCADE;</v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TB_CLASS_DETAIL_REQST ALTER COLUMN CLASS_DETAIL_SN TYPE INTEGER;</v>
      </c>
      <c r="AE112" s="50" t="str">
        <f t="shared" si="26"/>
        <v>ALTER TABLE TB_CLASS_DETAIL_REQST ADD COLUMN CLASS_DETAIL_SN INTEGER NOT NULL;</v>
      </c>
      <c r="AF112" s="50" t="str">
        <f t="shared" si="27"/>
        <v>ALTER TABLE TB_CLASS_DETAIL_REQST DROP COLUMN CLASS_DETAIL_SN;</v>
      </c>
      <c r="AG112" s="50" t="str">
        <f t="shared" si="28"/>
        <v/>
      </c>
      <c r="AH112" s="50" t="str">
        <f t="shared" si="18"/>
        <v>COMMENT ON COLUMN TB_CLASS_DETAIL_REQST.CLASS_DETAIL_SN IS '클래스 상세 일련번호' ;</v>
      </c>
    </row>
    <row r="113" spans="1:34" ht="20.100000000000001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574</v>
      </c>
      <c r="O113" s="100" t="s">
        <v>576</v>
      </c>
      <c r="P113" s="106" t="s">
        <v>177</v>
      </c>
      <c r="Q113" s="125"/>
      <c r="R113" s="85"/>
      <c r="S113" s="112" t="s">
        <v>332</v>
      </c>
      <c r="T113" s="132"/>
      <c r="U113" s="83"/>
      <c r="V113" s="106"/>
      <c r="W113" s="45"/>
      <c r="X113" s="83"/>
      <c r="Y113" s="129" t="str">
        <f t="shared" si="15"/>
        <v>TB_CLASS_DETAIL_REQST</v>
      </c>
      <c r="Z113" s="50" t="str">
        <f t="shared" si="19"/>
        <v>LCTRE_REQST_SN INTEGER NOT NULL,</v>
      </c>
      <c r="AA113" s="50" t="str">
        <f t="shared" si="16"/>
        <v>ALTER TABLE TB_CLASS_DETAIL_REQST ADD CONSTRAINT TB_CLASS_DETAIL_REQST_FKEY2 FOREIGN KEY(LCTRE_REQST_SN) REFERENCES TB_LCTRE_REQST(LCTRE_REQST_SN) ON UPDATE CASCADE ON DELETE CASCADE;</v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TB_CLASS_DETAIL_REQST ALTER COLUMN LCTRE_REQST_SN TYPE INTEGER;</v>
      </c>
      <c r="AE113" s="50" t="str">
        <f t="shared" si="26"/>
        <v>ALTER TABLE TB_CLASS_DETAIL_REQST ADD COLUMN LCTRE_REQST_SN INTEGER NOT NULL;</v>
      </c>
      <c r="AF113" s="50" t="str">
        <f t="shared" si="27"/>
        <v>ALTER TABLE TB_CLASS_DETAIL_REQST DROP COLUMN LCTRE_REQST_SN;</v>
      </c>
      <c r="AG113" s="50" t="str">
        <f t="shared" si="28"/>
        <v/>
      </c>
      <c r="AH113" s="50" t="str">
        <f t="shared" si="18"/>
        <v>COMMENT ON COLUMN TB_CLASS_DETAIL_REQST.LCTRE_REQST_SN IS '수업 신청 일련번호' ;</v>
      </c>
    </row>
    <row r="114" spans="1:34" ht="20.100000000000001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326</v>
      </c>
      <c r="Q114" s="126" t="s">
        <v>564</v>
      </c>
      <c r="R114" s="82"/>
      <c r="S114" s="112" t="s">
        <v>333</v>
      </c>
      <c r="T114" s="83"/>
      <c r="U114" s="83"/>
      <c r="V114" s="106"/>
      <c r="W114" s="45"/>
      <c r="X114" s="83"/>
      <c r="Y114" s="129" t="str">
        <f t="shared" si="15"/>
        <v>TB_CLASS_DETAIL_REQST</v>
      </c>
      <c r="Z114" s="50" t="str">
        <f t="shared" si="19"/>
        <v>CLASS_DETAIL_ANSWER VARCHAR(2000),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TB_CLASS_DETAIL_REQST ALTER COLUMN CLASS_DETAIL_ANSWER TYPE VARCHAR(2000);</v>
      </c>
      <c r="AE114" s="50" t="str">
        <f t="shared" si="26"/>
        <v>ALTER TABLE TB_CLASS_DETAIL_REQST ADD COLUMN CLASS_DETAIL_ANSWER VARCHAR(2000);</v>
      </c>
      <c r="AF114" s="50" t="str">
        <f t="shared" si="27"/>
        <v>ALTER TABLE TB_CLASS_DETAIL_REQST DROP COLUMN CLASS_DETAIL_ANSWER;</v>
      </c>
      <c r="AG114" s="50" t="str">
        <f t="shared" si="28"/>
        <v/>
      </c>
      <c r="AH114" s="50" t="str">
        <f t="shared" si="18"/>
        <v>COMMENT ON COLUMN TB_CLASS_DETAIL_REQST.CLASS_DETAIL_ANSWER IS '클래스 상세 답변' ;</v>
      </c>
    </row>
    <row r="115" spans="1:34" ht="20.100000000000001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555</v>
      </c>
      <c r="Q115" s="126" t="s">
        <v>560</v>
      </c>
      <c r="R115" s="85"/>
      <c r="S115" s="112" t="s">
        <v>226</v>
      </c>
      <c r="T115" s="83"/>
      <c r="U115" s="83"/>
      <c r="V115" s="123" t="s">
        <v>529</v>
      </c>
      <c r="W115" s="45"/>
      <c r="X115" s="83"/>
      <c r="Y115" s="129" t="str">
        <f t="shared" si="15"/>
        <v>TB_CLASS_DETAIL_REQST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TB_CLASS_DETAIL_REQST ALTER COLUMN REGISTER_ID TYPE VARCHAR(50);</v>
      </c>
      <c r="AE115" s="50" t="str">
        <f t="shared" si="26"/>
        <v>ALTER TABLE TB_CLASS_DETAIL_REQST ADD COLUMN REGISTER_ID VARCHAR(50) NOT NULL;</v>
      </c>
      <c r="AF115" s="50" t="str">
        <f t="shared" si="27"/>
        <v>ALTER TABLE TB_CLASS_DETAIL_REQST DROP COLUMN REGISTER_ID;</v>
      </c>
      <c r="AG115" s="50" t="str">
        <f t="shared" si="28"/>
        <v/>
      </c>
      <c r="AH115" s="50" t="str">
        <f t="shared" si="18"/>
        <v>COMMENT ON COLUMN TB_CLASS_DETAIL_REQST.REGISTER_ID IS '등록자 ID' ;</v>
      </c>
    </row>
    <row r="116" spans="1:34" ht="20.100000000000001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561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5"/>
        <v>TB_CLASS_DETAIL_REQST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TB_CLASS_DETAIL_REQST ALTER COLUMN REGISTER_IP TYPE VARCHAR(100);</v>
      </c>
      <c r="AE116" s="50" t="str">
        <f t="shared" si="26"/>
        <v>ALTER TABLE TB_CLASS_DETAIL_REQST ADD COLUMN REGISTER_IP VARCHAR(100) NOT NULL;</v>
      </c>
      <c r="AF116" s="50" t="str">
        <f t="shared" si="27"/>
        <v>ALTER TABLE TB_CLASS_DETAIL_REQST DROP COLUMN REGISTER_IP;</v>
      </c>
      <c r="AG116" s="50" t="str">
        <f t="shared" si="28"/>
        <v/>
      </c>
      <c r="AH116" s="50" t="str">
        <f t="shared" si="18"/>
        <v>COMMENT ON COLUMN TB_CLASS_DETAIL_REQST.REGISTER_IP IS '등록자 IP' ;</v>
      </c>
    </row>
    <row r="117" spans="1:34" ht="20.100000000000001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749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5"/>
        <v>TB_CLASS_DETAIL_REQST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TB_CLASS_DETAIL_REQST ALTER COLUMN REG_DT TYPE TIMESTAMP;</v>
      </c>
      <c r="AE117" s="50" t="str">
        <f t="shared" si="26"/>
        <v>ALTER TABLE TB_CLASS_DETAIL_REQST ADD COLUMN REG_DT TIMESTAMP NOT NULL;</v>
      </c>
      <c r="AF117" s="50" t="str">
        <f t="shared" si="27"/>
        <v>ALTER TABLE TB_CLASS_DETAIL_REQST DROP COLUMN REG_DT;</v>
      </c>
      <c r="AG117" s="50" t="str">
        <f t="shared" si="28"/>
        <v/>
      </c>
      <c r="AH117" s="50" t="str">
        <f t="shared" si="18"/>
        <v>COMMENT ON COLUMN TB_CLASS_DETAIL_REQST.REG_DT IS '등록 일시' ;</v>
      </c>
    </row>
    <row r="118" spans="1:34" ht="20.100000000000001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555</v>
      </c>
      <c r="Q118" s="126" t="s">
        <v>560</v>
      </c>
      <c r="R118" s="85"/>
      <c r="S118" s="112" t="s">
        <v>223</v>
      </c>
      <c r="T118" s="83"/>
      <c r="U118" s="83"/>
      <c r="V118" s="123" t="s">
        <v>529</v>
      </c>
      <c r="W118" s="45"/>
      <c r="X118" s="83"/>
      <c r="Y118" s="129" t="str">
        <f t="shared" si="15"/>
        <v>TB_CLASS_DETAIL_REQST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TB_CLASS_DETAIL_REQST ALTER COLUMN UPDUSR_ID TYPE VARCHAR(50);</v>
      </c>
      <c r="AE118" s="50" t="str">
        <f t="shared" si="26"/>
        <v>ALTER TABLE TB_CLASS_DETAIL_REQST ADD COLUMN UPDUSR_ID VARCHAR(50);</v>
      </c>
      <c r="AF118" s="50" t="str">
        <f t="shared" si="27"/>
        <v>ALTER TABLE TB_CLASS_DETAIL_REQST DROP COLUMN UPDUSR_ID;</v>
      </c>
      <c r="AG118" s="50" t="str">
        <f t="shared" si="28"/>
        <v/>
      </c>
      <c r="AH118" s="50" t="str">
        <f t="shared" si="18"/>
        <v>COMMENT ON COLUMN TB_CLASS_DETAIL_REQST.UPDUSR_ID IS '수정자 ID' ;</v>
      </c>
    </row>
    <row r="119" spans="1:34" ht="20.100000000000001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561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5"/>
        <v>TB_CLASS_DETAIL_REQST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TB_CLASS_DETAIL_REQST ALTER COLUMN UPDUSR_IP TYPE VARCHAR(100);</v>
      </c>
      <c r="AE119" s="50" t="str">
        <f t="shared" si="26"/>
        <v>ALTER TABLE TB_CLASS_DETAIL_REQST ADD COLUMN UPDUSR_IP VARCHAR(100);</v>
      </c>
      <c r="AF119" s="50" t="str">
        <f t="shared" si="27"/>
        <v>ALTER TABLE TB_CLASS_DETAIL_REQST DROP COLUMN UPDUSR_IP;</v>
      </c>
      <c r="AG119" s="50" t="str">
        <f t="shared" si="28"/>
        <v/>
      </c>
      <c r="AH119" s="50" t="str">
        <f t="shared" si="18"/>
        <v>COMMENT ON COLUMN TB_CLASS_DETAIL_REQST.UPDUSR_IP IS '수정자 IP' ;</v>
      </c>
    </row>
    <row r="120" spans="1:34" ht="20.100000000000001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749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5"/>
        <v>TB_CLASS_DETAIL_REQST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TB_CLASS_DETAIL_REQST ALTER COLUMN UPDT_DT TYPE TIMESTAMP;</v>
      </c>
      <c r="AE120" s="50" t="str">
        <f t="shared" si="26"/>
        <v>ALTER TABLE TB_CLASS_DETAIL_REQST ADD COLUMN UPDT_DT TIMESTAMP;</v>
      </c>
      <c r="AF120" s="50" t="str">
        <f t="shared" si="27"/>
        <v>ALTER TABLE TB_CLASS_DETAIL_REQST DROP COLUMN UPDT_DT;</v>
      </c>
      <c r="AG120" s="50" t="str">
        <f t="shared" si="28"/>
        <v/>
      </c>
      <c r="AH120" s="50" t="str">
        <f t="shared" si="18"/>
        <v>COMMENT ON COLUMN TB_CLASS_DETAIL_REQST.UPDT_DT IS '수정 일시' ;</v>
      </c>
    </row>
    <row r="121" spans="1:34" ht="20.100000000000001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556</v>
      </c>
      <c r="R121" s="87" t="s">
        <v>604</v>
      </c>
      <c r="S121" s="112" t="s">
        <v>220</v>
      </c>
      <c r="T121" s="83"/>
      <c r="U121" s="83"/>
      <c r="V121" s="106"/>
      <c r="W121" s="45"/>
      <c r="X121" s="83"/>
      <c r="Y121" s="129" t="str">
        <f t="shared" si="15"/>
        <v>TB_CLASS_DETAIL_REQST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TB_CLASS_DETAIL_REQST ALTER COLUMN DEL_YN TYPE VARCHAR(1);</v>
      </c>
      <c r="AE121" s="50" t="str">
        <f t="shared" si="26"/>
        <v>ALTER TABLE TB_CLASS_DETAIL_REQST ADD COLUMN DEL_YN VARCHAR(1) NOT NULL DEFAULT 'N';</v>
      </c>
      <c r="AF121" s="50" t="str">
        <f t="shared" si="27"/>
        <v>ALTER TABLE TB_CLASS_DETAIL_REQST DROP COLUMN DEL_YN;</v>
      </c>
      <c r="AG121" s="50" t="str">
        <f t="shared" si="28"/>
        <v>ALTER TABLE TB_CLASS_DETAIL_REQST ALTER COLUMN DEL_YN SET DEFAULT 'N';</v>
      </c>
      <c r="AH121" s="50" t="str">
        <f t="shared" si="18"/>
        <v>COMMENT ON COLUMN TB_CLASS_DETAIL_REQST.DEL_YN IS '삭제 여부' ;</v>
      </c>
    </row>
    <row r="122" spans="1:34" ht="20.100000000000001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5"/>
        <v>TB_CLASS_WEEK</v>
      </c>
      <c r="Z122" s="50" t="str">
        <f t="shared" si="19"/>
        <v>CLASS_WEEK_SN INTEGER PRIMARY KEY,</v>
      </c>
      <c r="AA122" s="50" t="str">
        <f t="shared" si="16"/>
        <v/>
      </c>
      <c r="AB122" s="50" t="str">
        <f t="shared" si="17"/>
        <v>CREATE SEQUENCE SEQ_TB_CLASS_WEEK_SN START 100000;</v>
      </c>
      <c r="AC122" s="50" t="str">
        <f t="shared" si="24"/>
        <v>ALTER TABLE TB_CLASS_WEEK ALTER COLUMN CLASS_WEEK_SN SET DEFAULT NEXTVAL('SEQ_TB_CLASS_WEEK_SN');</v>
      </c>
      <c r="AD122" s="50" t="str">
        <f t="shared" si="25"/>
        <v>ALTER TABLE TB_CLASS_WEEK ALTER COLUMN CLASS_WEEK_SN TYPE INTEGER;</v>
      </c>
      <c r="AE122" s="50" t="str">
        <f t="shared" si="26"/>
        <v>ALTER TABLE TB_CLASS_WEEK ADD COLUMN CLASS_WEEK_SN INTEGER NOT NULL;</v>
      </c>
      <c r="AF122" s="50" t="str">
        <f t="shared" si="27"/>
        <v>ALTER TABLE TB_CLASS_WEEK DROP COLUMN CLASS_WEEK_SN;</v>
      </c>
      <c r="AG122" s="50" t="str">
        <f t="shared" si="28"/>
        <v/>
      </c>
      <c r="AH122" s="50" t="str">
        <f t="shared" si="18"/>
        <v>COMMENT ON COLUMN TB_CLASS_WEEK.CLASS_WEEK_SN IS '클래스 요일 일련번호' ;</v>
      </c>
    </row>
    <row r="123" spans="1:34" ht="20.100000000000001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574</v>
      </c>
      <c r="O123" s="100" t="s">
        <v>576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5"/>
        <v>TB_CLASS_WEEK</v>
      </c>
      <c r="Z123" s="50" t="str">
        <f t="shared" si="19"/>
        <v>CLASS_SN INTEGER NOT NULL,</v>
      </c>
      <c r="AA123" s="50" t="str">
        <f t="shared" si="16"/>
        <v>ALTER TABLE TB_CLASS_WEEK ADD CONSTRAINT TB_CLASS_WEEK_FKEY1 FOREIGN KEY(CLASS_SN) REFERENCES TB_CLASS(CLASS_SN)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TB_CLASS_WEEK ALTER COLUMN CLASS_SN TYPE INTEGER;</v>
      </c>
      <c r="AE123" s="50" t="str">
        <f t="shared" si="26"/>
        <v>ALTER TABLE TB_CLASS_WEEK ADD COLUMN CLASS_SN INTEGER NOT NULL;</v>
      </c>
      <c r="AF123" s="50" t="str">
        <f t="shared" si="27"/>
        <v>ALTER TABLE TB_CLASS_WEEK DROP COLUMN CLASS_SN;</v>
      </c>
      <c r="AG123" s="50" t="str">
        <f t="shared" si="28"/>
        <v/>
      </c>
      <c r="AH123" s="50" t="str">
        <f t="shared" si="18"/>
        <v>COMMENT ON COLUMN TB_CLASS_WEEK.CLASS_SN IS '클래스 일련번호' ;</v>
      </c>
    </row>
    <row r="124" spans="1:34" ht="20.100000000000001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560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5"/>
        <v>TB_CLASS_WEEK</v>
      </c>
      <c r="Z124" s="50" t="str">
        <f t="shared" si="19"/>
        <v>CLASS_DAY_CD VARCHAR(50) NOT NULL,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TB_CLASS_WEEK ALTER COLUMN CLASS_DAY_CD TYPE VARCHAR(50);</v>
      </c>
      <c r="AE124" s="50" t="str">
        <f t="shared" si="26"/>
        <v>ALTER TABLE TB_CLASS_WEEK ADD COLUMN CLASS_DAY_CD VARCHAR(50) NOT NULL;</v>
      </c>
      <c r="AF124" s="50" t="str">
        <f t="shared" si="27"/>
        <v>ALTER TABLE TB_CLASS_WEEK DROP COLUMN CLASS_DAY_CD;</v>
      </c>
      <c r="AG124" s="50" t="str">
        <f t="shared" si="28"/>
        <v/>
      </c>
      <c r="AH124" s="50" t="str">
        <f t="shared" si="18"/>
        <v>COMMENT ON COLUMN TB_CLASS_WEEK.CLASS_DAY_CD IS '클래스 요일 코드' ;</v>
      </c>
    </row>
    <row r="125" spans="1:34" ht="20.100000000000001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555</v>
      </c>
      <c r="Q125" s="126" t="s">
        <v>560</v>
      </c>
      <c r="R125" s="85"/>
      <c r="S125" s="112" t="s">
        <v>226</v>
      </c>
      <c r="T125" s="83"/>
      <c r="U125" s="83"/>
      <c r="V125" s="123" t="s">
        <v>529</v>
      </c>
      <c r="W125" s="45"/>
      <c r="X125" s="83"/>
      <c r="Y125" s="129" t="str">
        <f t="shared" si="15"/>
        <v>TB_CLASS_WEEK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TB_CLASS_WEEK ALTER COLUMN REGISTER_ID TYPE VARCHAR(50);</v>
      </c>
      <c r="AE125" s="50" t="str">
        <f t="shared" si="26"/>
        <v>ALTER TABLE TB_CLASS_WEEK ADD COLUMN REGISTER_ID VARCHAR(50) NOT NULL;</v>
      </c>
      <c r="AF125" s="50" t="str">
        <f t="shared" si="27"/>
        <v>ALTER TABLE TB_CLASS_WEEK DROP COLUMN REGISTER_ID;</v>
      </c>
      <c r="AG125" s="50" t="str">
        <f t="shared" si="28"/>
        <v/>
      </c>
      <c r="AH125" s="50" t="str">
        <f t="shared" si="18"/>
        <v>COMMENT ON COLUMN TB_CLASS_WEEK.REGISTER_ID IS '등록자 ID' ;</v>
      </c>
    </row>
    <row r="126" spans="1:34" ht="20.100000000000001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561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TB_CLASS_WEEK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TB_CLASS_WEEK ALTER COLUMN REGISTER_IP TYPE VARCHAR(100);</v>
      </c>
      <c r="AE126" s="50" t="str">
        <f t="shared" si="26"/>
        <v>ALTER TABLE TB_CLASS_WEEK ADD COLUMN REGISTER_IP VARCHAR(100) NOT NULL;</v>
      </c>
      <c r="AF126" s="50" t="str">
        <f t="shared" si="27"/>
        <v>ALTER TABLE TB_CLASS_WEEK DROP COLUMN REGISTER_IP;</v>
      </c>
      <c r="AG126" s="50" t="str">
        <f t="shared" si="28"/>
        <v/>
      </c>
      <c r="AH126" s="50" t="str">
        <f t="shared" si="18"/>
        <v>COMMENT ON COLUMN TB_CLASS_WEEK.REGISTER_IP IS '등록자 IP' ;</v>
      </c>
    </row>
    <row r="127" spans="1:34" ht="20.100000000000001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749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TB_CLASS_WEEK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TB_CLASS_WEEK ALTER COLUMN REG_DT TYPE TIMESTAMP;</v>
      </c>
      <c r="AE127" s="50" t="str">
        <f t="shared" si="26"/>
        <v>ALTER TABLE TB_CLASS_WEEK ADD COLUMN REG_DT TIMESTAMP NOT NULL;</v>
      </c>
      <c r="AF127" s="50" t="str">
        <f t="shared" si="27"/>
        <v>ALTER TABLE TB_CLASS_WEEK DROP COLUMN REG_DT;</v>
      </c>
      <c r="AG127" s="50" t="str">
        <f t="shared" si="28"/>
        <v/>
      </c>
      <c r="AH127" s="50" t="str">
        <f t="shared" si="18"/>
        <v>COMMENT ON COLUMN TB_CLASS_WEEK.REG_DT IS '등록 일시' ;</v>
      </c>
    </row>
    <row r="128" spans="1:34" ht="20.100000000000001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555</v>
      </c>
      <c r="Q128" s="126" t="s">
        <v>560</v>
      </c>
      <c r="R128" s="85"/>
      <c r="S128" s="112" t="s">
        <v>223</v>
      </c>
      <c r="T128" s="83"/>
      <c r="U128" s="83"/>
      <c r="V128" s="123" t="s">
        <v>529</v>
      </c>
      <c r="W128" s="45"/>
      <c r="X128" s="83"/>
      <c r="Y128" s="129" t="str">
        <f t="shared" si="15"/>
        <v>TB_CLASS_WEEK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TB_CLASS_WEEK ALTER COLUMN UPDUSR_ID TYPE VARCHAR(50);</v>
      </c>
      <c r="AE128" s="50" t="str">
        <f t="shared" si="26"/>
        <v>ALTER TABLE TB_CLASS_WEEK ADD COLUMN UPDUSR_ID VARCHAR(50);</v>
      </c>
      <c r="AF128" s="50" t="str">
        <f t="shared" si="27"/>
        <v>ALTER TABLE TB_CLASS_WEEK DROP COLUMN UPDUSR_ID;</v>
      </c>
      <c r="AG128" s="50" t="str">
        <f t="shared" si="28"/>
        <v/>
      </c>
      <c r="AH128" s="50" t="str">
        <f t="shared" si="18"/>
        <v>COMMENT ON COLUMN TB_CLASS_WEEK.UPDUSR_ID IS '수정자 ID' ;</v>
      </c>
    </row>
    <row r="129" spans="1:34" ht="20.100000000000001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561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TB_CLASS_WEEK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TB_CLASS_WEEK ALTER COLUMN UPDUSR_IP TYPE VARCHAR(100);</v>
      </c>
      <c r="AE129" s="50" t="str">
        <f t="shared" si="26"/>
        <v>ALTER TABLE TB_CLASS_WEEK ADD COLUMN UPDUSR_IP VARCHAR(100);</v>
      </c>
      <c r="AF129" s="50" t="str">
        <f t="shared" si="27"/>
        <v>ALTER TABLE TB_CLASS_WEEK DROP COLUMN UPDUSR_IP;</v>
      </c>
      <c r="AG129" s="50" t="str">
        <f t="shared" si="28"/>
        <v/>
      </c>
      <c r="AH129" s="50" t="str">
        <f t="shared" si="18"/>
        <v>COMMENT ON COLUMN TB_CLASS_WEEK.UPDUSR_IP IS '수정자 IP' ;</v>
      </c>
    </row>
    <row r="130" spans="1:34" ht="20.100000000000001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749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TB_CLASS_WEEK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TB_CLASS_WEEK ALTER COLUMN UPDT_DT TYPE TIMESTAMP;</v>
      </c>
      <c r="AE130" s="50" t="str">
        <f t="shared" si="26"/>
        <v>ALTER TABLE TB_CLASS_WEEK ADD COLUMN UPDT_DT TIMESTAMP;</v>
      </c>
      <c r="AF130" s="50" t="str">
        <f t="shared" si="27"/>
        <v>ALTER TABLE TB_CLASS_WEEK DROP COLUMN UPDT_DT;</v>
      </c>
      <c r="AG130" s="50" t="str">
        <f t="shared" si="28"/>
        <v/>
      </c>
      <c r="AH130" s="50" t="str">
        <f t="shared" si="18"/>
        <v>COMMENT ON COLUMN TB_CLASS_WEEK.UPDT_DT IS '수정 일시' ;</v>
      </c>
    </row>
    <row r="131" spans="1:34" ht="20.100000000000001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556</v>
      </c>
      <c r="R131" s="87" t="s">
        <v>604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TB_CLASS_WEEK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TB_CLASS_WEEK ALTER COLUMN DEL_YN TYPE VARCHAR(1);</v>
      </c>
      <c r="AE131" s="50" t="str">
        <f t="shared" si="26"/>
        <v>ALTER TABLE TB_CLASS_WEEK ADD COLUMN DEL_YN VARCHAR(1) NOT NULL DEFAULT 'N';</v>
      </c>
      <c r="AF131" s="50" t="str">
        <f t="shared" si="27"/>
        <v>ALTER TABLE TB_CLASS_WEEK DROP COLUMN DEL_YN;</v>
      </c>
      <c r="AG131" s="50" t="str">
        <f t="shared" si="28"/>
        <v>ALTER TABLE TB_CLASS_WEEK ALTER COLUMN DEL_YN SET DEFAULT 'N';</v>
      </c>
      <c r="AH131" s="50" t="str">
        <f t="shared" si="18"/>
        <v>COMMENT ON COLUMN TB_CLASS_WEEK.DEL_YN IS '삭제 여부' ;</v>
      </c>
    </row>
    <row r="132" spans="1:34" ht="20.100000000000001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30">D132</f>
        <v>TB_CLASS_LIKE</v>
      </c>
      <c r="Z132" s="50" t="str">
        <f t="shared" si="19"/>
        <v>CLASS_LIKE_SN INTEGER PRIMARY KEY,</v>
      </c>
      <c r="AA132" s="50" t="str">
        <f t="shared" ref="AA132:AA201" si="31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2">IF(ISBLANK(T132),"","CREATE SEQUENCE "&amp;T132&amp;" START 100000;")</f>
        <v>CREATE SEQUENCE SEQ_TB_CLASS_LIKE_SN START 100000;</v>
      </c>
      <c r="AC132" s="50" t="str">
        <f t="shared" si="24"/>
        <v>ALTER TABLE TB_CLASS_LIKE ALTER COLUMN CLASS_LIKE_SN SET DEFAULT NEXTVAL('SEQ_TB_CLASS_LIKE_SN');</v>
      </c>
      <c r="AD132" s="50" t="str">
        <f t="shared" si="25"/>
        <v>ALTER TABLE TB_CLASS_LIKE ALTER COLUMN CLASS_LIKE_SN TYPE INTEGER;</v>
      </c>
      <c r="AE132" s="50" t="str">
        <f t="shared" si="26"/>
        <v>ALTER TABLE TB_CLASS_LIKE ADD COLUMN CLASS_LIKE_SN INTEGER NOT NULL;</v>
      </c>
      <c r="AF132" s="50" t="str">
        <f t="shared" si="27"/>
        <v>ALTER TABLE TB_CLASS_LIKE DROP COLUMN CLASS_LIKE_SN;</v>
      </c>
      <c r="AG132" s="50" t="str">
        <f t="shared" si="28"/>
        <v/>
      </c>
      <c r="AH132" s="50" t="str">
        <f t="shared" ref="AH132:AH201" si="33">"COMMENT ON COLUMN "&amp;D132&amp;"."&amp;G132&amp;" IS '"&amp;S132&amp;"' ;"</f>
        <v>COMMENT ON COLUMN TB_CLASS_LIKE.CLASS_LIKE_SN IS '클래스 관심 일련번호' ;</v>
      </c>
    </row>
    <row r="133" spans="1:34" ht="20.100000000000001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574</v>
      </c>
      <c r="O133" s="100" t="s">
        <v>576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30"/>
        <v>TB_CLASS_LIKE</v>
      </c>
      <c r="Z133" s="50" t="str">
        <f t="shared" ref="Z133:Z202" si="34">G133&amp;" "&amp;P133&amp;Q133&amp;IF(ISBLANK(J133),""," PRIMARY KEY")&amp;IF(AND(ISBLANK(J133),I133="Y")," NOT NULL","")&amp;","</f>
        <v>CLASS_SN INTEGER NOT NULL,</v>
      </c>
      <c r="AA133" s="50" t="str">
        <f t="shared" si="31"/>
        <v>ALTER TABLE TB_CLASS_LIKE ADD CONSTRAINT TB_CLASS_LIKE_FKEY1 FOREIGN KEY(CLASS_SN) REFERENCES TB_CLASS(CLASS_SN) ON UPDATE CASCADE ON DELETE CASCADE;</v>
      </c>
      <c r="AB133" s="50" t="str">
        <f t="shared" si="32"/>
        <v/>
      </c>
      <c r="AC133" s="50" t="str">
        <f t="shared" si="24"/>
        <v/>
      </c>
      <c r="AD133" s="50" t="str">
        <f t="shared" si="25"/>
        <v>ALTER TABLE TB_CLASS_LIKE ALTER COLUMN CLASS_SN TYPE INTEGER;</v>
      </c>
      <c r="AE133" s="50" t="str">
        <f t="shared" si="26"/>
        <v>ALTER TABLE TB_CLASS_LIKE ADD COLUMN CLASS_SN INTEGER NOT NULL;</v>
      </c>
      <c r="AF133" s="50" t="str">
        <f t="shared" si="27"/>
        <v>ALTER TABLE TB_CLASS_LIKE DROP COLUMN CLASS_SN;</v>
      </c>
      <c r="AG133" s="50" t="str">
        <f t="shared" si="28"/>
        <v/>
      </c>
      <c r="AH133" s="50" t="str">
        <f t="shared" si="33"/>
        <v>COMMENT ON COLUMN TB_CLASS_LIKE.CLASS_SN IS '클래스 일련번호' ;</v>
      </c>
    </row>
    <row r="134" spans="1:34" ht="20.100000000000001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762</v>
      </c>
      <c r="H134" s="100" t="s">
        <v>763</v>
      </c>
      <c r="I134" s="75" t="s">
        <v>72</v>
      </c>
      <c r="J134" s="75"/>
      <c r="K134" s="75">
        <v>2</v>
      </c>
      <c r="L134" s="83" t="s">
        <v>9</v>
      </c>
      <c r="M134" s="100" t="s">
        <v>762</v>
      </c>
      <c r="N134" s="100" t="s">
        <v>574</v>
      </c>
      <c r="O134" s="100" t="s">
        <v>576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30"/>
        <v>TB_CLASS_LIKE</v>
      </c>
      <c r="Z134" s="50" t="str">
        <f t="shared" si="34"/>
        <v>USER_SN INTEGER NOT NULL,</v>
      </c>
      <c r="AA134" s="50" t="str">
        <f t="shared" si="31"/>
        <v>ALTER TABLE TB_CLASS_LIKE ADD CONSTRAINT TB_CLASS_LIKE_FKEY2 FOREIGN KEY(USER_SN) REFERENCES TB_USER(USER_SN) ON UPDATE CASCADE ON DELETE CASCADE;</v>
      </c>
      <c r="AB134" s="50" t="str">
        <f t="shared" si="32"/>
        <v/>
      </c>
      <c r="AC134" s="50" t="str">
        <f t="shared" ref="AC134:AC197" si="35">IF(ISBLANK(T134),"","ALTER TABLE "&amp;D134&amp;" ALTER COLUMN "&amp;G134&amp;" SET DEFAULT NEXTVAL('"&amp;T134&amp;"');")</f>
        <v/>
      </c>
      <c r="AD134" s="50" t="str">
        <f t="shared" ref="AD134:AD197" si="36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7">"ALTER TABLE "&amp;$D134&amp;" ADD COLUMN "&amp;$G134&amp;" "&amp;$P134&amp;IF(ISBLANK(Q134),"",$Q134)&amp;IF(ISBLANK($I134),""," NOT NULL")&amp;IF(ISBLANK($R134),""," DEFAULT "&amp;$R134)&amp;";"</f>
        <v>ALTER TABLE TB_CLASS_LIKE ADD COLUMN USER_SN INTEGER NOT NULL;</v>
      </c>
      <c r="AF134" s="50" t="str">
        <f t="shared" ref="AF134:AF197" si="38">"ALTER TABLE "&amp;$D134&amp;" DROP COLUMN "&amp;$G134&amp;";"</f>
        <v>ALTER TABLE TB_CLASS_LIKE DROP COLUMN USER_SN;</v>
      </c>
      <c r="AG134" s="50" t="str">
        <f t="shared" ref="AG134:AG197" si="39">IF(ISBLANK($R134),"","ALTER TABLE " &amp; $D134 &amp; " ALTER COLUMN " &amp; G134 &amp; " SET DEFAULT " &amp; $R134 &amp; ";")</f>
        <v/>
      </c>
      <c r="AH134" s="50" t="str">
        <f t="shared" si="33"/>
        <v>COMMENT ON COLUMN TB_CLASS_LIKE.USER_SN IS '사용자 일련번호' ;</v>
      </c>
    </row>
    <row r="135" spans="1:34" ht="20.100000000000001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555</v>
      </c>
      <c r="Q135" s="126" t="s">
        <v>560</v>
      </c>
      <c r="R135" s="85"/>
      <c r="S135" s="112" t="s">
        <v>226</v>
      </c>
      <c r="T135" s="83"/>
      <c r="U135" s="83"/>
      <c r="V135" s="123" t="s">
        <v>529</v>
      </c>
      <c r="W135" s="45"/>
      <c r="X135" s="83"/>
      <c r="Y135" s="129" t="str">
        <f t="shared" si="30"/>
        <v>TB_CLASS_LIKE</v>
      </c>
      <c r="Z135" s="50" t="str">
        <f t="shared" si="34"/>
        <v>REGISTER_ID VARCHAR(50) NOT NULL,</v>
      </c>
      <c r="AA135" s="50" t="str">
        <f t="shared" si="31"/>
        <v/>
      </c>
      <c r="AB135" s="50" t="str">
        <f t="shared" si="32"/>
        <v/>
      </c>
      <c r="AC135" s="50" t="str">
        <f t="shared" si="35"/>
        <v/>
      </c>
      <c r="AD135" s="50" t="str">
        <f t="shared" si="36"/>
        <v>ALTER TABLE TB_CLASS_LIKE ALTER COLUMN REGISTER_ID TYPE VARCHAR(50);</v>
      </c>
      <c r="AE135" s="50" t="str">
        <f t="shared" si="37"/>
        <v>ALTER TABLE TB_CLASS_LIKE ADD COLUMN REGISTER_ID VARCHAR(50) NOT NULL;</v>
      </c>
      <c r="AF135" s="50" t="str">
        <f t="shared" si="38"/>
        <v>ALTER TABLE TB_CLASS_LIKE DROP COLUMN REGISTER_ID;</v>
      </c>
      <c r="AG135" s="50" t="str">
        <f t="shared" si="39"/>
        <v/>
      </c>
      <c r="AH135" s="50" t="str">
        <f t="shared" si="33"/>
        <v>COMMENT ON COLUMN TB_CLASS_LIKE.REGISTER_ID IS '등록자 ID' ;</v>
      </c>
    </row>
    <row r="136" spans="1:34" ht="20.100000000000001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561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30"/>
        <v>TB_CLASS_LIKE</v>
      </c>
      <c r="Z136" s="50" t="str">
        <f t="shared" si="34"/>
        <v>REGISTER_IP VARCHAR(100) NOT NULL,</v>
      </c>
      <c r="AA136" s="50" t="str">
        <f t="shared" si="31"/>
        <v/>
      </c>
      <c r="AB136" s="50" t="str">
        <f t="shared" si="32"/>
        <v/>
      </c>
      <c r="AC136" s="50" t="str">
        <f t="shared" si="35"/>
        <v/>
      </c>
      <c r="AD136" s="50" t="str">
        <f t="shared" si="36"/>
        <v>ALTER TABLE TB_CLASS_LIKE ALTER COLUMN REGISTER_IP TYPE VARCHAR(100);</v>
      </c>
      <c r="AE136" s="50" t="str">
        <f t="shared" si="37"/>
        <v>ALTER TABLE TB_CLASS_LIKE ADD COLUMN REGISTER_IP VARCHAR(100) NOT NULL;</v>
      </c>
      <c r="AF136" s="50" t="str">
        <f t="shared" si="38"/>
        <v>ALTER TABLE TB_CLASS_LIKE DROP COLUMN REGISTER_IP;</v>
      </c>
      <c r="AG136" s="50" t="str">
        <f t="shared" si="39"/>
        <v/>
      </c>
      <c r="AH136" s="50" t="str">
        <f t="shared" si="33"/>
        <v>COMMENT ON COLUMN TB_CLASS_LIKE.REGISTER_IP IS '등록자 IP' ;</v>
      </c>
    </row>
    <row r="137" spans="1:34" ht="20.100000000000001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749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30"/>
        <v>TB_CLASS_LIKE</v>
      </c>
      <c r="Z137" s="50" t="str">
        <f t="shared" si="34"/>
        <v>REG_DT TIMESTAMP NOT NULL,</v>
      </c>
      <c r="AA137" s="50" t="str">
        <f t="shared" si="31"/>
        <v/>
      </c>
      <c r="AB137" s="50" t="str">
        <f t="shared" si="32"/>
        <v/>
      </c>
      <c r="AC137" s="50" t="str">
        <f t="shared" si="35"/>
        <v/>
      </c>
      <c r="AD137" s="50" t="str">
        <f t="shared" si="36"/>
        <v>ALTER TABLE TB_CLASS_LIKE ALTER COLUMN REG_DT TYPE TIMESTAMP;</v>
      </c>
      <c r="AE137" s="50" t="str">
        <f t="shared" si="37"/>
        <v>ALTER TABLE TB_CLASS_LIKE ADD COLUMN REG_DT TIMESTAMP NOT NULL;</v>
      </c>
      <c r="AF137" s="50" t="str">
        <f t="shared" si="38"/>
        <v>ALTER TABLE TB_CLASS_LIKE DROP COLUMN REG_DT;</v>
      </c>
      <c r="AG137" s="50" t="str">
        <f t="shared" si="39"/>
        <v/>
      </c>
      <c r="AH137" s="50" t="str">
        <f t="shared" si="33"/>
        <v>COMMENT ON COLUMN TB_CLASS_LIKE.REG_DT IS '등록 일시' ;</v>
      </c>
    </row>
    <row r="138" spans="1:34" ht="20.100000000000001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555</v>
      </c>
      <c r="Q138" s="126" t="s">
        <v>560</v>
      </c>
      <c r="R138" s="85"/>
      <c r="S138" s="112" t="s">
        <v>223</v>
      </c>
      <c r="T138" s="83"/>
      <c r="U138" s="83"/>
      <c r="V138" s="123" t="s">
        <v>529</v>
      </c>
      <c r="W138" s="45"/>
      <c r="X138" s="83"/>
      <c r="Y138" s="129" t="str">
        <f t="shared" si="30"/>
        <v>TB_CLASS_LIKE</v>
      </c>
      <c r="Z138" s="50" t="str">
        <f t="shared" si="34"/>
        <v>UPDUSR_ID VARCHAR(50),</v>
      </c>
      <c r="AA138" s="50" t="str">
        <f t="shared" si="31"/>
        <v/>
      </c>
      <c r="AB138" s="50" t="str">
        <f t="shared" si="32"/>
        <v/>
      </c>
      <c r="AC138" s="50" t="str">
        <f t="shared" si="35"/>
        <v/>
      </c>
      <c r="AD138" s="50" t="str">
        <f t="shared" si="36"/>
        <v>ALTER TABLE TB_CLASS_LIKE ALTER COLUMN UPDUSR_ID TYPE VARCHAR(50);</v>
      </c>
      <c r="AE138" s="50" t="str">
        <f t="shared" si="37"/>
        <v>ALTER TABLE TB_CLASS_LIKE ADD COLUMN UPDUSR_ID VARCHAR(50);</v>
      </c>
      <c r="AF138" s="50" t="str">
        <f t="shared" si="38"/>
        <v>ALTER TABLE TB_CLASS_LIKE DROP COLUMN UPDUSR_ID;</v>
      </c>
      <c r="AG138" s="50" t="str">
        <f t="shared" si="39"/>
        <v/>
      </c>
      <c r="AH138" s="50" t="str">
        <f t="shared" si="33"/>
        <v>COMMENT ON COLUMN TB_CLASS_LIKE.UPDUSR_ID IS '수정자 ID' ;</v>
      </c>
    </row>
    <row r="139" spans="1:34" ht="20.100000000000001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561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30"/>
        <v>TB_CLASS_LIKE</v>
      </c>
      <c r="Z139" s="50" t="str">
        <f t="shared" si="34"/>
        <v>UPDUSR_IP VARCHAR(100),</v>
      </c>
      <c r="AA139" s="50" t="str">
        <f t="shared" si="31"/>
        <v/>
      </c>
      <c r="AB139" s="50" t="str">
        <f t="shared" si="32"/>
        <v/>
      </c>
      <c r="AC139" s="50" t="str">
        <f t="shared" si="35"/>
        <v/>
      </c>
      <c r="AD139" s="50" t="str">
        <f t="shared" si="36"/>
        <v>ALTER TABLE TB_CLASS_LIKE ALTER COLUMN UPDUSR_IP TYPE VARCHAR(100);</v>
      </c>
      <c r="AE139" s="50" t="str">
        <f t="shared" si="37"/>
        <v>ALTER TABLE TB_CLASS_LIKE ADD COLUMN UPDUSR_IP VARCHAR(100);</v>
      </c>
      <c r="AF139" s="50" t="str">
        <f t="shared" si="38"/>
        <v>ALTER TABLE TB_CLASS_LIKE DROP COLUMN UPDUSR_IP;</v>
      </c>
      <c r="AG139" s="50" t="str">
        <f t="shared" si="39"/>
        <v/>
      </c>
      <c r="AH139" s="50" t="str">
        <f t="shared" si="33"/>
        <v>COMMENT ON COLUMN TB_CLASS_LIKE.UPDUSR_IP IS '수정자 IP' ;</v>
      </c>
    </row>
    <row r="140" spans="1:34" ht="20.100000000000001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749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30"/>
        <v>TB_CLASS_LIKE</v>
      </c>
      <c r="Z140" s="50" t="str">
        <f t="shared" si="34"/>
        <v>UPDT_DT TIMESTAMP,</v>
      </c>
      <c r="AA140" s="50" t="str">
        <f t="shared" si="31"/>
        <v/>
      </c>
      <c r="AB140" s="50" t="str">
        <f t="shared" si="32"/>
        <v/>
      </c>
      <c r="AC140" s="50" t="str">
        <f t="shared" si="35"/>
        <v/>
      </c>
      <c r="AD140" s="50" t="str">
        <f t="shared" si="36"/>
        <v>ALTER TABLE TB_CLASS_LIKE ALTER COLUMN UPDT_DT TYPE TIMESTAMP;</v>
      </c>
      <c r="AE140" s="50" t="str">
        <f t="shared" si="37"/>
        <v>ALTER TABLE TB_CLASS_LIKE ADD COLUMN UPDT_DT TIMESTAMP;</v>
      </c>
      <c r="AF140" s="50" t="str">
        <f t="shared" si="38"/>
        <v>ALTER TABLE TB_CLASS_LIKE DROP COLUMN UPDT_DT;</v>
      </c>
      <c r="AG140" s="50" t="str">
        <f t="shared" si="39"/>
        <v/>
      </c>
      <c r="AH140" s="50" t="str">
        <f t="shared" si="33"/>
        <v>COMMENT ON COLUMN TB_CLASS_LIKE.UPDT_DT IS '수정 일시' ;</v>
      </c>
    </row>
    <row r="141" spans="1:34" ht="20.100000000000001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556</v>
      </c>
      <c r="R141" s="87" t="s">
        <v>604</v>
      </c>
      <c r="S141" s="112" t="s">
        <v>220</v>
      </c>
      <c r="T141" s="83"/>
      <c r="U141" s="83"/>
      <c r="V141" s="106"/>
      <c r="W141" s="45"/>
      <c r="X141" s="83"/>
      <c r="Y141" s="129" t="str">
        <f t="shared" si="30"/>
        <v>TB_CLASS_LIKE</v>
      </c>
      <c r="Z141" s="50" t="str">
        <f t="shared" si="34"/>
        <v>DEL_YN VARCHAR(1) NOT NULL,</v>
      </c>
      <c r="AA141" s="50" t="str">
        <f t="shared" si="31"/>
        <v/>
      </c>
      <c r="AB141" s="50" t="str">
        <f t="shared" si="32"/>
        <v/>
      </c>
      <c r="AC141" s="50" t="str">
        <f t="shared" si="35"/>
        <v/>
      </c>
      <c r="AD141" s="50" t="str">
        <f t="shared" si="36"/>
        <v>ALTER TABLE TB_CLASS_LIKE ALTER COLUMN DEL_YN TYPE VARCHAR(1);</v>
      </c>
      <c r="AE141" s="50" t="str">
        <f t="shared" si="37"/>
        <v>ALTER TABLE TB_CLASS_LIKE ADD COLUMN DEL_YN VARCHAR(1) NOT NULL DEFAULT 'N';</v>
      </c>
      <c r="AF141" s="50" t="str">
        <f t="shared" si="38"/>
        <v>ALTER TABLE TB_CLASS_LIKE DROP COLUMN DEL_YN;</v>
      </c>
      <c r="AG141" s="50" t="str">
        <f t="shared" si="39"/>
        <v>ALTER TABLE TB_CLASS_LIKE ALTER COLUMN DEL_YN SET DEFAULT 'N';</v>
      </c>
      <c r="AH141" s="50" t="str">
        <f t="shared" si="33"/>
        <v>COMMENT ON COLUMN TB_CLASS_LIKE.DEL_YN IS '삭제 여부' ;</v>
      </c>
    </row>
    <row r="142" spans="1:34" ht="20.100000000000001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30"/>
        <v>TB_CLASS_REVIEW</v>
      </c>
      <c r="Z142" s="50" t="str">
        <f t="shared" si="34"/>
        <v>CLASS_REVIEW_SN INTEGER PRIMARY KEY,</v>
      </c>
      <c r="AA142" s="50" t="str">
        <f t="shared" si="31"/>
        <v/>
      </c>
      <c r="AB142" s="50" t="str">
        <f t="shared" si="32"/>
        <v>CREATE SEQUENCE SEQ_TB_CLASS_REVIEW_SN START 100000;</v>
      </c>
      <c r="AC142" s="50" t="str">
        <f t="shared" si="35"/>
        <v>ALTER TABLE TB_CLASS_REVIEW ALTER COLUMN CLASS_REVIEW_SN SET DEFAULT NEXTVAL('SEQ_TB_CLASS_REVIEW_SN');</v>
      </c>
      <c r="AD142" s="50" t="str">
        <f t="shared" si="36"/>
        <v>ALTER TABLE TB_CLASS_REVIEW ALTER COLUMN CLASS_REVIEW_SN TYPE INTEGER;</v>
      </c>
      <c r="AE142" s="50" t="str">
        <f t="shared" si="37"/>
        <v>ALTER TABLE TB_CLASS_REVIEW ADD COLUMN CLASS_REVIEW_SN INTEGER NOT NULL;</v>
      </c>
      <c r="AF142" s="50" t="str">
        <f t="shared" si="38"/>
        <v>ALTER TABLE TB_CLASS_REVIEW DROP COLUMN CLASS_REVIEW_SN;</v>
      </c>
      <c r="AG142" s="50" t="str">
        <f t="shared" si="39"/>
        <v/>
      </c>
      <c r="AH142" s="50" t="str">
        <f t="shared" si="33"/>
        <v>COMMENT ON COLUMN TB_CLASS_REVIEW.CLASS_REVIEW_SN IS '클래스 후기 일련번호' ;</v>
      </c>
    </row>
    <row r="143" spans="1:34" ht="20.100000000000001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574</v>
      </c>
      <c r="O143" s="100" t="s">
        <v>576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30"/>
        <v>TB_CLASS_REVIEW</v>
      </c>
      <c r="Z143" s="50" t="str">
        <f t="shared" si="34"/>
        <v>CLASS_SN INTEGER NOT NULL,</v>
      </c>
      <c r="AA143" s="50" t="str">
        <f t="shared" si="31"/>
        <v>ALTER TABLE TB_CLASS_REVIEW ADD CONSTRAINT TB_CLASS_REVIEW_FKEY1 FOREIGN KEY(CLASS_SN) REFERENCES TB_CLASS(CLASS_SN) ON UPDATE CASCADE ON DELETE CASCADE;</v>
      </c>
      <c r="AB143" s="50" t="str">
        <f t="shared" si="32"/>
        <v/>
      </c>
      <c r="AC143" s="50" t="str">
        <f t="shared" si="35"/>
        <v/>
      </c>
      <c r="AD143" s="50" t="str">
        <f t="shared" si="36"/>
        <v>ALTER TABLE TB_CLASS_REVIEW ALTER COLUMN CLASS_SN TYPE INTEGER;</v>
      </c>
      <c r="AE143" s="50" t="str">
        <f t="shared" si="37"/>
        <v>ALTER TABLE TB_CLASS_REVIEW ADD COLUMN CLASS_SN INTEGER NOT NULL;</v>
      </c>
      <c r="AF143" s="50" t="str">
        <f t="shared" si="38"/>
        <v>ALTER TABLE TB_CLASS_REVIEW DROP COLUMN CLASS_SN;</v>
      </c>
      <c r="AG143" s="50" t="str">
        <f t="shared" si="39"/>
        <v/>
      </c>
      <c r="AH143" s="50" t="str">
        <f t="shared" si="33"/>
        <v>COMMENT ON COLUMN TB_CLASS_REVIEW.CLASS_SN IS '클래스 일련번호' ;</v>
      </c>
    </row>
    <row r="144" spans="1:34" ht="20.100000000000001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762</v>
      </c>
      <c r="H144" s="100" t="s">
        <v>763</v>
      </c>
      <c r="I144" s="45" t="s">
        <v>198</v>
      </c>
      <c r="J144" s="45"/>
      <c r="K144" s="45">
        <v>2</v>
      </c>
      <c r="L144" s="83" t="s">
        <v>9</v>
      </c>
      <c r="M144" s="100" t="s">
        <v>762</v>
      </c>
      <c r="N144" s="100" t="s">
        <v>574</v>
      </c>
      <c r="O144" s="100" t="s">
        <v>576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30"/>
        <v>TB_CLASS_REVIEW</v>
      </c>
      <c r="Z144" s="50" t="str">
        <f t="shared" si="34"/>
        <v>USER_SN INTEGER NOT NULL,</v>
      </c>
      <c r="AA144" s="50" t="str">
        <f t="shared" si="31"/>
        <v>ALTER TABLE TB_CLASS_REVIEW ADD CONSTRAINT TB_CLASS_REVIEW_FKEY2 FOREIGN KEY(USER_SN) REFERENCES TB_USER(USER_SN) ON UPDATE CASCADE ON DELETE CASCADE;</v>
      </c>
      <c r="AB144" s="50" t="str">
        <f t="shared" si="32"/>
        <v/>
      </c>
      <c r="AC144" s="50" t="str">
        <f t="shared" si="35"/>
        <v/>
      </c>
      <c r="AD144" s="50" t="str">
        <f t="shared" si="36"/>
        <v>ALTER TABLE TB_CLASS_REVIEW ALTER COLUMN USER_SN TYPE INTEGER;</v>
      </c>
      <c r="AE144" s="50" t="str">
        <f t="shared" si="37"/>
        <v>ALTER TABLE TB_CLASS_REVIEW ADD COLUMN USER_SN INTEGER NOT NULL;</v>
      </c>
      <c r="AF144" s="50" t="str">
        <f t="shared" si="38"/>
        <v>ALTER TABLE TB_CLASS_REVIEW DROP COLUMN USER_SN;</v>
      </c>
      <c r="AG144" s="50" t="str">
        <f t="shared" si="39"/>
        <v/>
      </c>
      <c r="AH144" s="50" t="str">
        <f t="shared" si="33"/>
        <v>COMMENT ON COLUMN TB_CLASS_REVIEW.USER_SN IS '사용자 일련번호' ;</v>
      </c>
    </row>
    <row r="145" spans="1:34" ht="20.100000000000001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670</v>
      </c>
      <c r="H145" s="106" t="s">
        <v>671</v>
      </c>
      <c r="I145" s="45"/>
      <c r="J145" s="45"/>
      <c r="K145" s="45"/>
      <c r="L145" s="83"/>
      <c r="M145" s="100"/>
      <c r="N145" s="100"/>
      <c r="O145" s="100"/>
      <c r="P145" s="105" t="s">
        <v>656</v>
      </c>
      <c r="Q145" s="126" t="s">
        <v>657</v>
      </c>
      <c r="R145" s="45"/>
      <c r="S145" s="106" t="s">
        <v>671</v>
      </c>
      <c r="T145" s="83"/>
      <c r="U145" s="83"/>
      <c r="V145" s="123" t="s">
        <v>654</v>
      </c>
      <c r="W145" s="45"/>
      <c r="X145" s="83"/>
      <c r="Y145" s="129" t="str">
        <f t="shared" si="30"/>
        <v>TB_CLASS_REVIEW</v>
      </c>
      <c r="Z145" s="50" t="str">
        <f t="shared" si="34"/>
        <v>STEP VARCHAR(2),</v>
      </c>
      <c r="AA145" s="50" t="str">
        <f t="shared" si="31"/>
        <v/>
      </c>
      <c r="AB145" s="50" t="str">
        <f t="shared" si="32"/>
        <v/>
      </c>
      <c r="AC145" s="50" t="str">
        <f t="shared" si="35"/>
        <v/>
      </c>
      <c r="AD145" s="50" t="str">
        <f t="shared" si="36"/>
        <v>ALTER TABLE TB_CLASS_REVIEW ALTER COLUMN STEP TYPE VARCHAR(2);</v>
      </c>
      <c r="AE145" s="50" t="str">
        <f t="shared" si="37"/>
        <v>ALTER TABLE TB_CLASS_REVIEW ADD COLUMN STEP VARCHAR(2);</v>
      </c>
      <c r="AF145" s="50" t="str">
        <f t="shared" si="38"/>
        <v>ALTER TABLE TB_CLASS_REVIEW DROP COLUMN STEP;</v>
      </c>
      <c r="AG145" s="50" t="str">
        <f t="shared" si="39"/>
        <v/>
      </c>
      <c r="AH145" s="50" t="str">
        <f t="shared" si="33"/>
        <v>COMMENT ON COLUMN TB_CLASS_REVIEW.STEP IS '계층' ;</v>
      </c>
    </row>
    <row r="146" spans="1:34" ht="20.100000000000001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653</v>
      </c>
      <c r="H146" s="106" t="s">
        <v>652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658</v>
      </c>
      <c r="T146" s="132" t="str">
        <f>"SEQ_"&amp;D146&amp;"_SN2"</f>
        <v>SEQ_TB_CLASS_REVIEW_SN2</v>
      </c>
      <c r="U146" s="83"/>
      <c r="V146" s="123" t="s">
        <v>655</v>
      </c>
      <c r="W146" s="45"/>
      <c r="X146" s="83"/>
      <c r="Y146" s="129" t="str">
        <f t="shared" si="30"/>
        <v>TB_CLASS_REVIEW</v>
      </c>
      <c r="Z146" s="50" t="str">
        <f t="shared" si="34"/>
        <v>PARNTS_REVIEW_SN INTEGER,</v>
      </c>
      <c r="AA146" s="50" t="str">
        <f t="shared" si="31"/>
        <v/>
      </c>
      <c r="AB146" s="50" t="str">
        <f t="shared" si="32"/>
        <v>CREATE SEQUENCE SEQ_TB_CLASS_REVIEW_SN2 START 100000;</v>
      </c>
      <c r="AC146" s="50" t="str">
        <f t="shared" si="35"/>
        <v>ALTER TABLE TB_CLASS_REVIEW ALTER COLUMN PARNTS_REVIEW_SN SET DEFAULT NEXTVAL('SEQ_TB_CLASS_REVIEW_SN2');</v>
      </c>
      <c r="AD146" s="50" t="str">
        <f t="shared" si="36"/>
        <v>ALTER TABLE TB_CLASS_REVIEW ALTER COLUMN PARNTS_REVIEW_SN TYPE INTEGER;</v>
      </c>
      <c r="AE146" s="50" t="str">
        <f t="shared" si="37"/>
        <v>ALTER TABLE TB_CLASS_REVIEW ADD COLUMN PARNTS_REVIEW_SN INTEGER;</v>
      </c>
      <c r="AF146" s="50" t="str">
        <f t="shared" si="38"/>
        <v>ALTER TABLE TB_CLASS_REVIEW DROP COLUMN PARNTS_REVIEW_SN;</v>
      </c>
      <c r="AG146" s="50" t="str">
        <f t="shared" si="39"/>
        <v/>
      </c>
      <c r="AH146" s="50" t="str">
        <f t="shared" si="33"/>
        <v>COMMENT ON COLUMN TB_CLASS_REVIEW.PARNTS_REVIEW_SN IS '부모 후기 일련번호' ;</v>
      </c>
    </row>
    <row r="147" spans="1:34" ht="20.100000000000001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564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30"/>
        <v>TB_CLASS_REVIEW</v>
      </c>
      <c r="Z147" s="50" t="str">
        <f t="shared" si="34"/>
        <v>REVIEW_CN VARCHAR(2000) NOT NULL,</v>
      </c>
      <c r="AA147" s="50" t="str">
        <f t="shared" si="31"/>
        <v/>
      </c>
      <c r="AB147" s="50" t="str">
        <f t="shared" si="32"/>
        <v/>
      </c>
      <c r="AC147" s="50" t="str">
        <f t="shared" si="35"/>
        <v/>
      </c>
      <c r="AD147" s="50" t="str">
        <f t="shared" si="36"/>
        <v>ALTER TABLE TB_CLASS_REVIEW ALTER COLUMN REVIEW_CN TYPE VARCHAR(2000);</v>
      </c>
      <c r="AE147" s="50" t="str">
        <f t="shared" si="37"/>
        <v>ALTER TABLE TB_CLASS_REVIEW ADD COLUMN REVIEW_CN VARCHAR(2000) NOT NULL;</v>
      </c>
      <c r="AF147" s="50" t="str">
        <f t="shared" si="38"/>
        <v>ALTER TABLE TB_CLASS_REVIEW DROP COLUMN REVIEW_CN;</v>
      </c>
      <c r="AG147" s="50" t="str">
        <f t="shared" si="39"/>
        <v/>
      </c>
      <c r="AH147" s="50" t="str">
        <f t="shared" si="33"/>
        <v>COMMENT ON COLUMN TB_CLASS_REVIEW.REVIEW_CN IS '후기 내용' ;</v>
      </c>
    </row>
    <row r="148" spans="1:34" ht="20.100000000000001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557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30"/>
        <v>TB_CLASS_REVIEW</v>
      </c>
      <c r="Z148" s="50" t="str">
        <f t="shared" si="34"/>
        <v>REVIEW_GRADE VARCHAR(10) NOT NULL,</v>
      </c>
      <c r="AA148" s="50" t="str">
        <f t="shared" si="31"/>
        <v/>
      </c>
      <c r="AB148" s="50" t="str">
        <f t="shared" si="32"/>
        <v/>
      </c>
      <c r="AC148" s="50" t="str">
        <f t="shared" si="35"/>
        <v/>
      </c>
      <c r="AD148" s="50" t="str">
        <f t="shared" si="36"/>
        <v>ALTER TABLE TB_CLASS_REVIEW ALTER COLUMN REVIEW_GRADE TYPE VARCHAR(10);</v>
      </c>
      <c r="AE148" s="50" t="str">
        <f t="shared" si="37"/>
        <v>ALTER TABLE TB_CLASS_REVIEW ADD COLUMN REVIEW_GRADE VARCHAR(10) NOT NULL;</v>
      </c>
      <c r="AF148" s="50" t="str">
        <f t="shared" si="38"/>
        <v>ALTER TABLE TB_CLASS_REVIEW DROP COLUMN REVIEW_GRADE;</v>
      </c>
      <c r="AG148" s="50" t="str">
        <f t="shared" si="39"/>
        <v/>
      </c>
      <c r="AH148" s="50" t="str">
        <f t="shared" si="33"/>
        <v>COMMENT ON COLUMN TB_CLASS_REVIEW.REVIEW_GRADE IS '후기 등급(별점)' ;</v>
      </c>
    </row>
    <row r="149" spans="1:34" ht="20.100000000000001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383</v>
      </c>
      <c r="H149" s="106" t="s">
        <v>385</v>
      </c>
      <c r="I149" s="45"/>
      <c r="J149" s="45"/>
      <c r="K149" s="45">
        <v>3</v>
      </c>
      <c r="L149" s="10" t="s">
        <v>382</v>
      </c>
      <c r="M149" s="101" t="s">
        <v>383</v>
      </c>
      <c r="N149" s="101" t="s">
        <v>574</v>
      </c>
      <c r="O149" s="101" t="s">
        <v>575</v>
      </c>
      <c r="P149" s="51" t="s">
        <v>236</v>
      </c>
      <c r="Q149" s="124"/>
      <c r="R149" s="84"/>
      <c r="S149" s="101" t="s">
        <v>387</v>
      </c>
      <c r="T149" s="83"/>
      <c r="U149" s="83"/>
      <c r="V149" s="106"/>
      <c r="W149" s="45"/>
      <c r="X149" s="83"/>
      <c r="Y149" s="129" t="str">
        <f t="shared" si="30"/>
        <v>TB_CLASS_REVIEW</v>
      </c>
      <c r="Z149" s="50" t="str">
        <f t="shared" si="34"/>
        <v>ATCH_FILE_SN INTEGER,</v>
      </c>
      <c r="AA149" s="50" t="str">
        <f t="shared" si="31"/>
        <v>ALTER TABLE TB_CLASS_REVIEW ADD CONSTRAINT TB_CLASS_REVIEW_FKEY3 FOREIGN KEY(ATCH_FILE_SN) REFERENCES TB_ATCH_FILE(ATCH_FILE_SN) ON UPDATE CASCADE ON DELETE SET NULL;</v>
      </c>
      <c r="AB149" s="50" t="str">
        <f t="shared" si="32"/>
        <v/>
      </c>
      <c r="AC149" s="50" t="str">
        <f t="shared" si="35"/>
        <v/>
      </c>
      <c r="AD149" s="50" t="str">
        <f t="shared" si="36"/>
        <v>ALTER TABLE TB_CLASS_REVIEW ALTER COLUMN ATCH_FILE_SN TYPE INTEGER;</v>
      </c>
      <c r="AE149" s="50" t="str">
        <f t="shared" si="37"/>
        <v>ALTER TABLE TB_CLASS_REVIEW ADD COLUMN ATCH_FILE_SN INTEGER;</v>
      </c>
      <c r="AF149" s="50" t="str">
        <f t="shared" si="38"/>
        <v>ALTER TABLE TB_CLASS_REVIEW DROP COLUMN ATCH_FILE_SN;</v>
      </c>
      <c r="AG149" s="50" t="str">
        <f t="shared" si="39"/>
        <v/>
      </c>
      <c r="AH149" s="50" t="str">
        <f t="shared" si="33"/>
        <v>COMMENT ON COLUMN TB_CLASS_REVIEW.ATCH_FILE_SN IS '첨부 파일 일련번호' ;</v>
      </c>
    </row>
    <row r="150" spans="1:34" ht="20.100000000000001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555</v>
      </c>
      <c r="Q150" s="126" t="s">
        <v>560</v>
      </c>
      <c r="R150" s="85"/>
      <c r="S150" s="112" t="s">
        <v>226</v>
      </c>
      <c r="T150" s="83"/>
      <c r="U150" s="83"/>
      <c r="V150" s="123" t="s">
        <v>529</v>
      </c>
      <c r="W150" s="45"/>
      <c r="X150" s="83"/>
      <c r="Y150" s="129" t="str">
        <f t="shared" si="30"/>
        <v>TB_CLASS_REVIEW</v>
      </c>
      <c r="Z150" s="50" t="str">
        <f t="shared" si="34"/>
        <v>REGISTER_ID VARCHAR(50) NOT NULL,</v>
      </c>
      <c r="AA150" s="50" t="str">
        <f t="shared" si="31"/>
        <v/>
      </c>
      <c r="AB150" s="50" t="str">
        <f t="shared" si="32"/>
        <v/>
      </c>
      <c r="AC150" s="50" t="str">
        <f t="shared" si="35"/>
        <v/>
      </c>
      <c r="AD150" s="50" t="str">
        <f t="shared" si="36"/>
        <v>ALTER TABLE TB_CLASS_REVIEW ALTER COLUMN REGISTER_ID TYPE VARCHAR(50);</v>
      </c>
      <c r="AE150" s="50" t="str">
        <f t="shared" si="37"/>
        <v>ALTER TABLE TB_CLASS_REVIEW ADD COLUMN REGISTER_ID VARCHAR(50) NOT NULL;</v>
      </c>
      <c r="AF150" s="50" t="str">
        <f t="shared" si="38"/>
        <v>ALTER TABLE TB_CLASS_REVIEW DROP COLUMN REGISTER_ID;</v>
      </c>
      <c r="AG150" s="50" t="str">
        <f t="shared" si="39"/>
        <v/>
      </c>
      <c r="AH150" s="50" t="str">
        <f t="shared" si="33"/>
        <v>COMMENT ON COLUMN TB_CLASS_REVIEW.REGISTER_ID IS '등록자 ID' ;</v>
      </c>
    </row>
    <row r="151" spans="1:34" ht="20.100000000000001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561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30"/>
        <v>TB_CLASS_REVIEW</v>
      </c>
      <c r="Z151" s="50" t="str">
        <f t="shared" si="34"/>
        <v>REGISTER_IP VARCHAR(100) NOT NULL,</v>
      </c>
      <c r="AA151" s="50" t="str">
        <f t="shared" si="31"/>
        <v/>
      </c>
      <c r="AB151" s="50" t="str">
        <f t="shared" si="32"/>
        <v/>
      </c>
      <c r="AC151" s="50" t="str">
        <f t="shared" si="35"/>
        <v/>
      </c>
      <c r="AD151" s="50" t="str">
        <f t="shared" si="36"/>
        <v>ALTER TABLE TB_CLASS_REVIEW ALTER COLUMN REGISTER_IP TYPE VARCHAR(100);</v>
      </c>
      <c r="AE151" s="50" t="str">
        <f t="shared" si="37"/>
        <v>ALTER TABLE TB_CLASS_REVIEW ADD COLUMN REGISTER_IP VARCHAR(100) NOT NULL;</v>
      </c>
      <c r="AF151" s="50" t="str">
        <f t="shared" si="38"/>
        <v>ALTER TABLE TB_CLASS_REVIEW DROP COLUMN REGISTER_IP;</v>
      </c>
      <c r="AG151" s="50" t="str">
        <f t="shared" si="39"/>
        <v/>
      </c>
      <c r="AH151" s="50" t="str">
        <f t="shared" si="33"/>
        <v>COMMENT ON COLUMN TB_CLASS_REVIEW.REGISTER_IP IS '등록자 IP' ;</v>
      </c>
    </row>
    <row r="152" spans="1:34" ht="20.100000000000001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749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30"/>
        <v>TB_CLASS_REVIEW</v>
      </c>
      <c r="Z152" s="50" t="str">
        <f t="shared" si="34"/>
        <v>REG_DT TIMESTAMP NOT NULL,</v>
      </c>
      <c r="AA152" s="50" t="str">
        <f t="shared" si="31"/>
        <v/>
      </c>
      <c r="AB152" s="50" t="str">
        <f t="shared" si="32"/>
        <v/>
      </c>
      <c r="AC152" s="50" t="str">
        <f t="shared" si="35"/>
        <v/>
      </c>
      <c r="AD152" s="50" t="str">
        <f t="shared" si="36"/>
        <v>ALTER TABLE TB_CLASS_REVIEW ALTER COLUMN REG_DT TYPE TIMESTAMP;</v>
      </c>
      <c r="AE152" s="50" t="str">
        <f t="shared" si="37"/>
        <v>ALTER TABLE TB_CLASS_REVIEW ADD COLUMN REG_DT TIMESTAMP NOT NULL;</v>
      </c>
      <c r="AF152" s="50" t="str">
        <f t="shared" si="38"/>
        <v>ALTER TABLE TB_CLASS_REVIEW DROP COLUMN REG_DT;</v>
      </c>
      <c r="AG152" s="50" t="str">
        <f t="shared" si="39"/>
        <v/>
      </c>
      <c r="AH152" s="50" t="str">
        <f t="shared" si="33"/>
        <v>COMMENT ON COLUMN TB_CLASS_REVIEW.REG_DT IS '등록 일시' ;</v>
      </c>
    </row>
    <row r="153" spans="1:34" ht="20.100000000000001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555</v>
      </c>
      <c r="Q153" s="126" t="s">
        <v>560</v>
      </c>
      <c r="R153" s="85"/>
      <c r="S153" s="112" t="s">
        <v>223</v>
      </c>
      <c r="T153" s="83"/>
      <c r="U153" s="83"/>
      <c r="V153" s="123" t="s">
        <v>529</v>
      </c>
      <c r="W153" s="45"/>
      <c r="X153" s="83"/>
      <c r="Y153" s="129" t="str">
        <f t="shared" si="30"/>
        <v>TB_CLASS_REVIEW</v>
      </c>
      <c r="Z153" s="50" t="str">
        <f t="shared" si="34"/>
        <v>UPDUSR_ID VARCHAR(50),</v>
      </c>
      <c r="AA153" s="50" t="str">
        <f t="shared" si="31"/>
        <v/>
      </c>
      <c r="AB153" s="50" t="str">
        <f t="shared" si="32"/>
        <v/>
      </c>
      <c r="AC153" s="50" t="str">
        <f t="shared" si="35"/>
        <v/>
      </c>
      <c r="AD153" s="50" t="str">
        <f t="shared" si="36"/>
        <v>ALTER TABLE TB_CLASS_REVIEW ALTER COLUMN UPDUSR_ID TYPE VARCHAR(50);</v>
      </c>
      <c r="AE153" s="50" t="str">
        <f t="shared" si="37"/>
        <v>ALTER TABLE TB_CLASS_REVIEW ADD COLUMN UPDUSR_ID VARCHAR(50);</v>
      </c>
      <c r="AF153" s="50" t="str">
        <f t="shared" si="38"/>
        <v>ALTER TABLE TB_CLASS_REVIEW DROP COLUMN UPDUSR_ID;</v>
      </c>
      <c r="AG153" s="50" t="str">
        <f t="shared" si="39"/>
        <v/>
      </c>
      <c r="AH153" s="50" t="str">
        <f t="shared" si="33"/>
        <v>COMMENT ON COLUMN TB_CLASS_REVIEW.UPDUSR_ID IS '수정자 ID' ;</v>
      </c>
    </row>
    <row r="154" spans="1:34" ht="20.100000000000001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561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30"/>
        <v>TB_CLASS_REVIEW</v>
      </c>
      <c r="Z154" s="50" t="str">
        <f t="shared" si="34"/>
        <v>UPDUSR_IP VARCHAR(100),</v>
      </c>
      <c r="AA154" s="50" t="str">
        <f t="shared" si="31"/>
        <v/>
      </c>
      <c r="AB154" s="50" t="str">
        <f t="shared" si="32"/>
        <v/>
      </c>
      <c r="AC154" s="50" t="str">
        <f t="shared" si="35"/>
        <v/>
      </c>
      <c r="AD154" s="50" t="str">
        <f t="shared" si="36"/>
        <v>ALTER TABLE TB_CLASS_REVIEW ALTER COLUMN UPDUSR_IP TYPE VARCHAR(100);</v>
      </c>
      <c r="AE154" s="50" t="str">
        <f t="shared" si="37"/>
        <v>ALTER TABLE TB_CLASS_REVIEW ADD COLUMN UPDUSR_IP VARCHAR(100);</v>
      </c>
      <c r="AF154" s="50" t="str">
        <f t="shared" si="38"/>
        <v>ALTER TABLE TB_CLASS_REVIEW DROP COLUMN UPDUSR_IP;</v>
      </c>
      <c r="AG154" s="50" t="str">
        <f t="shared" si="39"/>
        <v/>
      </c>
      <c r="AH154" s="50" t="str">
        <f t="shared" si="33"/>
        <v>COMMENT ON COLUMN TB_CLASS_REVIEW.UPDUSR_IP IS '수정자 IP' ;</v>
      </c>
    </row>
    <row r="155" spans="1:34" ht="20.100000000000001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749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30"/>
        <v>TB_CLASS_REVIEW</v>
      </c>
      <c r="Z155" s="50" t="str">
        <f t="shared" si="34"/>
        <v>UPDT_DT TIMESTAMP,</v>
      </c>
      <c r="AA155" s="50" t="str">
        <f t="shared" si="31"/>
        <v/>
      </c>
      <c r="AB155" s="50" t="str">
        <f t="shared" si="32"/>
        <v/>
      </c>
      <c r="AC155" s="50" t="str">
        <f t="shared" si="35"/>
        <v/>
      </c>
      <c r="AD155" s="50" t="str">
        <f t="shared" si="36"/>
        <v>ALTER TABLE TB_CLASS_REVIEW ALTER COLUMN UPDT_DT TYPE TIMESTAMP;</v>
      </c>
      <c r="AE155" s="50" t="str">
        <f t="shared" si="37"/>
        <v>ALTER TABLE TB_CLASS_REVIEW ADD COLUMN UPDT_DT TIMESTAMP;</v>
      </c>
      <c r="AF155" s="50" t="str">
        <f t="shared" si="38"/>
        <v>ALTER TABLE TB_CLASS_REVIEW DROP COLUMN UPDT_DT;</v>
      </c>
      <c r="AG155" s="50" t="str">
        <f t="shared" si="39"/>
        <v/>
      </c>
      <c r="AH155" s="50" t="str">
        <f t="shared" si="33"/>
        <v>COMMENT ON COLUMN TB_CLASS_REVIEW.UPDT_DT IS '수정 일시' ;</v>
      </c>
    </row>
    <row r="156" spans="1:34" ht="20.100000000000001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556</v>
      </c>
      <c r="R156" s="87" t="s">
        <v>604</v>
      </c>
      <c r="S156" s="112" t="s">
        <v>220</v>
      </c>
      <c r="T156" s="83"/>
      <c r="U156" s="83"/>
      <c r="V156" s="106"/>
      <c r="W156" s="45"/>
      <c r="X156" s="83"/>
      <c r="Y156" s="129" t="str">
        <f t="shared" si="30"/>
        <v>TB_CLASS_REVIEW</v>
      </c>
      <c r="Z156" s="50" t="str">
        <f t="shared" si="34"/>
        <v>DEL_YN VARCHAR(1) NOT NULL,</v>
      </c>
      <c r="AA156" s="50" t="str">
        <f t="shared" si="31"/>
        <v/>
      </c>
      <c r="AB156" s="50" t="str">
        <f t="shared" si="32"/>
        <v/>
      </c>
      <c r="AC156" s="50" t="str">
        <f t="shared" si="35"/>
        <v/>
      </c>
      <c r="AD156" s="50" t="str">
        <f t="shared" si="36"/>
        <v>ALTER TABLE TB_CLASS_REVIEW ALTER COLUMN DEL_YN TYPE VARCHAR(1);</v>
      </c>
      <c r="AE156" s="50" t="str">
        <f t="shared" si="37"/>
        <v>ALTER TABLE TB_CLASS_REVIEW ADD COLUMN DEL_YN VARCHAR(1) NOT NULL DEFAULT 'N';</v>
      </c>
      <c r="AF156" s="50" t="str">
        <f t="shared" si="38"/>
        <v>ALTER TABLE TB_CLASS_REVIEW DROP COLUMN DEL_YN;</v>
      </c>
      <c r="AG156" s="50" t="str">
        <f t="shared" si="39"/>
        <v>ALTER TABLE TB_CLASS_REVIEW ALTER COLUMN DEL_YN SET DEFAULT 'N';</v>
      </c>
      <c r="AH156" s="50" t="str">
        <f t="shared" si="33"/>
        <v>COMMENT ON COLUMN TB_CLASS_REVIEW.DEL_YN IS '삭제 여부' ;</v>
      </c>
    </row>
    <row r="157" spans="1:34" ht="20.100000000000001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30"/>
        <v>TB_CLASS_INQRY</v>
      </c>
      <c r="Z157" s="50" t="str">
        <f t="shared" si="34"/>
        <v>CLASS_INQRY_SN INTEGER PRIMARY KEY,</v>
      </c>
      <c r="AA157" s="50" t="str">
        <f t="shared" si="31"/>
        <v/>
      </c>
      <c r="AB157" s="50" t="str">
        <f t="shared" si="32"/>
        <v>CREATE SEQUENCE SEQ_TB_CLASS_INQRY_SN START 100000;</v>
      </c>
      <c r="AC157" s="50" t="str">
        <f t="shared" si="35"/>
        <v>ALTER TABLE TB_CLASS_INQRY ALTER COLUMN CLASS_INQRY_SN SET DEFAULT NEXTVAL('SEQ_TB_CLASS_INQRY_SN');</v>
      </c>
      <c r="AD157" s="50" t="str">
        <f t="shared" si="36"/>
        <v>ALTER TABLE TB_CLASS_INQRY ALTER COLUMN CLASS_INQRY_SN TYPE INTEGER;</v>
      </c>
      <c r="AE157" s="50" t="str">
        <f t="shared" si="37"/>
        <v>ALTER TABLE TB_CLASS_INQRY ADD COLUMN CLASS_INQRY_SN INTEGER NOT NULL;</v>
      </c>
      <c r="AF157" s="50" t="str">
        <f t="shared" si="38"/>
        <v>ALTER TABLE TB_CLASS_INQRY DROP COLUMN CLASS_INQRY_SN;</v>
      </c>
      <c r="AG157" s="50" t="str">
        <f t="shared" si="39"/>
        <v/>
      </c>
      <c r="AH157" s="50" t="str">
        <f t="shared" si="33"/>
        <v>COMMENT ON COLUMN TB_CLASS_INQRY.CLASS_INQRY_SN IS '클래스 문의 일련번호' ;</v>
      </c>
    </row>
    <row r="158" spans="1:34" ht="20.100000000000001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574</v>
      </c>
      <c r="O158" s="100" t="s">
        <v>576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30"/>
        <v>TB_CLASS_INQRY</v>
      </c>
      <c r="Z158" s="50" t="str">
        <f t="shared" si="34"/>
        <v>CLASS_SN INTEGER NOT NULL,</v>
      </c>
      <c r="AA158" s="50" t="str">
        <f t="shared" si="31"/>
        <v>ALTER TABLE TB_CLASS_INQRY ADD CONSTRAINT TB_CLASS_INQRY_FKEY1 FOREIGN KEY(CLASS_SN) REFERENCES TB_CLASS(CLASS_SN) ON UPDATE CASCADE ON DELETE CASCADE;</v>
      </c>
      <c r="AB158" s="50" t="str">
        <f t="shared" si="32"/>
        <v/>
      </c>
      <c r="AC158" s="50" t="str">
        <f t="shared" si="35"/>
        <v/>
      </c>
      <c r="AD158" s="50" t="str">
        <f t="shared" si="36"/>
        <v>ALTER TABLE TB_CLASS_INQRY ALTER COLUMN CLASS_SN TYPE INTEGER;</v>
      </c>
      <c r="AE158" s="50" t="str">
        <f t="shared" si="37"/>
        <v>ALTER TABLE TB_CLASS_INQRY ADD COLUMN CLASS_SN INTEGER NOT NULL;</v>
      </c>
      <c r="AF158" s="50" t="str">
        <f t="shared" si="38"/>
        <v>ALTER TABLE TB_CLASS_INQRY DROP COLUMN CLASS_SN;</v>
      </c>
      <c r="AG158" s="50" t="str">
        <f t="shared" si="39"/>
        <v/>
      </c>
      <c r="AH158" s="50" t="str">
        <f t="shared" si="33"/>
        <v>COMMENT ON COLUMN TB_CLASS_INQRY.CLASS_SN IS '클래스 일련번호' ;</v>
      </c>
    </row>
    <row r="159" spans="1:34" ht="20.100000000000001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670</v>
      </c>
      <c r="H159" s="106" t="s">
        <v>671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657</v>
      </c>
      <c r="R159" s="45"/>
      <c r="S159" s="106" t="s">
        <v>671</v>
      </c>
      <c r="T159" s="83"/>
      <c r="U159" s="83"/>
      <c r="V159" s="123" t="s">
        <v>654</v>
      </c>
      <c r="W159" s="45"/>
      <c r="X159" s="83"/>
      <c r="Y159" s="129" t="str">
        <f t="shared" ref="Y159:Y160" si="40">D159</f>
        <v>TB_CLASS_INQRY</v>
      </c>
      <c r="Z159" s="50" t="str">
        <f t="shared" ref="Z159:Z160" si="41">G159&amp;" "&amp;P159&amp;Q159&amp;IF(ISBLANK(J159),""," PRIMARY KEY")&amp;IF(AND(ISBLANK(J159),I159="Y")," NOT NULL","")&amp;","</f>
        <v>STEP VARCHAR(2),</v>
      </c>
      <c r="AA159" s="50" t="str">
        <f t="shared" ref="AA159:AA160" si="42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3">IF(ISBLANK(T159),"","CREATE SEQUENCE "&amp;T159&amp;" START 100000;")</f>
        <v/>
      </c>
      <c r="AC159" s="50" t="str">
        <f t="shared" si="35"/>
        <v/>
      </c>
      <c r="AD159" s="50" t="str">
        <f t="shared" si="36"/>
        <v>ALTER TABLE TB_CLASS_INQRY ALTER COLUMN STEP TYPE VARCHAR(2);</v>
      </c>
      <c r="AE159" s="50" t="str">
        <f t="shared" si="37"/>
        <v>ALTER TABLE TB_CLASS_INQRY ADD COLUMN STEP VARCHAR(2);</v>
      </c>
      <c r="AF159" s="50" t="str">
        <f t="shared" si="38"/>
        <v>ALTER TABLE TB_CLASS_INQRY DROP COLUMN STEP;</v>
      </c>
      <c r="AG159" s="50" t="str">
        <f t="shared" si="39"/>
        <v/>
      </c>
      <c r="AH159" s="50" t="str">
        <f t="shared" ref="AH159:AH160" si="44">"COMMENT ON COLUMN "&amp;D159&amp;"."&amp;G159&amp;" IS '"&amp;S159&amp;"' ;"</f>
        <v>COMMENT ON COLUMN TB_CLASS_INQRY.STEP IS '계층' ;</v>
      </c>
    </row>
    <row r="160" spans="1:34" ht="20.100000000000001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672</v>
      </c>
      <c r="H160" s="106" t="s">
        <v>669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673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40"/>
        <v>TB_CLASS_INQRY</v>
      </c>
      <c r="Z160" s="50" t="str">
        <f t="shared" si="41"/>
        <v>PARNTS_INQRY_SN INTEGER,</v>
      </c>
      <c r="AA160" s="50" t="str">
        <f t="shared" si="42"/>
        <v/>
      </c>
      <c r="AB160" s="50" t="str">
        <f t="shared" si="43"/>
        <v>CREATE SEQUENCE SEQ_TB_CLASS_INQRY_SN2 START 100000;</v>
      </c>
      <c r="AC160" s="50" t="str">
        <f t="shared" si="35"/>
        <v>ALTER TABLE TB_CLASS_INQRY ALTER COLUMN PARNTS_INQRY_SN SET DEFAULT NEXTVAL('SEQ_TB_CLASS_INQRY_SN2');</v>
      </c>
      <c r="AD160" s="50" t="str">
        <f t="shared" si="36"/>
        <v>ALTER TABLE TB_CLASS_INQRY ALTER COLUMN PARNTS_INQRY_SN TYPE INTEGER;</v>
      </c>
      <c r="AE160" s="50" t="str">
        <f t="shared" si="37"/>
        <v>ALTER TABLE TB_CLASS_INQRY ADD COLUMN PARNTS_INQRY_SN INTEGER;</v>
      </c>
      <c r="AF160" s="50" t="str">
        <f t="shared" si="38"/>
        <v>ALTER TABLE TB_CLASS_INQRY DROP COLUMN PARNTS_INQRY_SN;</v>
      </c>
      <c r="AG160" s="50" t="str">
        <f t="shared" si="39"/>
        <v/>
      </c>
      <c r="AH160" s="50" t="str">
        <f t="shared" si="44"/>
        <v>COMMENT ON COLUMN TB_CLASS_INQRY.PARNTS_INQRY_SN IS '부모 문의 일련번호' ;</v>
      </c>
    </row>
    <row r="161" spans="1:34" ht="20.100000000000001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762</v>
      </c>
      <c r="H161" s="100" t="s">
        <v>763</v>
      </c>
      <c r="I161" s="75" t="s">
        <v>72</v>
      </c>
      <c r="J161" s="69"/>
      <c r="K161" s="69">
        <v>2</v>
      </c>
      <c r="L161" s="83" t="s">
        <v>9</v>
      </c>
      <c r="M161" s="100" t="s">
        <v>762</v>
      </c>
      <c r="N161" s="100" t="s">
        <v>574</v>
      </c>
      <c r="O161" s="100" t="s">
        <v>576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30"/>
        <v>TB_CLASS_INQRY</v>
      </c>
      <c r="Z161" s="50" t="str">
        <f t="shared" si="34"/>
        <v>USER_SN INTEGER NOT NULL,</v>
      </c>
      <c r="AA161" s="50" t="str">
        <f t="shared" si="31"/>
        <v>ALTER TABLE TB_CLASS_INQRY ADD CONSTRAINT TB_CLASS_INQRY_FKEY2 FOREIGN KEY(USER_SN) REFERENCES TB_USER(USER_SN) ON UPDATE CASCADE ON DELETE CASCADE;</v>
      </c>
      <c r="AB161" s="50" t="str">
        <f t="shared" si="32"/>
        <v/>
      </c>
      <c r="AC161" s="50" t="str">
        <f t="shared" si="35"/>
        <v/>
      </c>
      <c r="AD161" s="50" t="str">
        <f t="shared" si="36"/>
        <v>ALTER TABLE TB_CLASS_INQRY ALTER COLUMN USER_SN TYPE INTEGER;</v>
      </c>
      <c r="AE161" s="50" t="str">
        <f t="shared" si="37"/>
        <v>ALTER TABLE TB_CLASS_INQRY ADD COLUMN USER_SN INTEGER NOT NULL;</v>
      </c>
      <c r="AF161" s="50" t="str">
        <f t="shared" si="38"/>
        <v>ALTER TABLE TB_CLASS_INQRY DROP COLUMN USER_SN;</v>
      </c>
      <c r="AG161" s="50" t="str">
        <f t="shared" si="39"/>
        <v/>
      </c>
      <c r="AH161" s="50" t="str">
        <f t="shared" si="33"/>
        <v>COMMENT ON COLUMN TB_CLASS_INQRY.USER_SN IS '사용자 일련번호' ;</v>
      </c>
    </row>
    <row r="162" spans="1:34" ht="20.100000000000001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562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30"/>
        <v>TB_CLASS_INQRY</v>
      </c>
      <c r="Z162" s="50" t="str">
        <f t="shared" si="34"/>
        <v>INQRY_SJ VARCHAR(255) NOT NULL,</v>
      </c>
      <c r="AA162" s="50" t="str">
        <f t="shared" si="31"/>
        <v/>
      </c>
      <c r="AB162" s="50" t="str">
        <f t="shared" si="32"/>
        <v/>
      </c>
      <c r="AC162" s="50" t="str">
        <f t="shared" si="35"/>
        <v/>
      </c>
      <c r="AD162" s="50" t="str">
        <f t="shared" si="36"/>
        <v>ALTER TABLE TB_CLASS_INQRY ALTER COLUMN INQRY_SJ TYPE VARCHAR(255);</v>
      </c>
      <c r="AE162" s="50" t="str">
        <f t="shared" si="37"/>
        <v>ALTER TABLE TB_CLASS_INQRY ADD COLUMN INQRY_SJ VARCHAR(255) NOT NULL;</v>
      </c>
      <c r="AF162" s="50" t="str">
        <f t="shared" si="38"/>
        <v>ALTER TABLE TB_CLASS_INQRY DROP COLUMN INQRY_SJ;</v>
      </c>
      <c r="AG162" s="50" t="str">
        <f t="shared" si="39"/>
        <v/>
      </c>
      <c r="AH162" s="50" t="str">
        <f t="shared" si="33"/>
        <v>COMMENT ON COLUMN TB_CLASS_INQRY.INQRY_SJ IS '문의 제목' ;</v>
      </c>
    </row>
    <row r="163" spans="1:34" ht="20.100000000000001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564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30"/>
        <v>TB_CLASS_INQRY</v>
      </c>
      <c r="Z163" s="50" t="str">
        <f t="shared" si="34"/>
        <v>INQRY_CN VARCHAR(2000),</v>
      </c>
      <c r="AA163" s="50" t="str">
        <f t="shared" si="31"/>
        <v/>
      </c>
      <c r="AB163" s="50" t="str">
        <f t="shared" si="32"/>
        <v/>
      </c>
      <c r="AC163" s="50" t="str">
        <f t="shared" si="35"/>
        <v/>
      </c>
      <c r="AD163" s="50" t="str">
        <f t="shared" si="36"/>
        <v>ALTER TABLE TB_CLASS_INQRY ALTER COLUMN INQRY_CN TYPE VARCHAR(2000);</v>
      </c>
      <c r="AE163" s="50" t="str">
        <f t="shared" si="37"/>
        <v>ALTER TABLE TB_CLASS_INQRY ADD COLUMN INQRY_CN VARCHAR(2000);</v>
      </c>
      <c r="AF163" s="50" t="str">
        <f t="shared" si="38"/>
        <v>ALTER TABLE TB_CLASS_INQRY DROP COLUMN INQRY_CN;</v>
      </c>
      <c r="AG163" s="50" t="str">
        <f t="shared" si="39"/>
        <v/>
      </c>
      <c r="AH163" s="50" t="str">
        <f t="shared" si="33"/>
        <v>COMMENT ON COLUMN TB_CLASS_INQRY.INQRY_CN IS '문의 내용' ;</v>
      </c>
    </row>
    <row r="164" spans="1:34" ht="20.100000000000001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343</v>
      </c>
      <c r="H164" s="106" t="s">
        <v>344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556</v>
      </c>
      <c r="R164" s="86"/>
      <c r="S164" s="112" t="s">
        <v>359</v>
      </c>
      <c r="T164" s="83"/>
      <c r="U164" s="83"/>
      <c r="V164" s="106"/>
      <c r="W164" s="45"/>
      <c r="X164" s="83"/>
      <c r="Y164" s="129" t="str">
        <f t="shared" ref="Y164" si="45">D164</f>
        <v>TB_CLASS_INQRY</v>
      </c>
      <c r="Z164" s="50" t="str">
        <f t="shared" ref="Z164" si="46">G164&amp;" "&amp;P164&amp;Q164&amp;IF(ISBLANK(J164),""," PRIMARY KEY")&amp;IF(AND(ISBLANK(J164),I164="Y")," NOT NULL","")&amp;","</f>
        <v>OPEN_YN VARCHAR(1) NOT NULL,</v>
      </c>
      <c r="AA164" s="50" t="str">
        <f t="shared" ref="AA164" si="47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8">IF(ISBLANK(T164),"","CREATE SEQUENCE "&amp;T164&amp;" START 100000;")</f>
        <v/>
      </c>
      <c r="AC164" s="50" t="str">
        <f t="shared" si="35"/>
        <v/>
      </c>
      <c r="AD164" s="50" t="str">
        <f t="shared" si="36"/>
        <v>ALTER TABLE TB_CLASS_INQRY ALTER COLUMN OPEN_YN TYPE VARCHAR(1);</v>
      </c>
      <c r="AE164" s="50" t="str">
        <f t="shared" si="37"/>
        <v>ALTER TABLE TB_CLASS_INQRY ADD COLUMN OPEN_YN VARCHAR(1) NOT NULL;</v>
      </c>
      <c r="AF164" s="50" t="str">
        <f t="shared" si="38"/>
        <v>ALTER TABLE TB_CLASS_INQRY DROP COLUMN OPEN_YN;</v>
      </c>
      <c r="AG164" s="50" t="str">
        <f t="shared" si="39"/>
        <v/>
      </c>
      <c r="AH164" s="50" t="str">
        <f t="shared" ref="AH164" si="49">"COMMENT ON COLUMN "&amp;D164&amp;"."&amp;G164&amp;" IS '"&amp;S164&amp;"' ;"</f>
        <v>COMMENT ON COLUMN TB_CLASS_INQRY.OPEN_YN IS '공개 여부' ;</v>
      </c>
    </row>
    <row r="165" spans="1:34" ht="20.100000000000001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555</v>
      </c>
      <c r="Q165" s="126" t="s">
        <v>560</v>
      </c>
      <c r="R165" s="85"/>
      <c r="S165" s="112" t="s">
        <v>226</v>
      </c>
      <c r="T165" s="83"/>
      <c r="U165" s="83"/>
      <c r="V165" s="123" t="s">
        <v>529</v>
      </c>
      <c r="W165" s="45"/>
      <c r="X165" s="83"/>
      <c r="Y165" s="129" t="str">
        <f t="shared" si="30"/>
        <v>TB_CLASS_INQRY</v>
      </c>
      <c r="Z165" s="50" t="str">
        <f t="shared" si="34"/>
        <v>REGISTER_ID VARCHAR(50) NOT NULL,</v>
      </c>
      <c r="AA165" s="50" t="str">
        <f t="shared" si="31"/>
        <v/>
      </c>
      <c r="AB165" s="50" t="str">
        <f t="shared" si="32"/>
        <v/>
      </c>
      <c r="AC165" s="50" t="str">
        <f t="shared" si="35"/>
        <v/>
      </c>
      <c r="AD165" s="50" t="str">
        <f t="shared" si="36"/>
        <v>ALTER TABLE TB_CLASS_INQRY ALTER COLUMN REGISTER_ID TYPE VARCHAR(50);</v>
      </c>
      <c r="AE165" s="50" t="str">
        <f t="shared" si="37"/>
        <v>ALTER TABLE TB_CLASS_INQRY ADD COLUMN REGISTER_ID VARCHAR(50) NOT NULL;</v>
      </c>
      <c r="AF165" s="50" t="str">
        <f t="shared" si="38"/>
        <v>ALTER TABLE TB_CLASS_INQRY DROP COLUMN REGISTER_ID;</v>
      </c>
      <c r="AG165" s="50" t="str">
        <f t="shared" si="39"/>
        <v/>
      </c>
      <c r="AH165" s="50" t="str">
        <f t="shared" si="33"/>
        <v>COMMENT ON COLUMN TB_CLASS_INQRY.REGISTER_ID IS '등록자 ID' ;</v>
      </c>
    </row>
    <row r="166" spans="1:34" ht="20.100000000000001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561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30"/>
        <v>TB_CLASS_INQRY</v>
      </c>
      <c r="Z166" s="50" t="str">
        <f t="shared" si="34"/>
        <v>REGISTER_IP VARCHAR(100) NOT NULL,</v>
      </c>
      <c r="AA166" s="50" t="str">
        <f t="shared" si="31"/>
        <v/>
      </c>
      <c r="AB166" s="50" t="str">
        <f t="shared" si="32"/>
        <v/>
      </c>
      <c r="AC166" s="50" t="str">
        <f t="shared" si="35"/>
        <v/>
      </c>
      <c r="AD166" s="50" t="str">
        <f t="shared" si="36"/>
        <v>ALTER TABLE TB_CLASS_INQRY ALTER COLUMN REGISTER_IP TYPE VARCHAR(100);</v>
      </c>
      <c r="AE166" s="50" t="str">
        <f t="shared" si="37"/>
        <v>ALTER TABLE TB_CLASS_INQRY ADD COLUMN REGISTER_IP VARCHAR(100) NOT NULL;</v>
      </c>
      <c r="AF166" s="50" t="str">
        <f t="shared" si="38"/>
        <v>ALTER TABLE TB_CLASS_INQRY DROP COLUMN REGISTER_IP;</v>
      </c>
      <c r="AG166" s="50" t="str">
        <f t="shared" si="39"/>
        <v/>
      </c>
      <c r="AH166" s="50" t="str">
        <f t="shared" si="33"/>
        <v>COMMENT ON COLUMN TB_CLASS_INQRY.REGISTER_IP IS '등록자 IP' ;</v>
      </c>
    </row>
    <row r="167" spans="1:34" ht="20.100000000000001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749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30"/>
        <v>TB_CLASS_INQRY</v>
      </c>
      <c r="Z167" s="50" t="str">
        <f t="shared" si="34"/>
        <v>REG_DT TIMESTAMP NOT NULL,</v>
      </c>
      <c r="AA167" s="50" t="str">
        <f t="shared" si="31"/>
        <v/>
      </c>
      <c r="AB167" s="50" t="str">
        <f t="shared" si="32"/>
        <v/>
      </c>
      <c r="AC167" s="50" t="str">
        <f t="shared" si="35"/>
        <v/>
      </c>
      <c r="AD167" s="50" t="str">
        <f t="shared" si="36"/>
        <v>ALTER TABLE TB_CLASS_INQRY ALTER COLUMN REG_DT TYPE TIMESTAMP;</v>
      </c>
      <c r="AE167" s="50" t="str">
        <f t="shared" si="37"/>
        <v>ALTER TABLE TB_CLASS_INQRY ADD COLUMN REG_DT TIMESTAMP NOT NULL;</v>
      </c>
      <c r="AF167" s="50" t="str">
        <f t="shared" si="38"/>
        <v>ALTER TABLE TB_CLASS_INQRY DROP COLUMN REG_DT;</v>
      </c>
      <c r="AG167" s="50" t="str">
        <f t="shared" si="39"/>
        <v/>
      </c>
      <c r="AH167" s="50" t="str">
        <f t="shared" si="33"/>
        <v>COMMENT ON COLUMN TB_CLASS_INQRY.REG_DT IS '등록 일시' ;</v>
      </c>
    </row>
    <row r="168" spans="1:34" ht="20.100000000000001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555</v>
      </c>
      <c r="Q168" s="126" t="s">
        <v>560</v>
      </c>
      <c r="R168" s="85"/>
      <c r="S168" s="112" t="s">
        <v>223</v>
      </c>
      <c r="T168" s="83"/>
      <c r="U168" s="83"/>
      <c r="V168" s="123" t="s">
        <v>529</v>
      </c>
      <c r="W168" s="45"/>
      <c r="X168" s="83"/>
      <c r="Y168" s="129" t="str">
        <f t="shared" si="30"/>
        <v>TB_CLASS_INQRY</v>
      </c>
      <c r="Z168" s="50" t="str">
        <f t="shared" si="34"/>
        <v>UPDUSR_ID VARCHAR(50),</v>
      </c>
      <c r="AA168" s="50" t="str">
        <f t="shared" si="31"/>
        <v/>
      </c>
      <c r="AB168" s="50" t="str">
        <f t="shared" si="32"/>
        <v/>
      </c>
      <c r="AC168" s="50" t="str">
        <f t="shared" si="35"/>
        <v/>
      </c>
      <c r="AD168" s="50" t="str">
        <f t="shared" si="36"/>
        <v>ALTER TABLE TB_CLASS_INQRY ALTER COLUMN UPDUSR_ID TYPE VARCHAR(50);</v>
      </c>
      <c r="AE168" s="50" t="str">
        <f t="shared" si="37"/>
        <v>ALTER TABLE TB_CLASS_INQRY ADD COLUMN UPDUSR_ID VARCHAR(50);</v>
      </c>
      <c r="AF168" s="50" t="str">
        <f t="shared" si="38"/>
        <v>ALTER TABLE TB_CLASS_INQRY DROP COLUMN UPDUSR_ID;</v>
      </c>
      <c r="AG168" s="50" t="str">
        <f t="shared" si="39"/>
        <v/>
      </c>
      <c r="AH168" s="50" t="str">
        <f t="shared" si="33"/>
        <v>COMMENT ON COLUMN TB_CLASS_INQRY.UPDUSR_ID IS '수정자 ID' ;</v>
      </c>
    </row>
    <row r="169" spans="1:34" ht="20.100000000000001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561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30"/>
        <v>TB_CLASS_INQRY</v>
      </c>
      <c r="Z169" s="50" t="str">
        <f t="shared" si="34"/>
        <v>UPDUSR_IP VARCHAR(100),</v>
      </c>
      <c r="AA169" s="50" t="str">
        <f t="shared" si="31"/>
        <v/>
      </c>
      <c r="AB169" s="50" t="str">
        <f t="shared" si="32"/>
        <v/>
      </c>
      <c r="AC169" s="50" t="str">
        <f t="shared" si="35"/>
        <v/>
      </c>
      <c r="AD169" s="50" t="str">
        <f t="shared" si="36"/>
        <v>ALTER TABLE TB_CLASS_INQRY ALTER COLUMN UPDUSR_IP TYPE VARCHAR(100);</v>
      </c>
      <c r="AE169" s="50" t="str">
        <f t="shared" si="37"/>
        <v>ALTER TABLE TB_CLASS_INQRY ADD COLUMN UPDUSR_IP VARCHAR(100);</v>
      </c>
      <c r="AF169" s="50" t="str">
        <f t="shared" si="38"/>
        <v>ALTER TABLE TB_CLASS_INQRY DROP COLUMN UPDUSR_IP;</v>
      </c>
      <c r="AG169" s="50" t="str">
        <f t="shared" si="39"/>
        <v/>
      </c>
      <c r="AH169" s="50" t="str">
        <f t="shared" si="33"/>
        <v>COMMENT ON COLUMN TB_CLASS_INQRY.UPDUSR_IP IS '수정자 IP' ;</v>
      </c>
    </row>
    <row r="170" spans="1:34" ht="20.100000000000001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749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30"/>
        <v>TB_CLASS_INQRY</v>
      </c>
      <c r="Z170" s="50" t="str">
        <f t="shared" si="34"/>
        <v>UPDT_DT TIMESTAMP,</v>
      </c>
      <c r="AA170" s="50" t="str">
        <f t="shared" si="31"/>
        <v/>
      </c>
      <c r="AB170" s="50" t="str">
        <f t="shared" si="32"/>
        <v/>
      </c>
      <c r="AC170" s="50" t="str">
        <f t="shared" si="35"/>
        <v/>
      </c>
      <c r="AD170" s="50" t="str">
        <f t="shared" si="36"/>
        <v>ALTER TABLE TB_CLASS_INQRY ALTER COLUMN UPDT_DT TYPE TIMESTAMP;</v>
      </c>
      <c r="AE170" s="50" t="str">
        <f t="shared" si="37"/>
        <v>ALTER TABLE TB_CLASS_INQRY ADD COLUMN UPDT_DT TIMESTAMP;</v>
      </c>
      <c r="AF170" s="50" t="str">
        <f t="shared" si="38"/>
        <v>ALTER TABLE TB_CLASS_INQRY DROP COLUMN UPDT_DT;</v>
      </c>
      <c r="AG170" s="50" t="str">
        <f t="shared" si="39"/>
        <v/>
      </c>
      <c r="AH170" s="50" t="str">
        <f t="shared" si="33"/>
        <v>COMMENT ON COLUMN TB_CLASS_INQRY.UPDT_DT IS '수정 일시' ;</v>
      </c>
    </row>
    <row r="171" spans="1:34" ht="20.100000000000001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556</v>
      </c>
      <c r="R171" s="87" t="s">
        <v>604</v>
      </c>
      <c r="S171" s="112" t="s">
        <v>220</v>
      </c>
      <c r="T171" s="83"/>
      <c r="U171" s="83"/>
      <c r="V171" s="106"/>
      <c r="W171" s="45"/>
      <c r="X171" s="83"/>
      <c r="Y171" s="129" t="str">
        <f t="shared" si="30"/>
        <v>TB_CLASS_INQRY</v>
      </c>
      <c r="Z171" s="50" t="str">
        <f t="shared" si="34"/>
        <v>DEL_YN VARCHAR(1) NOT NULL,</v>
      </c>
      <c r="AA171" s="50" t="str">
        <f t="shared" si="31"/>
        <v/>
      </c>
      <c r="AB171" s="50" t="str">
        <f t="shared" si="32"/>
        <v/>
      </c>
      <c r="AC171" s="50" t="str">
        <f t="shared" si="35"/>
        <v/>
      </c>
      <c r="AD171" s="50" t="str">
        <f t="shared" si="36"/>
        <v>ALTER TABLE TB_CLASS_INQRY ALTER COLUMN DEL_YN TYPE VARCHAR(1);</v>
      </c>
      <c r="AE171" s="50" t="str">
        <f t="shared" si="37"/>
        <v>ALTER TABLE TB_CLASS_INQRY ADD COLUMN DEL_YN VARCHAR(1) NOT NULL DEFAULT 'N';</v>
      </c>
      <c r="AF171" s="50" t="str">
        <f t="shared" si="38"/>
        <v>ALTER TABLE TB_CLASS_INQRY DROP COLUMN DEL_YN;</v>
      </c>
      <c r="AG171" s="50" t="str">
        <f t="shared" si="39"/>
        <v>ALTER TABLE TB_CLASS_INQRY ALTER COLUMN DEL_YN SET DEFAULT 'N';</v>
      </c>
      <c r="AH171" s="50" t="str">
        <f t="shared" si="33"/>
        <v>COMMENT ON COLUMN TB_CLASS_INQRY.DEL_YN IS '삭제 여부' ;</v>
      </c>
    </row>
    <row r="172" spans="1:34" ht="20.100000000000001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30"/>
        <v>TB_LCTRE</v>
      </c>
      <c r="Z172" s="50" t="str">
        <f t="shared" si="34"/>
        <v>LCTRE_SN INTEGER PRIMARY KEY,</v>
      </c>
      <c r="AA172" s="50" t="str">
        <f t="shared" si="31"/>
        <v/>
      </c>
      <c r="AB172" s="50" t="str">
        <f t="shared" si="32"/>
        <v>CREATE SEQUENCE SEQ_TB_LCTRE_SN START 100000;</v>
      </c>
      <c r="AC172" s="50" t="str">
        <f t="shared" si="35"/>
        <v>ALTER TABLE TB_LCTRE ALTER COLUMN LCTRE_SN SET DEFAULT NEXTVAL('SEQ_TB_LCTRE_SN');</v>
      </c>
      <c r="AD172" s="50" t="str">
        <f t="shared" si="36"/>
        <v>ALTER TABLE TB_LCTRE ALTER COLUMN LCTRE_SN TYPE INTEGER;</v>
      </c>
      <c r="AE172" s="50" t="str">
        <f t="shared" si="37"/>
        <v>ALTER TABLE TB_LCTRE ADD COLUMN LCTRE_SN INTEGER NOT NULL;</v>
      </c>
      <c r="AF172" s="50" t="str">
        <f t="shared" si="38"/>
        <v>ALTER TABLE TB_LCTRE DROP COLUMN LCTRE_SN;</v>
      </c>
      <c r="AG172" s="50" t="str">
        <f t="shared" si="39"/>
        <v/>
      </c>
      <c r="AH172" s="50" t="str">
        <f t="shared" si="33"/>
        <v>COMMENT ON COLUMN TB_LCTRE.LCTRE_SN IS '수업 일련번호' ;</v>
      </c>
    </row>
    <row r="173" spans="1:34" ht="20.100000000000001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574</v>
      </c>
      <c r="O173" s="100" t="s">
        <v>576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30"/>
        <v>TB_LCTRE</v>
      </c>
      <c r="Z173" s="50" t="str">
        <f t="shared" si="34"/>
        <v>CLASS_SN INTEGER NOT NULL,</v>
      </c>
      <c r="AA173" s="50" t="str">
        <f t="shared" si="31"/>
        <v>ALTER TABLE TB_LCTRE ADD CONSTRAINT TB_LCTRE_FKEY1 FOREIGN KEY(CLASS_SN) REFERENCES TB_CLASS(CLASS_SN) ON UPDATE CASCADE ON DELETE CASCADE;</v>
      </c>
      <c r="AB173" s="50" t="str">
        <f t="shared" si="32"/>
        <v/>
      </c>
      <c r="AC173" s="50" t="str">
        <f t="shared" si="35"/>
        <v/>
      </c>
      <c r="AD173" s="50" t="str">
        <f t="shared" si="36"/>
        <v>ALTER TABLE TB_LCTRE ALTER COLUMN CLASS_SN TYPE INTEGER;</v>
      </c>
      <c r="AE173" s="50" t="str">
        <f t="shared" si="37"/>
        <v>ALTER TABLE TB_LCTRE ADD COLUMN CLASS_SN INTEGER NOT NULL;</v>
      </c>
      <c r="AF173" s="50" t="str">
        <f t="shared" si="38"/>
        <v>ALTER TABLE TB_LCTRE DROP COLUMN CLASS_SN;</v>
      </c>
      <c r="AG173" s="50" t="str">
        <f t="shared" si="39"/>
        <v/>
      </c>
      <c r="AH173" s="50" t="str">
        <f t="shared" si="33"/>
        <v>COMMENT ON COLUMN TB_LCTRE.CLASS_SN IS '클래스 일련번호' ;</v>
      </c>
    </row>
    <row r="174" spans="1:34" ht="20.100000000000001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574</v>
      </c>
      <c r="O174" s="100" t="s">
        <v>576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30"/>
        <v>TB_LCTRE</v>
      </c>
      <c r="Z174" s="50" t="str">
        <f t="shared" si="34"/>
        <v>CLASS_WEEK_SN INTEGER NOT NULL,</v>
      </c>
      <c r="AA174" s="50" t="str">
        <f t="shared" si="31"/>
        <v>ALTER TABLE TB_LCTRE ADD CONSTRAINT TB_LCTRE_FKEY2 FOREIGN KEY(CLASS_WEEK_SN) REFERENCES TB_CLASS_WEEK(CLASS_WEEK_SN) ON UPDATE CASCADE ON DELETE CASCADE;</v>
      </c>
      <c r="AB174" s="50" t="str">
        <f t="shared" si="32"/>
        <v/>
      </c>
      <c r="AC174" s="50" t="str">
        <f t="shared" si="35"/>
        <v/>
      </c>
      <c r="AD174" s="50" t="str">
        <f t="shared" si="36"/>
        <v>ALTER TABLE TB_LCTRE ALTER COLUMN CLASS_WEEK_SN TYPE INTEGER;</v>
      </c>
      <c r="AE174" s="50" t="str">
        <f t="shared" si="37"/>
        <v>ALTER TABLE TB_LCTRE ADD COLUMN CLASS_WEEK_SN INTEGER NOT NULL;</v>
      </c>
      <c r="AF174" s="50" t="str">
        <f t="shared" si="38"/>
        <v>ALTER TABLE TB_LCTRE DROP COLUMN CLASS_WEEK_SN;</v>
      </c>
      <c r="AG174" s="50" t="str">
        <f t="shared" si="39"/>
        <v/>
      </c>
      <c r="AH174" s="50" t="str">
        <f t="shared" si="33"/>
        <v>COMMENT ON COLUMN TB_LCTRE.CLASS_WEEK_SN IS '클래스 요일 일련번호' ;</v>
      </c>
    </row>
    <row r="175" spans="1:34" ht="20.100000000000001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5" t="s">
        <v>178</v>
      </c>
      <c r="Q175" s="47" t="s">
        <v>200</v>
      </c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30"/>
        <v>TB_LCTRE</v>
      </c>
      <c r="Z175" s="50" t="str">
        <f t="shared" si="34"/>
        <v>LCTRE_SEQ NUMERIC(10,3) NOT NULL,</v>
      </c>
      <c r="AA175" s="50" t="str">
        <f t="shared" si="31"/>
        <v/>
      </c>
      <c r="AB175" s="50" t="str">
        <f t="shared" si="32"/>
        <v>CREATE SEQUENCE SEQ_TB_LCTRE_SEQ START 100000;</v>
      </c>
      <c r="AC175" s="50" t="str">
        <f t="shared" si="35"/>
        <v>ALTER TABLE TB_LCTRE ALTER COLUMN LCTRE_SEQ SET DEFAULT NEXTVAL('SEQ_TB_LCTRE_SEQ');</v>
      </c>
      <c r="AD175" s="50" t="str">
        <f t="shared" si="36"/>
        <v>ALTER TABLE TB_LCTRE ALTER COLUMN LCTRE_SEQ TYPE NUMERIC(10,3);</v>
      </c>
      <c r="AE175" s="50" t="str">
        <f t="shared" si="37"/>
        <v>ALTER TABLE TB_LCTRE ADD COLUMN LCTRE_SEQ NUMERIC(10,3) NOT NULL;</v>
      </c>
      <c r="AF175" s="50" t="str">
        <f t="shared" si="38"/>
        <v>ALTER TABLE TB_LCTRE DROP COLUMN LCTRE_SEQ;</v>
      </c>
      <c r="AG175" s="50" t="str">
        <f t="shared" si="39"/>
        <v/>
      </c>
      <c r="AH175" s="50" t="str">
        <f t="shared" si="33"/>
        <v>COMMENT ON COLUMN TB_LCTRE.LCTRE_SEQ IS '수업 순번' ;</v>
      </c>
    </row>
    <row r="176" spans="1:34" ht="20.100000000000001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659</v>
      </c>
      <c r="H176" s="102" t="s">
        <v>660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562</v>
      </c>
      <c r="R176" s="86"/>
      <c r="S176" s="112" t="s">
        <v>661</v>
      </c>
      <c r="T176" s="83"/>
      <c r="U176" s="83"/>
      <c r="V176" s="106"/>
      <c r="W176" s="45"/>
      <c r="X176" s="83"/>
      <c r="Y176" s="129" t="str">
        <f t="shared" si="30"/>
        <v>TB_LCTRE</v>
      </c>
      <c r="Z176" s="50" t="str">
        <f t="shared" si="34"/>
        <v>LCTRE_SJ VARCHAR(255),</v>
      </c>
      <c r="AA176" s="50" t="str">
        <f t="shared" si="31"/>
        <v/>
      </c>
      <c r="AB176" s="50" t="str">
        <f t="shared" si="32"/>
        <v/>
      </c>
      <c r="AC176" s="50" t="str">
        <f t="shared" si="35"/>
        <v/>
      </c>
      <c r="AD176" s="50" t="str">
        <f t="shared" si="36"/>
        <v>ALTER TABLE TB_LCTRE ALTER COLUMN LCTRE_SJ TYPE VARCHAR(255);</v>
      </c>
      <c r="AE176" s="50" t="str">
        <f t="shared" si="37"/>
        <v>ALTER TABLE TB_LCTRE ADD COLUMN LCTRE_SJ VARCHAR(255);</v>
      </c>
      <c r="AF176" s="50" t="str">
        <f t="shared" si="38"/>
        <v>ALTER TABLE TB_LCTRE DROP COLUMN LCTRE_SJ;</v>
      </c>
      <c r="AG176" s="50" t="str">
        <f t="shared" si="39"/>
        <v/>
      </c>
      <c r="AH176" s="50" t="str">
        <f t="shared" si="33"/>
        <v>COMMENT ON COLUMN TB_LCTRE.LCTRE_SJ IS '수업 제목' ;</v>
      </c>
    </row>
    <row r="177" spans="1:34" ht="20.100000000000001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562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30"/>
        <v>TB_LCTRE</v>
      </c>
      <c r="Z177" s="50" t="str">
        <f t="shared" si="34"/>
        <v>LCTRE_DC VARCHAR(255),</v>
      </c>
      <c r="AA177" s="50" t="str">
        <f t="shared" si="31"/>
        <v/>
      </c>
      <c r="AB177" s="50" t="str">
        <f t="shared" si="32"/>
        <v/>
      </c>
      <c r="AC177" s="50" t="str">
        <f t="shared" si="35"/>
        <v/>
      </c>
      <c r="AD177" s="50" t="str">
        <f t="shared" si="36"/>
        <v>ALTER TABLE TB_LCTRE ALTER COLUMN LCTRE_DC TYPE VARCHAR(255);</v>
      </c>
      <c r="AE177" s="50" t="str">
        <f t="shared" si="37"/>
        <v>ALTER TABLE TB_LCTRE ADD COLUMN LCTRE_DC VARCHAR(255);</v>
      </c>
      <c r="AF177" s="50" t="str">
        <f t="shared" si="38"/>
        <v>ALTER TABLE TB_LCTRE DROP COLUMN LCTRE_DC;</v>
      </c>
      <c r="AG177" s="50" t="str">
        <f t="shared" si="39"/>
        <v/>
      </c>
      <c r="AH177" s="50" t="str">
        <f t="shared" si="33"/>
        <v>COMMENT ON COLUMN TB_LCTRE.LCTRE_DC IS '수업 설명' ;</v>
      </c>
    </row>
    <row r="178" spans="1:34" ht="20.100000000000001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665</v>
      </c>
      <c r="H178" s="102" t="s">
        <v>666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667</v>
      </c>
      <c r="T178" s="83"/>
      <c r="U178" s="83"/>
      <c r="V178" s="106" t="s">
        <v>668</v>
      </c>
      <c r="W178" s="45"/>
      <c r="X178" s="83"/>
      <c r="Y178" s="129" t="str">
        <f t="shared" ref="Y178" si="50">D178</f>
        <v>TB_LCTRE</v>
      </c>
      <c r="Z178" s="50" t="str">
        <f t="shared" ref="Z178" si="51">G178&amp;" "&amp;P178&amp;Q178&amp;IF(ISBLANK(J178),""," PRIMARY KEY")&amp;IF(AND(ISBLANK(J178),I178="Y")," NOT NULL","")&amp;","</f>
        <v>LCTRE_APPLCNT_GUIDANCE TEXT,</v>
      </c>
      <c r="AA178" s="50" t="str">
        <f t="shared" ref="AA178" si="52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3">IF(ISBLANK(T178),"","CREATE SEQUENCE "&amp;T178&amp;" START 100000;")</f>
        <v/>
      </c>
      <c r="AC178" s="50" t="str">
        <f t="shared" si="35"/>
        <v/>
      </c>
      <c r="AD178" s="50" t="str">
        <f t="shared" si="36"/>
        <v>ALTER TABLE TB_LCTRE ALTER COLUMN LCTRE_APPLCNT_GUIDANCE TYPE TEXT;</v>
      </c>
      <c r="AE178" s="50" t="str">
        <f t="shared" si="37"/>
        <v>ALTER TABLE TB_LCTRE ADD COLUMN LCTRE_APPLCNT_GUIDANCE TEXT;</v>
      </c>
      <c r="AF178" s="50" t="str">
        <f t="shared" si="38"/>
        <v>ALTER TABLE TB_LCTRE DROP COLUMN LCTRE_APPLCNT_GUIDANCE;</v>
      </c>
      <c r="AG178" s="50" t="str">
        <f t="shared" si="39"/>
        <v/>
      </c>
      <c r="AH178" s="50" t="str">
        <f t="shared" ref="AH178" si="54">"COMMENT ON COLUMN "&amp;D178&amp;"."&amp;G178&amp;" IS '"&amp;S178&amp;"' ;"</f>
        <v>COMMENT ON COLUMN TB_LCTRE.LCTRE_APPLCNT_GUIDANCE IS '수업 신청자 안내' ;</v>
      </c>
    </row>
    <row r="179" spans="1:34" ht="20.100000000000001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556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30"/>
        <v>TB_LCTRE</v>
      </c>
      <c r="Z179" s="50" t="str">
        <f t="shared" si="34"/>
        <v>RCRIT_NMPR_SET_YN VARCHAR(1) NOT NULL,</v>
      </c>
      <c r="AA179" s="50" t="str">
        <f t="shared" si="31"/>
        <v/>
      </c>
      <c r="AB179" s="50" t="str">
        <f t="shared" si="32"/>
        <v/>
      </c>
      <c r="AC179" s="50" t="str">
        <f t="shared" si="35"/>
        <v/>
      </c>
      <c r="AD179" s="50" t="str">
        <f t="shared" si="36"/>
        <v>ALTER TABLE TB_LCTRE ALTER COLUMN RCRIT_NMPR_SET_YN TYPE VARCHAR(1);</v>
      </c>
      <c r="AE179" s="50" t="str">
        <f t="shared" si="37"/>
        <v>ALTER TABLE TB_LCTRE ADD COLUMN RCRIT_NMPR_SET_YN VARCHAR(1) NOT NULL;</v>
      </c>
      <c r="AF179" s="50" t="str">
        <f t="shared" si="38"/>
        <v>ALTER TABLE TB_LCTRE DROP COLUMN RCRIT_NMPR_SET_YN;</v>
      </c>
      <c r="AG179" s="50" t="str">
        <f t="shared" si="39"/>
        <v/>
      </c>
      <c r="AH179" s="50" t="str">
        <f t="shared" si="33"/>
        <v>COMMENT ON COLUMN TB_LCTRE.RCRIT_NMPR_SET_YN IS '모집 인원 설정 여부' ;</v>
      </c>
    </row>
    <row r="180" spans="1:34" ht="20.100000000000001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64" t="s">
        <v>178</v>
      </c>
      <c r="Q180" s="47" t="s">
        <v>200</v>
      </c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30"/>
        <v>TB_LCTRE</v>
      </c>
      <c r="Z180" s="50" t="str">
        <f t="shared" si="34"/>
        <v>RCRIT_NMPR_CO NUMERIC(10,3),</v>
      </c>
      <c r="AA180" s="50" t="str">
        <f t="shared" si="31"/>
        <v/>
      </c>
      <c r="AB180" s="50" t="str">
        <f t="shared" si="32"/>
        <v/>
      </c>
      <c r="AC180" s="50" t="str">
        <f t="shared" si="35"/>
        <v/>
      </c>
      <c r="AD180" s="50" t="str">
        <f t="shared" si="36"/>
        <v>ALTER TABLE TB_LCTRE ALTER COLUMN RCRIT_NMPR_CO TYPE NUMERIC(10,3);</v>
      </c>
      <c r="AE180" s="50" t="str">
        <f t="shared" si="37"/>
        <v>ALTER TABLE TB_LCTRE ADD COLUMN RCRIT_NMPR_CO NUMERIC(10,3);</v>
      </c>
      <c r="AF180" s="50" t="str">
        <f t="shared" si="38"/>
        <v>ALTER TABLE TB_LCTRE DROP COLUMN RCRIT_NMPR_CO;</v>
      </c>
      <c r="AG180" s="50" t="str">
        <f t="shared" si="39"/>
        <v/>
      </c>
      <c r="AH180" s="50" t="str">
        <f t="shared" si="33"/>
        <v>COMMENT ON COLUMN TB_LCTRE.RCRIT_NMPR_CO IS '모집 인원 수' ;</v>
      </c>
    </row>
    <row r="181" spans="1:34" ht="20.100000000000001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556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30"/>
        <v>TB_LCTRE</v>
      </c>
      <c r="Z181" s="50" t="str">
        <f t="shared" si="34"/>
        <v>PREPAR_RCRIT_NMPR_SET_YN VARCHAR(1) NOT NULL,</v>
      </c>
      <c r="AA181" s="50" t="str">
        <f t="shared" si="31"/>
        <v/>
      </c>
      <c r="AB181" s="50" t="str">
        <f t="shared" si="32"/>
        <v/>
      </c>
      <c r="AC181" s="50" t="str">
        <f t="shared" si="35"/>
        <v/>
      </c>
      <c r="AD181" s="50" t="str">
        <f t="shared" si="36"/>
        <v>ALTER TABLE TB_LCTRE ALTER COLUMN PREPAR_RCRIT_NMPR_SET_YN TYPE VARCHAR(1);</v>
      </c>
      <c r="AE181" s="50" t="str">
        <f t="shared" si="37"/>
        <v>ALTER TABLE TB_LCTRE ADD COLUMN PREPAR_RCRIT_NMPR_SET_YN VARCHAR(1) NOT NULL;</v>
      </c>
      <c r="AF181" s="50" t="str">
        <f t="shared" si="38"/>
        <v>ALTER TABLE TB_LCTRE DROP COLUMN PREPAR_RCRIT_NMPR_SET_YN;</v>
      </c>
      <c r="AG181" s="50" t="str">
        <f t="shared" si="39"/>
        <v/>
      </c>
      <c r="AH181" s="50" t="str">
        <f t="shared" si="33"/>
        <v>COMMENT ON COLUMN TB_LCTRE.PREPAR_RCRIT_NMPR_SET_YN IS '예비 모집 인원 설정 여부' ;</v>
      </c>
    </row>
    <row r="182" spans="1:34" ht="20.100000000000001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64" t="s">
        <v>178</v>
      </c>
      <c r="Q182" s="47" t="s">
        <v>200</v>
      </c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30"/>
        <v>TB_LCTRE</v>
      </c>
      <c r="Z182" s="50" t="str">
        <f t="shared" si="34"/>
        <v>PREPAR_RCRIT_NMPR_CO NUMERIC(10,3),</v>
      </c>
      <c r="AA182" s="50" t="str">
        <f t="shared" si="31"/>
        <v/>
      </c>
      <c r="AB182" s="50" t="str">
        <f t="shared" si="32"/>
        <v/>
      </c>
      <c r="AC182" s="50" t="str">
        <f t="shared" si="35"/>
        <v/>
      </c>
      <c r="AD182" s="50" t="str">
        <f t="shared" si="36"/>
        <v>ALTER TABLE TB_LCTRE ALTER COLUMN PREPAR_RCRIT_NMPR_CO TYPE NUMERIC(10,3);</v>
      </c>
      <c r="AE182" s="50" t="str">
        <f t="shared" si="37"/>
        <v>ALTER TABLE TB_LCTRE ADD COLUMN PREPAR_RCRIT_NMPR_CO NUMERIC(10,3);</v>
      </c>
      <c r="AF182" s="50" t="str">
        <f t="shared" si="38"/>
        <v>ALTER TABLE TB_LCTRE DROP COLUMN PREPAR_RCRIT_NMPR_CO;</v>
      </c>
      <c r="AG182" s="50" t="str">
        <f t="shared" si="39"/>
        <v/>
      </c>
      <c r="AH182" s="50" t="str">
        <f t="shared" si="33"/>
        <v>COMMENT ON COLUMN TB_LCTRE.PREPAR_RCRIT_NMPR_CO IS '예비 모집 인원 수' ;</v>
      </c>
    </row>
    <row r="183" spans="1:34" ht="20.100000000000001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555</v>
      </c>
      <c r="Q183" s="126" t="s">
        <v>560</v>
      </c>
      <c r="R183" s="85"/>
      <c r="S183" s="112" t="s">
        <v>226</v>
      </c>
      <c r="T183" s="83"/>
      <c r="U183" s="83"/>
      <c r="V183" s="123" t="s">
        <v>529</v>
      </c>
      <c r="W183" s="45"/>
      <c r="X183" s="83"/>
      <c r="Y183" s="129" t="str">
        <f t="shared" si="30"/>
        <v>TB_LCTRE</v>
      </c>
      <c r="Z183" s="50" t="str">
        <f t="shared" si="34"/>
        <v>REGISTER_ID VARCHAR(50) NOT NULL,</v>
      </c>
      <c r="AA183" s="50" t="str">
        <f t="shared" si="31"/>
        <v/>
      </c>
      <c r="AB183" s="50" t="str">
        <f t="shared" si="32"/>
        <v/>
      </c>
      <c r="AC183" s="50" t="str">
        <f t="shared" si="35"/>
        <v/>
      </c>
      <c r="AD183" s="50" t="str">
        <f t="shared" si="36"/>
        <v>ALTER TABLE TB_LCTRE ALTER COLUMN REGISTER_ID TYPE VARCHAR(50);</v>
      </c>
      <c r="AE183" s="50" t="str">
        <f t="shared" si="37"/>
        <v>ALTER TABLE TB_LCTRE ADD COLUMN REGISTER_ID VARCHAR(50) NOT NULL;</v>
      </c>
      <c r="AF183" s="50" t="str">
        <f t="shared" si="38"/>
        <v>ALTER TABLE TB_LCTRE DROP COLUMN REGISTER_ID;</v>
      </c>
      <c r="AG183" s="50" t="str">
        <f t="shared" si="39"/>
        <v/>
      </c>
      <c r="AH183" s="50" t="str">
        <f t="shared" si="33"/>
        <v>COMMENT ON COLUMN TB_LCTRE.REGISTER_ID IS '등록자 ID' ;</v>
      </c>
    </row>
    <row r="184" spans="1:34" ht="20.100000000000001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561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30"/>
        <v>TB_LCTRE</v>
      </c>
      <c r="Z184" s="50" t="str">
        <f t="shared" si="34"/>
        <v>REGISTER_IP VARCHAR(100) NOT NULL,</v>
      </c>
      <c r="AA184" s="50" t="str">
        <f t="shared" si="31"/>
        <v/>
      </c>
      <c r="AB184" s="50" t="str">
        <f t="shared" si="32"/>
        <v/>
      </c>
      <c r="AC184" s="50" t="str">
        <f t="shared" si="35"/>
        <v/>
      </c>
      <c r="AD184" s="50" t="str">
        <f t="shared" si="36"/>
        <v>ALTER TABLE TB_LCTRE ALTER COLUMN REGISTER_IP TYPE VARCHAR(100);</v>
      </c>
      <c r="AE184" s="50" t="str">
        <f t="shared" si="37"/>
        <v>ALTER TABLE TB_LCTRE ADD COLUMN REGISTER_IP VARCHAR(100) NOT NULL;</v>
      </c>
      <c r="AF184" s="50" t="str">
        <f t="shared" si="38"/>
        <v>ALTER TABLE TB_LCTRE DROP COLUMN REGISTER_IP;</v>
      </c>
      <c r="AG184" s="50" t="str">
        <f t="shared" si="39"/>
        <v/>
      </c>
      <c r="AH184" s="50" t="str">
        <f t="shared" si="33"/>
        <v>COMMENT ON COLUMN TB_LCTRE.REGISTER_IP IS '등록자 IP' ;</v>
      </c>
    </row>
    <row r="185" spans="1:34" ht="20.100000000000001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749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30"/>
        <v>TB_LCTRE</v>
      </c>
      <c r="Z185" s="50" t="str">
        <f t="shared" si="34"/>
        <v>REG_DT TIMESTAMP NOT NULL,</v>
      </c>
      <c r="AA185" s="50" t="str">
        <f t="shared" si="31"/>
        <v/>
      </c>
      <c r="AB185" s="50" t="str">
        <f t="shared" si="32"/>
        <v/>
      </c>
      <c r="AC185" s="50" t="str">
        <f t="shared" si="35"/>
        <v/>
      </c>
      <c r="AD185" s="50" t="str">
        <f t="shared" si="36"/>
        <v>ALTER TABLE TB_LCTRE ALTER COLUMN REG_DT TYPE TIMESTAMP;</v>
      </c>
      <c r="AE185" s="50" t="str">
        <f t="shared" si="37"/>
        <v>ALTER TABLE TB_LCTRE ADD COLUMN REG_DT TIMESTAMP NOT NULL;</v>
      </c>
      <c r="AF185" s="50" t="str">
        <f t="shared" si="38"/>
        <v>ALTER TABLE TB_LCTRE DROP COLUMN REG_DT;</v>
      </c>
      <c r="AG185" s="50" t="str">
        <f t="shared" si="39"/>
        <v/>
      </c>
      <c r="AH185" s="50" t="str">
        <f t="shared" si="33"/>
        <v>COMMENT ON COLUMN TB_LCTRE.REG_DT IS '등록 일시' ;</v>
      </c>
    </row>
    <row r="186" spans="1:34" ht="20.100000000000001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555</v>
      </c>
      <c r="Q186" s="126" t="s">
        <v>560</v>
      </c>
      <c r="R186" s="85"/>
      <c r="S186" s="112" t="s">
        <v>223</v>
      </c>
      <c r="T186" s="83"/>
      <c r="U186" s="83"/>
      <c r="V186" s="123" t="s">
        <v>529</v>
      </c>
      <c r="W186" s="45"/>
      <c r="X186" s="83"/>
      <c r="Y186" s="129" t="str">
        <f t="shared" si="30"/>
        <v>TB_LCTRE</v>
      </c>
      <c r="Z186" s="50" t="str">
        <f t="shared" si="34"/>
        <v>UPDUSR_ID VARCHAR(50),</v>
      </c>
      <c r="AA186" s="50" t="str">
        <f t="shared" si="31"/>
        <v/>
      </c>
      <c r="AB186" s="50" t="str">
        <f t="shared" si="32"/>
        <v/>
      </c>
      <c r="AC186" s="50" t="str">
        <f t="shared" si="35"/>
        <v/>
      </c>
      <c r="AD186" s="50" t="str">
        <f t="shared" si="36"/>
        <v>ALTER TABLE TB_LCTRE ALTER COLUMN UPDUSR_ID TYPE VARCHAR(50);</v>
      </c>
      <c r="AE186" s="50" t="str">
        <f t="shared" si="37"/>
        <v>ALTER TABLE TB_LCTRE ADD COLUMN UPDUSR_ID VARCHAR(50);</v>
      </c>
      <c r="AF186" s="50" t="str">
        <f t="shared" si="38"/>
        <v>ALTER TABLE TB_LCTRE DROP COLUMN UPDUSR_ID;</v>
      </c>
      <c r="AG186" s="50" t="str">
        <f t="shared" si="39"/>
        <v/>
      </c>
      <c r="AH186" s="50" t="str">
        <f t="shared" si="33"/>
        <v>COMMENT ON COLUMN TB_LCTRE.UPDUSR_ID IS '수정자 ID' ;</v>
      </c>
    </row>
    <row r="187" spans="1:34" ht="20.100000000000001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561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30"/>
        <v>TB_LCTRE</v>
      </c>
      <c r="Z187" s="50" t="str">
        <f t="shared" si="34"/>
        <v>UPDUSR_IP VARCHAR(100),</v>
      </c>
      <c r="AA187" s="50" t="str">
        <f t="shared" si="31"/>
        <v/>
      </c>
      <c r="AB187" s="50" t="str">
        <f t="shared" si="32"/>
        <v/>
      </c>
      <c r="AC187" s="50" t="str">
        <f t="shared" si="35"/>
        <v/>
      </c>
      <c r="AD187" s="50" t="str">
        <f t="shared" si="36"/>
        <v>ALTER TABLE TB_LCTRE ALTER COLUMN UPDUSR_IP TYPE VARCHAR(100);</v>
      </c>
      <c r="AE187" s="50" t="str">
        <f t="shared" si="37"/>
        <v>ALTER TABLE TB_LCTRE ADD COLUMN UPDUSR_IP VARCHAR(100);</v>
      </c>
      <c r="AF187" s="50" t="str">
        <f t="shared" si="38"/>
        <v>ALTER TABLE TB_LCTRE DROP COLUMN UPDUSR_IP;</v>
      </c>
      <c r="AG187" s="50" t="str">
        <f t="shared" si="39"/>
        <v/>
      </c>
      <c r="AH187" s="50" t="str">
        <f t="shared" si="33"/>
        <v>COMMENT ON COLUMN TB_LCTRE.UPDUSR_IP IS '수정자 IP' ;</v>
      </c>
    </row>
    <row r="188" spans="1:34" ht="20.100000000000001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749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30"/>
        <v>TB_LCTRE</v>
      </c>
      <c r="Z188" s="50" t="str">
        <f t="shared" si="34"/>
        <v>UPDT_DT TIMESTAMP,</v>
      </c>
      <c r="AA188" s="50" t="str">
        <f t="shared" si="31"/>
        <v/>
      </c>
      <c r="AB188" s="50" t="str">
        <f t="shared" si="32"/>
        <v/>
      </c>
      <c r="AC188" s="50" t="str">
        <f t="shared" si="35"/>
        <v/>
      </c>
      <c r="AD188" s="50" t="str">
        <f t="shared" si="36"/>
        <v>ALTER TABLE TB_LCTRE ALTER COLUMN UPDT_DT TYPE TIMESTAMP;</v>
      </c>
      <c r="AE188" s="50" t="str">
        <f t="shared" si="37"/>
        <v>ALTER TABLE TB_LCTRE ADD COLUMN UPDT_DT TIMESTAMP;</v>
      </c>
      <c r="AF188" s="50" t="str">
        <f t="shared" si="38"/>
        <v>ALTER TABLE TB_LCTRE DROP COLUMN UPDT_DT;</v>
      </c>
      <c r="AG188" s="50" t="str">
        <f t="shared" si="39"/>
        <v/>
      </c>
      <c r="AH188" s="50" t="str">
        <f t="shared" si="33"/>
        <v>COMMENT ON COLUMN TB_LCTRE.UPDT_DT IS '수정 일시' ;</v>
      </c>
    </row>
    <row r="189" spans="1:34" ht="20.100000000000001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556</v>
      </c>
      <c r="R189" s="87" t="s">
        <v>604</v>
      </c>
      <c r="S189" s="112" t="s">
        <v>220</v>
      </c>
      <c r="T189" s="83"/>
      <c r="U189" s="83"/>
      <c r="V189" s="106"/>
      <c r="W189" s="45"/>
      <c r="X189" s="83"/>
      <c r="Y189" s="129" t="str">
        <f t="shared" si="30"/>
        <v>TB_LCTRE</v>
      </c>
      <c r="Z189" s="50" t="str">
        <f t="shared" si="34"/>
        <v>DEL_YN VARCHAR(1) NOT NULL,</v>
      </c>
      <c r="AA189" s="50" t="str">
        <f t="shared" si="31"/>
        <v/>
      </c>
      <c r="AB189" s="50" t="str">
        <f t="shared" si="32"/>
        <v/>
      </c>
      <c r="AC189" s="50" t="str">
        <f t="shared" si="35"/>
        <v/>
      </c>
      <c r="AD189" s="50" t="str">
        <f t="shared" si="36"/>
        <v>ALTER TABLE TB_LCTRE ALTER COLUMN DEL_YN TYPE VARCHAR(1);</v>
      </c>
      <c r="AE189" s="50" t="str">
        <f t="shared" si="37"/>
        <v>ALTER TABLE TB_LCTRE ADD COLUMN DEL_YN VARCHAR(1) NOT NULL DEFAULT 'N';</v>
      </c>
      <c r="AF189" s="50" t="str">
        <f t="shared" si="38"/>
        <v>ALTER TABLE TB_LCTRE DROP COLUMN DEL_YN;</v>
      </c>
      <c r="AG189" s="50" t="str">
        <f t="shared" si="39"/>
        <v>ALTER TABLE TB_LCTRE ALTER COLUMN DEL_YN SET DEFAULT 'N';</v>
      </c>
      <c r="AH189" s="50" t="str">
        <f t="shared" si="33"/>
        <v>COMMENT ON COLUMN TB_LCTRE.DEL_YN IS '삭제 여부' ;</v>
      </c>
    </row>
    <row r="190" spans="1:34" ht="20.100000000000001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334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30"/>
        <v>TB_LCTRE_REQST</v>
      </c>
      <c r="Z190" s="50" t="str">
        <f t="shared" si="34"/>
        <v>LCTRE_REQST_SN INTEGER PRIMARY KEY,</v>
      </c>
      <c r="AA190" s="50" t="str">
        <f t="shared" si="31"/>
        <v/>
      </c>
      <c r="AB190" s="50" t="str">
        <f t="shared" si="32"/>
        <v>CREATE SEQUENCE SEQ_TB_LCTRE_REQST_SN START 100000;</v>
      </c>
      <c r="AC190" s="50" t="str">
        <f t="shared" si="35"/>
        <v>ALTER TABLE TB_LCTRE_REQST ALTER COLUMN LCTRE_REQST_SN SET DEFAULT NEXTVAL('SEQ_TB_LCTRE_REQST_SN');</v>
      </c>
      <c r="AD190" s="50" t="str">
        <f t="shared" si="36"/>
        <v>ALTER TABLE TB_LCTRE_REQST ALTER COLUMN LCTRE_REQST_SN TYPE INTEGER;</v>
      </c>
      <c r="AE190" s="50" t="str">
        <f t="shared" si="37"/>
        <v>ALTER TABLE TB_LCTRE_REQST ADD COLUMN LCTRE_REQST_SN INTEGER NOT NULL;</v>
      </c>
      <c r="AF190" s="50" t="str">
        <f t="shared" si="38"/>
        <v>ALTER TABLE TB_LCTRE_REQST DROP COLUMN LCTRE_REQST_SN;</v>
      </c>
      <c r="AG190" s="50" t="str">
        <f t="shared" si="39"/>
        <v/>
      </c>
      <c r="AH190" s="50" t="str">
        <f t="shared" si="33"/>
        <v>COMMENT ON COLUMN TB_LCTRE_REQST.LCTRE_REQST_SN IS '수업 신청 일련번호' ;</v>
      </c>
    </row>
    <row r="191" spans="1:34" ht="20.100000000000001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574</v>
      </c>
      <c r="O191" s="100" t="s">
        <v>576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30"/>
        <v>TB_LCTRE_REQST</v>
      </c>
      <c r="Z191" s="50" t="str">
        <f t="shared" si="34"/>
        <v>LCTRE_SN INTEGER NOT NULL,</v>
      </c>
      <c r="AA191" s="50" t="str">
        <f t="shared" si="31"/>
        <v>ALTER TABLE TB_LCTRE_REQST ADD CONSTRAINT TB_LCTRE_REQST_FKEY1 FOREIGN KEY(LCTRE_SN) REFERENCES TB_LCTRE(LCTRE_SN) ON UPDATE CASCADE ON DELETE CASCADE;</v>
      </c>
      <c r="AB191" s="50" t="str">
        <f t="shared" si="32"/>
        <v/>
      </c>
      <c r="AC191" s="50" t="str">
        <f t="shared" si="35"/>
        <v/>
      </c>
      <c r="AD191" s="50" t="str">
        <f t="shared" si="36"/>
        <v>ALTER TABLE TB_LCTRE_REQST ALTER COLUMN LCTRE_SN TYPE INTEGER;</v>
      </c>
      <c r="AE191" s="50" t="str">
        <f t="shared" si="37"/>
        <v>ALTER TABLE TB_LCTRE_REQST ADD COLUMN LCTRE_SN INTEGER NOT NULL;</v>
      </c>
      <c r="AF191" s="50" t="str">
        <f t="shared" si="38"/>
        <v>ALTER TABLE TB_LCTRE_REQST DROP COLUMN LCTRE_SN;</v>
      </c>
      <c r="AG191" s="50" t="str">
        <f t="shared" si="39"/>
        <v/>
      </c>
      <c r="AH191" s="50" t="str">
        <f t="shared" si="33"/>
        <v>COMMENT ON COLUMN TB_LCTRE_REQST.LCTRE_SN IS '수업 일련번호' ;</v>
      </c>
    </row>
    <row r="192" spans="1:34" ht="20.100000000000001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762</v>
      </c>
      <c r="H192" s="100" t="s">
        <v>763</v>
      </c>
      <c r="I192" s="75" t="s">
        <v>198</v>
      </c>
      <c r="J192" s="45"/>
      <c r="K192" s="45">
        <v>2</v>
      </c>
      <c r="L192" s="83" t="s">
        <v>9</v>
      </c>
      <c r="M192" s="100" t="s">
        <v>762</v>
      </c>
      <c r="N192" s="100" t="s">
        <v>574</v>
      </c>
      <c r="O192" s="100" t="s">
        <v>576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30"/>
        <v>TB_LCTRE_REQST</v>
      </c>
      <c r="Z192" s="50" t="str">
        <f t="shared" si="34"/>
        <v>USER_SN INTEGER NOT NULL,</v>
      </c>
      <c r="AA192" s="50" t="str">
        <f t="shared" si="31"/>
        <v>ALTER TABLE TB_LCTRE_REQST ADD CONSTRAINT TB_LCTRE_REQST_FKEY2 FOREIGN KEY(USER_SN) REFERENCES TB_USER(USER_SN) ON UPDATE CASCADE ON DELETE CASCADE;</v>
      </c>
      <c r="AB192" s="50" t="str">
        <f t="shared" si="32"/>
        <v/>
      </c>
      <c r="AC192" s="50" t="str">
        <f t="shared" si="35"/>
        <v/>
      </c>
      <c r="AD192" s="50" t="str">
        <f t="shared" si="36"/>
        <v>ALTER TABLE TB_LCTRE_REQST ALTER COLUMN USER_SN TYPE INTEGER;</v>
      </c>
      <c r="AE192" s="50" t="str">
        <f t="shared" si="37"/>
        <v>ALTER TABLE TB_LCTRE_REQST ADD COLUMN USER_SN INTEGER NOT NULL;</v>
      </c>
      <c r="AF192" s="50" t="str">
        <f t="shared" si="38"/>
        <v>ALTER TABLE TB_LCTRE_REQST DROP COLUMN USER_SN;</v>
      </c>
      <c r="AG192" s="50" t="str">
        <f t="shared" si="39"/>
        <v/>
      </c>
      <c r="AH192" s="50" t="str">
        <f t="shared" si="33"/>
        <v>COMMENT ON COLUMN TB_LCTRE_REQST.USER_SN IS '사용자 일련번호' ;</v>
      </c>
    </row>
    <row r="193" spans="1:34" ht="20.100000000000001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574</v>
      </c>
      <c r="O193" s="100" t="s">
        <v>576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30"/>
        <v>TB_LCTRE_REQST</v>
      </c>
      <c r="Z193" s="50" t="str">
        <f t="shared" si="34"/>
        <v>CHLDRN_SN INTEGER,</v>
      </c>
      <c r="AA193" s="50" t="str">
        <f t="shared" si="31"/>
        <v>ALTER TABLE TB_LCTRE_REQST ADD CONSTRAINT TB_LCTRE_REQST_FKEY3 FOREIGN KEY(CHLDRN_SN) REFERENCES TB_USER_CHLDRN(CHLDRN_SN) ON UPDATE CASCADE ON DELETE CASCADE;</v>
      </c>
      <c r="AB193" s="50" t="str">
        <f t="shared" si="32"/>
        <v/>
      </c>
      <c r="AC193" s="50" t="str">
        <f t="shared" si="35"/>
        <v/>
      </c>
      <c r="AD193" s="50" t="str">
        <f t="shared" si="36"/>
        <v>ALTER TABLE TB_LCTRE_REQST ALTER COLUMN CHLDRN_SN TYPE INTEGER;</v>
      </c>
      <c r="AE193" s="50" t="str">
        <f t="shared" si="37"/>
        <v>ALTER TABLE TB_LCTRE_REQST ADD COLUMN CHLDRN_SN INTEGER;</v>
      </c>
      <c r="AF193" s="50" t="str">
        <f t="shared" si="38"/>
        <v>ALTER TABLE TB_LCTRE_REQST DROP COLUMN CHLDRN_SN;</v>
      </c>
      <c r="AG193" s="50" t="str">
        <f t="shared" si="39"/>
        <v/>
      </c>
      <c r="AH193" s="50" t="str">
        <f t="shared" si="33"/>
        <v>COMMENT ON COLUMN TB_LCTRE_REQST.CHLDRN_SN IS '자녀 일련번호' ;</v>
      </c>
    </row>
    <row r="194" spans="1:34" ht="20.100000000000001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555</v>
      </c>
      <c r="Q194" s="126" t="s">
        <v>560</v>
      </c>
      <c r="R194" s="85"/>
      <c r="S194" s="112" t="s">
        <v>226</v>
      </c>
      <c r="T194" s="83"/>
      <c r="U194" s="83"/>
      <c r="V194" s="123" t="s">
        <v>529</v>
      </c>
      <c r="W194" s="45"/>
      <c r="X194" s="83"/>
      <c r="Y194" s="129" t="str">
        <f t="shared" si="30"/>
        <v>TB_LCTRE_REQST</v>
      </c>
      <c r="Z194" s="50" t="str">
        <f t="shared" si="34"/>
        <v>REGISTER_ID VARCHAR(50) NOT NULL,</v>
      </c>
      <c r="AA194" s="50" t="str">
        <f t="shared" si="31"/>
        <v/>
      </c>
      <c r="AB194" s="50" t="str">
        <f t="shared" si="32"/>
        <v/>
      </c>
      <c r="AC194" s="50" t="str">
        <f t="shared" si="35"/>
        <v/>
      </c>
      <c r="AD194" s="50" t="str">
        <f t="shared" si="36"/>
        <v>ALTER TABLE TB_LCTRE_REQST ALTER COLUMN REGISTER_ID TYPE VARCHAR(50);</v>
      </c>
      <c r="AE194" s="50" t="str">
        <f t="shared" si="37"/>
        <v>ALTER TABLE TB_LCTRE_REQST ADD COLUMN REGISTER_ID VARCHAR(50) NOT NULL;</v>
      </c>
      <c r="AF194" s="50" t="str">
        <f t="shared" si="38"/>
        <v>ALTER TABLE TB_LCTRE_REQST DROP COLUMN REGISTER_ID;</v>
      </c>
      <c r="AG194" s="50" t="str">
        <f t="shared" si="39"/>
        <v/>
      </c>
      <c r="AH194" s="50" t="str">
        <f t="shared" si="33"/>
        <v>COMMENT ON COLUMN TB_LCTRE_REQST.REGISTER_ID IS '등록자 ID' ;</v>
      </c>
    </row>
    <row r="195" spans="1:34" ht="20.100000000000001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561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30"/>
        <v>TB_LCTRE_REQST</v>
      </c>
      <c r="Z195" s="50" t="str">
        <f t="shared" si="34"/>
        <v>REGISTER_IP VARCHAR(100) NOT NULL,</v>
      </c>
      <c r="AA195" s="50" t="str">
        <f t="shared" si="31"/>
        <v/>
      </c>
      <c r="AB195" s="50" t="str">
        <f t="shared" si="32"/>
        <v/>
      </c>
      <c r="AC195" s="50" t="str">
        <f t="shared" si="35"/>
        <v/>
      </c>
      <c r="AD195" s="50" t="str">
        <f t="shared" si="36"/>
        <v>ALTER TABLE TB_LCTRE_REQST ALTER COLUMN REGISTER_IP TYPE VARCHAR(100);</v>
      </c>
      <c r="AE195" s="50" t="str">
        <f t="shared" si="37"/>
        <v>ALTER TABLE TB_LCTRE_REQST ADD COLUMN REGISTER_IP VARCHAR(100) NOT NULL;</v>
      </c>
      <c r="AF195" s="50" t="str">
        <f t="shared" si="38"/>
        <v>ALTER TABLE TB_LCTRE_REQST DROP COLUMN REGISTER_IP;</v>
      </c>
      <c r="AG195" s="50" t="str">
        <f t="shared" si="39"/>
        <v/>
      </c>
      <c r="AH195" s="50" t="str">
        <f t="shared" si="33"/>
        <v>COMMENT ON COLUMN TB_LCTRE_REQST.REGISTER_IP IS '등록자 IP' ;</v>
      </c>
    </row>
    <row r="196" spans="1:34" ht="20.100000000000001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749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30"/>
        <v>TB_LCTRE_REQST</v>
      </c>
      <c r="Z196" s="50" t="str">
        <f t="shared" si="34"/>
        <v>REG_DT TIMESTAMP NOT NULL,</v>
      </c>
      <c r="AA196" s="50" t="str">
        <f t="shared" si="31"/>
        <v/>
      </c>
      <c r="AB196" s="50" t="str">
        <f t="shared" si="32"/>
        <v/>
      </c>
      <c r="AC196" s="50" t="str">
        <f t="shared" si="35"/>
        <v/>
      </c>
      <c r="AD196" s="50" t="str">
        <f t="shared" si="36"/>
        <v>ALTER TABLE TB_LCTRE_REQST ALTER COLUMN REG_DT TYPE TIMESTAMP;</v>
      </c>
      <c r="AE196" s="50" t="str">
        <f t="shared" si="37"/>
        <v>ALTER TABLE TB_LCTRE_REQST ADD COLUMN REG_DT TIMESTAMP NOT NULL;</v>
      </c>
      <c r="AF196" s="50" t="str">
        <f t="shared" si="38"/>
        <v>ALTER TABLE TB_LCTRE_REQST DROP COLUMN REG_DT;</v>
      </c>
      <c r="AG196" s="50" t="str">
        <f t="shared" si="39"/>
        <v/>
      </c>
      <c r="AH196" s="50" t="str">
        <f t="shared" si="33"/>
        <v>COMMENT ON COLUMN TB_LCTRE_REQST.REG_DT IS '등록 일시' ;</v>
      </c>
    </row>
    <row r="197" spans="1:34" ht="20.100000000000001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555</v>
      </c>
      <c r="Q197" s="126" t="s">
        <v>560</v>
      </c>
      <c r="R197" s="85"/>
      <c r="S197" s="112" t="s">
        <v>223</v>
      </c>
      <c r="T197" s="83"/>
      <c r="U197" s="83"/>
      <c r="V197" s="123" t="s">
        <v>529</v>
      </c>
      <c r="W197" s="45"/>
      <c r="X197" s="83"/>
      <c r="Y197" s="129" t="str">
        <f t="shared" si="30"/>
        <v>TB_LCTRE_REQST</v>
      </c>
      <c r="Z197" s="50" t="str">
        <f t="shared" si="34"/>
        <v>UPDUSR_ID VARCHAR(50),</v>
      </c>
      <c r="AA197" s="50" t="str">
        <f t="shared" si="31"/>
        <v/>
      </c>
      <c r="AB197" s="50" t="str">
        <f t="shared" si="32"/>
        <v/>
      </c>
      <c r="AC197" s="50" t="str">
        <f t="shared" si="35"/>
        <v/>
      </c>
      <c r="AD197" s="50" t="str">
        <f t="shared" si="36"/>
        <v>ALTER TABLE TB_LCTRE_REQST ALTER COLUMN UPDUSR_ID TYPE VARCHAR(50);</v>
      </c>
      <c r="AE197" s="50" t="str">
        <f t="shared" si="37"/>
        <v>ALTER TABLE TB_LCTRE_REQST ADD COLUMN UPDUSR_ID VARCHAR(50);</v>
      </c>
      <c r="AF197" s="50" t="str">
        <f t="shared" si="38"/>
        <v>ALTER TABLE TB_LCTRE_REQST DROP COLUMN UPDUSR_ID;</v>
      </c>
      <c r="AG197" s="50" t="str">
        <f t="shared" si="39"/>
        <v/>
      </c>
      <c r="AH197" s="50" t="str">
        <f t="shared" si="33"/>
        <v>COMMENT ON COLUMN TB_LCTRE_REQST.UPDUSR_ID IS '수정자 ID' ;</v>
      </c>
    </row>
    <row r="198" spans="1:34" ht="20.100000000000001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561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30"/>
        <v>TB_LCTRE_REQST</v>
      </c>
      <c r="Z198" s="50" t="str">
        <f t="shared" si="34"/>
        <v>UPDUSR_IP VARCHAR(100),</v>
      </c>
      <c r="AA198" s="50" t="str">
        <f t="shared" si="31"/>
        <v/>
      </c>
      <c r="AB198" s="50" t="str">
        <f t="shared" si="32"/>
        <v/>
      </c>
      <c r="AC198" s="50" t="str">
        <f t="shared" ref="AC198:AC253" si="55">IF(ISBLANK(T198),"","ALTER TABLE "&amp;D198&amp;" ALTER COLUMN "&amp;G198&amp;" SET DEFAULT NEXTVAL('"&amp;T198&amp;"');")</f>
        <v/>
      </c>
      <c r="AD198" s="50" t="str">
        <f t="shared" ref="AD198:AD261" si="56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7">"ALTER TABLE "&amp;$D198&amp;" ADD COLUMN "&amp;$G198&amp;" "&amp;$P198&amp;IF(ISBLANK(Q198),"",$Q198)&amp;IF(ISBLANK($I198),""," NOT NULL")&amp;IF(ISBLANK($R198),""," DEFAULT "&amp;$R198)&amp;";"</f>
        <v>ALTER TABLE TB_LCTRE_REQST ADD COLUMN UPDUSR_IP VARCHAR(100);</v>
      </c>
      <c r="AF198" s="50" t="str">
        <f t="shared" ref="AF198:AF261" si="58">"ALTER TABLE "&amp;$D198&amp;" DROP COLUMN "&amp;$G198&amp;";"</f>
        <v>ALTER TABLE TB_LCTRE_REQST DROP COLUMN UPDUSR_IP;</v>
      </c>
      <c r="AG198" s="50" t="str">
        <f t="shared" ref="AG198:AG261" si="59">IF(ISBLANK($R198),"","ALTER TABLE " &amp; $D198 &amp; " ALTER COLUMN " &amp; G198 &amp; " SET DEFAULT " &amp; $R198 &amp; ";")</f>
        <v/>
      </c>
      <c r="AH198" s="50" t="str">
        <f t="shared" si="33"/>
        <v>COMMENT ON COLUMN TB_LCTRE_REQST.UPDUSR_IP IS '수정자 IP' ;</v>
      </c>
    </row>
    <row r="199" spans="1:34" ht="20.100000000000001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749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30"/>
        <v>TB_LCTRE_REQST</v>
      </c>
      <c r="Z199" s="50" t="str">
        <f t="shared" si="34"/>
        <v>UPDT_DT TIMESTAMP,</v>
      </c>
      <c r="AA199" s="50" t="str">
        <f t="shared" si="31"/>
        <v/>
      </c>
      <c r="AB199" s="50" t="str">
        <f t="shared" si="32"/>
        <v/>
      </c>
      <c r="AC199" s="50" t="str">
        <f t="shared" si="55"/>
        <v/>
      </c>
      <c r="AD199" s="50" t="str">
        <f t="shared" si="56"/>
        <v>ALTER TABLE TB_LCTRE_REQST ALTER COLUMN UPDT_DT TYPE TIMESTAMP;</v>
      </c>
      <c r="AE199" s="50" t="str">
        <f t="shared" si="57"/>
        <v>ALTER TABLE TB_LCTRE_REQST ADD COLUMN UPDT_DT TIMESTAMP;</v>
      </c>
      <c r="AF199" s="50" t="str">
        <f t="shared" si="58"/>
        <v>ALTER TABLE TB_LCTRE_REQST DROP COLUMN UPDT_DT;</v>
      </c>
      <c r="AG199" s="50" t="str">
        <f t="shared" si="59"/>
        <v/>
      </c>
      <c r="AH199" s="50" t="str">
        <f t="shared" si="33"/>
        <v>COMMENT ON COLUMN TB_LCTRE_REQST.UPDT_DT IS '수정 일시' ;</v>
      </c>
    </row>
    <row r="200" spans="1:34" ht="20.100000000000001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556</v>
      </c>
      <c r="R200" s="87" t="s">
        <v>604</v>
      </c>
      <c r="S200" s="112" t="s">
        <v>220</v>
      </c>
      <c r="T200" s="83"/>
      <c r="U200" s="83"/>
      <c r="V200" s="106"/>
      <c r="W200" s="45"/>
      <c r="X200" s="83"/>
      <c r="Y200" s="129" t="str">
        <f t="shared" si="30"/>
        <v>TB_LCTRE_REQST</v>
      </c>
      <c r="Z200" s="50" t="str">
        <f t="shared" si="34"/>
        <v>DEL_YN VARCHAR(1) NOT NULL,</v>
      </c>
      <c r="AA200" s="50" t="str">
        <f t="shared" si="31"/>
        <v/>
      </c>
      <c r="AB200" s="50" t="str">
        <f t="shared" si="32"/>
        <v/>
      </c>
      <c r="AC200" s="50" t="str">
        <f t="shared" si="55"/>
        <v/>
      </c>
      <c r="AD200" s="50" t="str">
        <f t="shared" si="56"/>
        <v>ALTER TABLE TB_LCTRE_REQST ALTER COLUMN DEL_YN TYPE VARCHAR(1);</v>
      </c>
      <c r="AE200" s="50" t="str">
        <f t="shared" si="57"/>
        <v>ALTER TABLE TB_LCTRE_REQST ADD COLUMN DEL_YN VARCHAR(1) NOT NULL DEFAULT 'N';</v>
      </c>
      <c r="AF200" s="50" t="str">
        <f t="shared" si="58"/>
        <v>ALTER TABLE TB_LCTRE_REQST DROP COLUMN DEL_YN;</v>
      </c>
      <c r="AG200" s="50" t="str">
        <f t="shared" si="59"/>
        <v>ALTER TABLE TB_LCTRE_REQST ALTER COLUMN DEL_YN SET DEFAULT 'N';</v>
      </c>
      <c r="AH200" s="50" t="str">
        <f t="shared" si="33"/>
        <v>COMMENT ON COLUMN TB_LCTRE_REQST.DEL_YN IS '삭제 여부' ;</v>
      </c>
    </row>
    <row r="201" spans="1:34" ht="20.100000000000001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294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300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30"/>
        <v>TB_BBS</v>
      </c>
      <c r="Z201" s="50" t="str">
        <f t="shared" si="34"/>
        <v>BBS_SN INTEGER PRIMARY KEY,</v>
      </c>
      <c r="AA201" s="50" t="str">
        <f t="shared" si="31"/>
        <v/>
      </c>
      <c r="AB201" s="50" t="str">
        <f t="shared" si="32"/>
        <v>CREATE SEQUENCE SEQ_TB_BBS_SN START 100000;</v>
      </c>
      <c r="AC201" s="50" t="str">
        <f t="shared" si="55"/>
        <v>ALTER TABLE TB_BBS ALTER COLUMN BBS_SN SET DEFAULT NEXTVAL('SEQ_TB_BBS_SN');</v>
      </c>
      <c r="AD201" s="50" t="str">
        <f t="shared" si="56"/>
        <v>ALTER TABLE TB_BBS ALTER COLUMN BBS_SN TYPE INTEGER;</v>
      </c>
      <c r="AE201" s="50" t="str">
        <f t="shared" si="57"/>
        <v>ALTER TABLE TB_BBS ADD COLUMN BBS_SN INTEGER NOT NULL;</v>
      </c>
      <c r="AF201" s="50" t="str">
        <f t="shared" si="58"/>
        <v>ALTER TABLE TB_BBS DROP COLUMN BBS_SN;</v>
      </c>
      <c r="AG201" s="50" t="str">
        <f t="shared" si="59"/>
        <v/>
      </c>
      <c r="AH201" s="50" t="str">
        <f t="shared" si="33"/>
        <v>COMMENT ON COLUMN TB_BBS.BBS_SN IS '게시판 일련번호' ;</v>
      </c>
    </row>
    <row r="202" spans="1:34" ht="20.100000000000001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295</v>
      </c>
      <c r="H202" s="101" t="s">
        <v>297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560</v>
      </c>
      <c r="R202" s="85"/>
      <c r="S202" s="112" t="s">
        <v>301</v>
      </c>
      <c r="T202" s="83"/>
      <c r="U202" s="83"/>
      <c r="V202" s="106" t="s">
        <v>580</v>
      </c>
      <c r="W202" s="83"/>
      <c r="X202" s="83"/>
      <c r="Y202" s="129" t="str">
        <f t="shared" ref="Y202:Y330" si="60">D202</f>
        <v>TB_BBS</v>
      </c>
      <c r="Z202" s="50" t="str">
        <f t="shared" si="34"/>
        <v>BBS_SE_CD VARCHAR(50) NOT NULL,</v>
      </c>
      <c r="AA202" s="50" t="str">
        <f t="shared" ref="AA202:AA330" si="61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62">IF(ISBLANK(T202),"","CREATE SEQUENCE "&amp;T202&amp;" START 100000;")</f>
        <v/>
      </c>
      <c r="AC202" s="50" t="str">
        <f t="shared" si="55"/>
        <v/>
      </c>
      <c r="AD202" s="50" t="str">
        <f t="shared" si="56"/>
        <v>ALTER TABLE TB_BBS ALTER COLUMN BBS_SE_CD TYPE VARCHAR(50);</v>
      </c>
      <c r="AE202" s="50" t="str">
        <f t="shared" si="57"/>
        <v>ALTER TABLE TB_BBS ADD COLUMN BBS_SE_CD VARCHAR(50) NOT NULL;</v>
      </c>
      <c r="AF202" s="50" t="str">
        <f t="shared" si="58"/>
        <v>ALTER TABLE TB_BBS DROP COLUMN BBS_SE_CD;</v>
      </c>
      <c r="AG202" s="50" t="str">
        <f t="shared" si="59"/>
        <v/>
      </c>
      <c r="AH202" s="50" t="str">
        <f t="shared" ref="AH202:AH330" si="63">"COMMENT ON COLUMN "&amp;D202&amp;"."&amp;G202&amp;" IS '"&amp;S202&amp;"' ;"</f>
        <v>COMMENT ON COLUMN TB_BBS.BBS_SE_CD IS '게시판 구분 코드' ;</v>
      </c>
    </row>
    <row r="203" spans="1:34" ht="20.100000000000001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606</v>
      </c>
      <c r="H203" s="101" t="s">
        <v>298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326</v>
      </c>
      <c r="Q203" s="126" t="s">
        <v>562</v>
      </c>
      <c r="R203" s="85"/>
      <c r="S203" s="112" t="s">
        <v>302</v>
      </c>
      <c r="T203" s="83"/>
      <c r="U203" s="83"/>
      <c r="V203" s="106"/>
      <c r="W203" s="45"/>
      <c r="X203" s="83"/>
      <c r="Y203" s="129" t="str">
        <f t="shared" si="60"/>
        <v>TB_BBS</v>
      </c>
      <c r="Z203" s="50" t="str">
        <f t="shared" ref="Z203:Z318" si="64">G203&amp;" "&amp;P203&amp;Q203&amp;IF(ISBLANK(J203),""," PRIMARY KEY")&amp;IF(AND(ISBLANK(J203),I203="Y")," NOT NULL","")&amp;","</f>
        <v>BBS_NM VARCHAR(255) NOT NULL,</v>
      </c>
      <c r="AA203" s="50" t="str">
        <f t="shared" si="61"/>
        <v/>
      </c>
      <c r="AB203" s="50" t="str">
        <f t="shared" si="62"/>
        <v/>
      </c>
      <c r="AC203" s="50" t="str">
        <f t="shared" si="55"/>
        <v/>
      </c>
      <c r="AD203" s="50" t="str">
        <f t="shared" si="56"/>
        <v>ALTER TABLE TB_BBS ALTER COLUMN BBS_NM TYPE VARCHAR(255);</v>
      </c>
      <c r="AE203" s="50" t="str">
        <f t="shared" si="57"/>
        <v>ALTER TABLE TB_BBS ADD COLUMN BBS_NM VARCHAR(255) NOT NULL;</v>
      </c>
      <c r="AF203" s="50" t="str">
        <f t="shared" si="58"/>
        <v>ALTER TABLE TB_BBS DROP COLUMN BBS_NM;</v>
      </c>
      <c r="AG203" s="50" t="str">
        <f t="shared" si="59"/>
        <v/>
      </c>
      <c r="AH203" s="50" t="str">
        <f t="shared" si="63"/>
        <v>COMMENT ON COLUMN TB_BBS.BBS_NM IS '게시판 이름' ;</v>
      </c>
    </row>
    <row r="204" spans="1:34" ht="20.100000000000001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336</v>
      </c>
      <c r="H204" s="101" t="s">
        <v>335</v>
      </c>
      <c r="I204" s="52"/>
      <c r="J204" s="52"/>
      <c r="K204" s="52"/>
      <c r="L204" s="52"/>
      <c r="M204" s="52"/>
      <c r="N204" s="52"/>
      <c r="O204" s="52"/>
      <c r="P204" s="56" t="s">
        <v>337</v>
      </c>
      <c r="Q204" s="125"/>
      <c r="R204" s="85"/>
      <c r="S204" s="112" t="s">
        <v>338</v>
      </c>
      <c r="T204" s="83"/>
      <c r="U204" s="83"/>
      <c r="V204" s="106"/>
      <c r="W204" s="45"/>
      <c r="X204" s="83"/>
      <c r="Y204" s="129" t="str">
        <f t="shared" si="60"/>
        <v>TB_BBS</v>
      </c>
      <c r="Z204" s="50" t="str">
        <f t="shared" si="64"/>
        <v>BBS_GDCC TEXT,</v>
      </c>
      <c r="AA204" s="50" t="str">
        <f t="shared" si="61"/>
        <v/>
      </c>
      <c r="AB204" s="50" t="str">
        <f t="shared" si="62"/>
        <v/>
      </c>
      <c r="AC204" s="50" t="str">
        <f t="shared" si="55"/>
        <v/>
      </c>
      <c r="AD204" s="50" t="str">
        <f t="shared" si="56"/>
        <v>ALTER TABLE TB_BBS ALTER COLUMN BBS_GDCC TYPE TEXT;</v>
      </c>
      <c r="AE204" s="50" t="str">
        <f t="shared" si="57"/>
        <v>ALTER TABLE TB_BBS ADD COLUMN BBS_GDCC TEXT;</v>
      </c>
      <c r="AF204" s="50" t="str">
        <f t="shared" si="58"/>
        <v>ALTER TABLE TB_BBS DROP COLUMN BBS_GDCC;</v>
      </c>
      <c r="AG204" s="50" t="str">
        <f t="shared" si="59"/>
        <v/>
      </c>
      <c r="AH204" s="50" t="str">
        <f t="shared" si="63"/>
        <v>COMMENT ON COLUMN TB_BBS.BBS_GDCC IS '게시판 안내 문구' ;</v>
      </c>
    </row>
    <row r="205" spans="1:34" ht="20.100000000000001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296</v>
      </c>
      <c r="H205" s="102" t="s">
        <v>299</v>
      </c>
      <c r="I205" s="61"/>
      <c r="J205" s="61"/>
      <c r="K205" s="61"/>
      <c r="L205" s="61"/>
      <c r="M205" s="61"/>
      <c r="N205" s="61"/>
      <c r="O205" s="61"/>
      <c r="P205" s="56" t="s">
        <v>326</v>
      </c>
      <c r="Q205" s="126" t="s">
        <v>564</v>
      </c>
      <c r="R205" s="82"/>
      <c r="S205" s="112" t="s">
        <v>303</v>
      </c>
      <c r="T205" s="83"/>
      <c r="U205" s="83"/>
      <c r="V205" s="106"/>
      <c r="W205" s="45"/>
      <c r="X205" s="83"/>
      <c r="Y205" s="129" t="str">
        <f t="shared" si="60"/>
        <v>TB_BBS</v>
      </c>
      <c r="Z205" s="50" t="str">
        <f t="shared" si="64"/>
        <v>BBS_DC VARCHAR(2000),</v>
      </c>
      <c r="AA205" s="50" t="str">
        <f t="shared" si="61"/>
        <v/>
      </c>
      <c r="AB205" s="50" t="str">
        <f t="shared" si="62"/>
        <v/>
      </c>
      <c r="AC205" s="50" t="str">
        <f t="shared" si="55"/>
        <v/>
      </c>
      <c r="AD205" s="50" t="str">
        <f t="shared" si="56"/>
        <v>ALTER TABLE TB_BBS ALTER COLUMN BBS_DC TYPE VARCHAR(2000);</v>
      </c>
      <c r="AE205" s="50" t="str">
        <f t="shared" si="57"/>
        <v>ALTER TABLE TB_BBS ADD COLUMN BBS_DC VARCHAR(2000);</v>
      </c>
      <c r="AF205" s="50" t="str">
        <f t="shared" si="58"/>
        <v>ALTER TABLE TB_BBS DROP COLUMN BBS_DC;</v>
      </c>
      <c r="AG205" s="50" t="str">
        <f t="shared" si="59"/>
        <v/>
      </c>
      <c r="AH205" s="50" t="str">
        <f t="shared" si="63"/>
        <v>COMMENT ON COLUMN TB_BBS.BBS_DC IS '게시판 설명' ;</v>
      </c>
    </row>
    <row r="206" spans="1:34" ht="20.100000000000001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611</v>
      </c>
      <c r="H206" s="102" t="s">
        <v>609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556</v>
      </c>
      <c r="R206" s="82"/>
      <c r="S206" s="112" t="s">
        <v>610</v>
      </c>
      <c r="T206" s="83"/>
      <c r="U206" s="83"/>
      <c r="V206" s="106"/>
      <c r="W206" s="45"/>
      <c r="X206" s="83"/>
      <c r="Y206" s="129" t="str">
        <f t="shared" ref="Y206:Y207" si="65">D206</f>
        <v>TB_BBS</v>
      </c>
      <c r="Z206" s="50" t="str">
        <f t="shared" ref="Z206:Z207" si="66">G206&amp;" "&amp;P206&amp;Q206&amp;IF(ISBLANK(J206),""," PRIMARY KEY")&amp;IF(AND(ISBLANK(J206),I206="Y")," NOT NULL","")&amp;","</f>
        <v>ANSWER_SET_YN VARCHAR(1),</v>
      </c>
      <c r="AA206" s="50" t="str">
        <f t="shared" ref="AA206:AA207" si="67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8">IF(ISBLANK(T206),"","CREATE SEQUENCE "&amp;T206&amp;" START 100000;")</f>
        <v/>
      </c>
      <c r="AC206" s="50" t="str">
        <f t="shared" si="55"/>
        <v/>
      </c>
      <c r="AD206" s="50" t="str">
        <f t="shared" si="56"/>
        <v>ALTER TABLE TB_BBS ALTER COLUMN ANSWER_SET_YN TYPE VARCHAR(1);</v>
      </c>
      <c r="AE206" s="50" t="str">
        <f t="shared" si="57"/>
        <v>ALTER TABLE TB_BBS ADD COLUMN ANSWER_SET_YN VARCHAR(1);</v>
      </c>
      <c r="AF206" s="50" t="str">
        <f t="shared" si="58"/>
        <v>ALTER TABLE TB_BBS DROP COLUMN ANSWER_SET_YN;</v>
      </c>
      <c r="AG206" s="50" t="str">
        <f t="shared" si="59"/>
        <v/>
      </c>
      <c r="AH206" s="50" t="str">
        <f t="shared" ref="AH206:AH207" si="69">"COMMENT ON COLUMN "&amp;D206&amp;"."&amp;G206&amp;" IS '"&amp;S206&amp;"' ;"</f>
        <v>COMMENT ON COLUMN TB_BBS.ANSWER_SET_YN IS '댓글 설정 여부' ;</v>
      </c>
    </row>
    <row r="207" spans="1:34" ht="20.100000000000001" customHeight="1">
      <c r="A207" s="55">
        <v>228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343</v>
      </c>
      <c r="H207" s="106" t="s">
        <v>344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556</v>
      </c>
      <c r="R207" s="45"/>
      <c r="S207" s="106" t="s">
        <v>359</v>
      </c>
      <c r="T207" s="83"/>
      <c r="U207" s="83"/>
      <c r="V207" s="106" t="s">
        <v>759</v>
      </c>
      <c r="W207" s="45"/>
      <c r="X207" s="83"/>
      <c r="Y207" s="129" t="str">
        <f t="shared" si="65"/>
        <v>TB_BBS</v>
      </c>
      <c r="Z207" s="50" t="str">
        <f t="shared" si="66"/>
        <v>OPEN_YN VARCHAR(1) NOT NULL,</v>
      </c>
      <c r="AA207" s="50" t="str">
        <f t="shared" si="67"/>
        <v/>
      </c>
      <c r="AB207" s="50" t="str">
        <f t="shared" si="68"/>
        <v/>
      </c>
      <c r="AC207" s="50" t="str">
        <f t="shared" ref="AC207" si="70">IF(ISBLANK(T207),"","ALTER TABLE "&amp;D207&amp;" ALTER COLUMN "&amp;G207&amp;" SET DEFAULT NEXTVAL('"&amp;T207&amp;"');")</f>
        <v/>
      </c>
      <c r="AD207" s="50" t="str">
        <f t="shared" si="56"/>
        <v>ALTER TABLE TB_BBS ALTER COLUMN OPEN_YN TYPE VARCHAR(1);</v>
      </c>
      <c r="AE207" s="50" t="str">
        <f t="shared" si="57"/>
        <v>ALTER TABLE TB_BBS ADD COLUMN OPEN_YN VARCHAR(1) NOT NULL;</v>
      </c>
      <c r="AF207" s="50" t="str">
        <f t="shared" si="58"/>
        <v>ALTER TABLE TB_BBS DROP COLUMN OPEN_YN;</v>
      </c>
      <c r="AG207" s="50" t="str">
        <f t="shared" si="59"/>
        <v/>
      </c>
      <c r="AH207" s="50" t="str">
        <f t="shared" si="69"/>
        <v>COMMENT ON COLUMN TB_BBS.OPEN_YN IS '공개 여부' ;</v>
      </c>
    </row>
    <row r="208" spans="1:34" ht="20.100000000000001" customHeight="1">
      <c r="A208" s="55">
        <v>203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427</v>
      </c>
      <c r="H208" s="51" t="s">
        <v>428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556</v>
      </c>
      <c r="R208" s="85"/>
      <c r="S208" s="112" t="s">
        <v>429</v>
      </c>
      <c r="T208" s="83"/>
      <c r="U208" s="83"/>
      <c r="V208" s="106"/>
      <c r="W208" s="45"/>
      <c r="X208" s="83"/>
      <c r="Y208" s="129" t="str">
        <f t="shared" si="60"/>
        <v>TB_BBS</v>
      </c>
      <c r="Z208" s="50" t="str">
        <f t="shared" si="64"/>
        <v>USE_YN VARCHAR(1) NOT NULL,</v>
      </c>
      <c r="AA208" s="50" t="str">
        <f t="shared" si="61"/>
        <v/>
      </c>
      <c r="AB208" s="50" t="str">
        <f t="shared" si="62"/>
        <v/>
      </c>
      <c r="AC208" s="50" t="str">
        <f t="shared" si="55"/>
        <v/>
      </c>
      <c r="AD208" s="50" t="str">
        <f t="shared" si="56"/>
        <v>ALTER TABLE TB_BBS ALTER COLUMN USE_YN TYPE VARCHAR(1);</v>
      </c>
      <c r="AE208" s="50" t="str">
        <f t="shared" si="57"/>
        <v>ALTER TABLE TB_BBS ADD COLUMN USE_YN VARCHAR(1) NOT NULL;</v>
      </c>
      <c r="AF208" s="50" t="str">
        <f t="shared" si="58"/>
        <v>ALTER TABLE TB_BBS DROP COLUMN USE_YN;</v>
      </c>
      <c r="AG208" s="50" t="str">
        <f t="shared" si="59"/>
        <v/>
      </c>
      <c r="AH208" s="50" t="str">
        <f t="shared" si="63"/>
        <v>COMMENT ON COLUMN TB_BBS.USE_YN IS '사용 여부' ;</v>
      </c>
    </row>
    <row r="209" spans="1:34" ht="20.100000000000001" customHeight="1">
      <c r="A209" s="55">
        <v>204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555</v>
      </c>
      <c r="Q209" s="126" t="s">
        <v>560</v>
      </c>
      <c r="R209" s="85"/>
      <c r="S209" s="112" t="s">
        <v>226</v>
      </c>
      <c r="T209" s="83"/>
      <c r="U209" s="83"/>
      <c r="V209" s="123" t="s">
        <v>529</v>
      </c>
      <c r="W209" s="45"/>
      <c r="X209" s="83"/>
      <c r="Y209" s="129" t="str">
        <f t="shared" si="60"/>
        <v>TB_BBS</v>
      </c>
      <c r="Z209" s="50" t="str">
        <f t="shared" si="64"/>
        <v>REGISTER_ID VARCHAR(50) NOT NULL,</v>
      </c>
      <c r="AA209" s="50" t="str">
        <f t="shared" si="61"/>
        <v/>
      </c>
      <c r="AB209" s="50" t="str">
        <f t="shared" si="62"/>
        <v/>
      </c>
      <c r="AC209" s="50" t="str">
        <f t="shared" si="55"/>
        <v/>
      </c>
      <c r="AD209" s="50" t="str">
        <f t="shared" si="56"/>
        <v>ALTER TABLE TB_BBS ALTER COLUMN REGISTER_ID TYPE VARCHAR(50);</v>
      </c>
      <c r="AE209" s="50" t="str">
        <f t="shared" si="57"/>
        <v>ALTER TABLE TB_BBS ADD COLUMN REGISTER_ID VARCHAR(50) NOT NULL;</v>
      </c>
      <c r="AF209" s="50" t="str">
        <f t="shared" si="58"/>
        <v>ALTER TABLE TB_BBS DROP COLUMN REGISTER_ID;</v>
      </c>
      <c r="AG209" s="50" t="str">
        <f t="shared" si="59"/>
        <v/>
      </c>
      <c r="AH209" s="50" t="str">
        <f t="shared" si="63"/>
        <v>COMMENT ON COLUMN TB_BBS.REGISTER_ID IS '등록자 ID' ;</v>
      </c>
    </row>
    <row r="210" spans="1:34" ht="20.100000000000001" customHeight="1">
      <c r="A210" s="55">
        <v>205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561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60"/>
        <v>TB_BBS</v>
      </c>
      <c r="Z210" s="50" t="str">
        <f t="shared" si="64"/>
        <v>REGISTER_IP VARCHAR(100) NOT NULL,</v>
      </c>
      <c r="AA210" s="50" t="str">
        <f t="shared" si="61"/>
        <v/>
      </c>
      <c r="AB210" s="50" t="str">
        <f t="shared" si="62"/>
        <v/>
      </c>
      <c r="AC210" s="50" t="str">
        <f t="shared" si="55"/>
        <v/>
      </c>
      <c r="AD210" s="50" t="str">
        <f t="shared" si="56"/>
        <v>ALTER TABLE TB_BBS ALTER COLUMN REGISTER_IP TYPE VARCHAR(100);</v>
      </c>
      <c r="AE210" s="50" t="str">
        <f t="shared" si="57"/>
        <v>ALTER TABLE TB_BBS ADD COLUMN REGISTER_IP VARCHAR(100) NOT NULL;</v>
      </c>
      <c r="AF210" s="50" t="str">
        <f t="shared" si="58"/>
        <v>ALTER TABLE TB_BBS DROP COLUMN REGISTER_IP;</v>
      </c>
      <c r="AG210" s="50" t="str">
        <f t="shared" si="59"/>
        <v/>
      </c>
      <c r="AH210" s="50" t="str">
        <f t="shared" si="63"/>
        <v>COMMENT ON COLUMN TB_BBS.REGISTER_IP IS '등록자 IP' ;</v>
      </c>
    </row>
    <row r="211" spans="1:34" ht="20.100000000000001" customHeight="1">
      <c r="A211" s="55">
        <v>206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749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60"/>
        <v>TB_BBS</v>
      </c>
      <c r="Z211" s="50" t="str">
        <f t="shared" si="64"/>
        <v>REG_DT TIMESTAMP NOT NULL,</v>
      </c>
      <c r="AA211" s="50" t="str">
        <f t="shared" si="61"/>
        <v/>
      </c>
      <c r="AB211" s="50" t="str">
        <f t="shared" si="62"/>
        <v/>
      </c>
      <c r="AC211" s="50" t="str">
        <f t="shared" si="55"/>
        <v/>
      </c>
      <c r="AD211" s="50" t="str">
        <f t="shared" si="56"/>
        <v>ALTER TABLE TB_BBS ALTER COLUMN REG_DT TYPE TIMESTAMP;</v>
      </c>
      <c r="AE211" s="50" t="str">
        <f t="shared" si="57"/>
        <v>ALTER TABLE TB_BBS ADD COLUMN REG_DT TIMESTAMP NOT NULL;</v>
      </c>
      <c r="AF211" s="50" t="str">
        <f t="shared" si="58"/>
        <v>ALTER TABLE TB_BBS DROP COLUMN REG_DT;</v>
      </c>
      <c r="AG211" s="50" t="str">
        <f t="shared" si="59"/>
        <v/>
      </c>
      <c r="AH211" s="50" t="str">
        <f t="shared" si="63"/>
        <v>COMMENT ON COLUMN TB_BBS.REG_DT IS '등록 일시' ;</v>
      </c>
    </row>
    <row r="212" spans="1:34" ht="20.100000000000001" customHeight="1">
      <c r="A212" s="55">
        <v>207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555</v>
      </c>
      <c r="Q212" s="126" t="s">
        <v>560</v>
      </c>
      <c r="R212" s="85"/>
      <c r="S212" s="112" t="s">
        <v>223</v>
      </c>
      <c r="T212" s="83"/>
      <c r="U212" s="83"/>
      <c r="V212" s="123" t="s">
        <v>529</v>
      </c>
      <c r="W212" s="45"/>
      <c r="X212" s="83"/>
      <c r="Y212" s="129" t="str">
        <f t="shared" si="60"/>
        <v>TB_BBS</v>
      </c>
      <c r="Z212" s="50" t="str">
        <f t="shared" si="64"/>
        <v>UPDUSR_ID VARCHAR(50),</v>
      </c>
      <c r="AA212" s="50" t="str">
        <f t="shared" si="61"/>
        <v/>
      </c>
      <c r="AB212" s="50" t="str">
        <f t="shared" si="62"/>
        <v/>
      </c>
      <c r="AC212" s="50" t="str">
        <f t="shared" si="55"/>
        <v/>
      </c>
      <c r="AD212" s="50" t="str">
        <f t="shared" si="56"/>
        <v>ALTER TABLE TB_BBS ALTER COLUMN UPDUSR_ID TYPE VARCHAR(50);</v>
      </c>
      <c r="AE212" s="50" t="str">
        <f t="shared" si="57"/>
        <v>ALTER TABLE TB_BBS ADD COLUMN UPDUSR_ID VARCHAR(50);</v>
      </c>
      <c r="AF212" s="50" t="str">
        <f t="shared" si="58"/>
        <v>ALTER TABLE TB_BBS DROP COLUMN UPDUSR_ID;</v>
      </c>
      <c r="AG212" s="50" t="str">
        <f t="shared" si="59"/>
        <v/>
      </c>
      <c r="AH212" s="50" t="str">
        <f t="shared" si="63"/>
        <v>COMMENT ON COLUMN TB_BBS.UPDUSR_ID IS '수정자 ID' ;</v>
      </c>
    </row>
    <row r="213" spans="1:34" ht="20.100000000000001" customHeight="1">
      <c r="A213" s="55">
        <v>208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561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60"/>
        <v>TB_BBS</v>
      </c>
      <c r="Z213" s="50" t="str">
        <f t="shared" si="64"/>
        <v>UPDUSR_IP VARCHAR(100),</v>
      </c>
      <c r="AA213" s="50" t="str">
        <f t="shared" si="61"/>
        <v/>
      </c>
      <c r="AB213" s="50" t="str">
        <f t="shared" si="62"/>
        <v/>
      </c>
      <c r="AC213" s="50" t="str">
        <f t="shared" si="55"/>
        <v/>
      </c>
      <c r="AD213" s="50" t="str">
        <f t="shared" si="56"/>
        <v>ALTER TABLE TB_BBS ALTER COLUMN UPDUSR_IP TYPE VARCHAR(100);</v>
      </c>
      <c r="AE213" s="50" t="str">
        <f t="shared" si="57"/>
        <v>ALTER TABLE TB_BBS ADD COLUMN UPDUSR_IP VARCHAR(100);</v>
      </c>
      <c r="AF213" s="50" t="str">
        <f t="shared" si="58"/>
        <v>ALTER TABLE TB_BBS DROP COLUMN UPDUSR_IP;</v>
      </c>
      <c r="AG213" s="50" t="str">
        <f t="shared" si="59"/>
        <v/>
      </c>
      <c r="AH213" s="50" t="str">
        <f t="shared" si="63"/>
        <v>COMMENT ON COLUMN TB_BBS.UPDUSR_IP IS '수정자 IP' ;</v>
      </c>
    </row>
    <row r="214" spans="1:34" ht="20.100000000000001" customHeight="1">
      <c r="A214" s="55">
        <v>209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749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60"/>
        <v>TB_BBS</v>
      </c>
      <c r="Z214" s="50" t="str">
        <f t="shared" si="64"/>
        <v>UPDT_DT TIMESTAMP,</v>
      </c>
      <c r="AA214" s="50" t="str">
        <f t="shared" si="61"/>
        <v/>
      </c>
      <c r="AB214" s="50" t="str">
        <f t="shared" si="62"/>
        <v/>
      </c>
      <c r="AC214" s="50" t="str">
        <f t="shared" si="55"/>
        <v/>
      </c>
      <c r="AD214" s="50" t="str">
        <f t="shared" si="56"/>
        <v>ALTER TABLE TB_BBS ALTER COLUMN UPDT_DT TYPE TIMESTAMP;</v>
      </c>
      <c r="AE214" s="50" t="str">
        <f t="shared" si="57"/>
        <v>ALTER TABLE TB_BBS ADD COLUMN UPDT_DT TIMESTAMP;</v>
      </c>
      <c r="AF214" s="50" t="str">
        <f t="shared" si="58"/>
        <v>ALTER TABLE TB_BBS DROP COLUMN UPDT_DT;</v>
      </c>
      <c r="AG214" s="50" t="str">
        <f t="shared" si="59"/>
        <v/>
      </c>
      <c r="AH214" s="50" t="str">
        <f t="shared" si="63"/>
        <v>COMMENT ON COLUMN TB_BBS.UPDT_DT IS '수정 일시' ;</v>
      </c>
    </row>
    <row r="215" spans="1:34" ht="20.100000000000001" customHeight="1">
      <c r="A215" s="55">
        <v>210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556</v>
      </c>
      <c r="R215" s="87" t="s">
        <v>604</v>
      </c>
      <c r="S215" s="112" t="s">
        <v>220</v>
      </c>
      <c r="T215" s="83"/>
      <c r="U215" s="83"/>
      <c r="V215" s="106"/>
      <c r="W215" s="45"/>
      <c r="X215" s="83"/>
      <c r="Y215" s="129" t="str">
        <f t="shared" si="60"/>
        <v>TB_BBS</v>
      </c>
      <c r="Z215" s="50" t="str">
        <f t="shared" si="64"/>
        <v>DEL_YN VARCHAR(1) NOT NULL,</v>
      </c>
      <c r="AA215" s="50" t="str">
        <f t="shared" si="61"/>
        <v/>
      </c>
      <c r="AB215" s="50" t="str">
        <f t="shared" si="62"/>
        <v/>
      </c>
      <c r="AC215" s="50" t="str">
        <f t="shared" si="55"/>
        <v/>
      </c>
      <c r="AD215" s="50" t="str">
        <f t="shared" si="56"/>
        <v>ALTER TABLE TB_BBS ALTER COLUMN DEL_YN TYPE VARCHAR(1);</v>
      </c>
      <c r="AE215" s="50" t="str">
        <f t="shared" si="57"/>
        <v>ALTER TABLE TB_BBS ADD COLUMN DEL_YN VARCHAR(1) NOT NULL DEFAULT 'N';</v>
      </c>
      <c r="AF215" s="50" t="str">
        <f t="shared" si="58"/>
        <v>ALTER TABLE TB_BBS DROP COLUMN DEL_YN;</v>
      </c>
      <c r="AG215" s="50" t="str">
        <f t="shared" si="59"/>
        <v>ALTER TABLE TB_BBS ALTER COLUMN DEL_YN SET DEFAULT 'N';</v>
      </c>
      <c r="AH215" s="50" t="str">
        <f t="shared" si="63"/>
        <v>COMMENT ON COLUMN TB_BBS.DEL_YN IS '삭제 여부' ;</v>
      </c>
    </row>
    <row r="216" spans="1:34" ht="20.100000000000001" customHeight="1">
      <c r="A216" s="55">
        <v>221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309</v>
      </c>
      <c r="H216" s="101" t="s">
        <v>304</v>
      </c>
      <c r="I216" s="52" t="s">
        <v>565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348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60"/>
        <v>TB_NTT</v>
      </c>
      <c r="Z216" s="50" t="str">
        <f t="shared" si="64"/>
        <v>NTT_SN INTEGER PRIMARY KEY,</v>
      </c>
      <c r="AA216" s="50" t="str">
        <f t="shared" si="61"/>
        <v/>
      </c>
      <c r="AB216" s="50" t="str">
        <f t="shared" si="62"/>
        <v>CREATE SEQUENCE SEQ_TB_NTT_SN START 100000;</v>
      </c>
      <c r="AC216" s="50" t="str">
        <f t="shared" si="55"/>
        <v>ALTER TABLE TB_NTT ALTER COLUMN NTT_SN SET DEFAULT NEXTVAL('SEQ_TB_NTT_SN');</v>
      </c>
      <c r="AD216" s="50" t="str">
        <f t="shared" si="56"/>
        <v>ALTER TABLE TB_NTT ALTER COLUMN NTT_SN TYPE INTEGER;</v>
      </c>
      <c r="AE216" s="50" t="str">
        <f t="shared" si="57"/>
        <v>ALTER TABLE TB_NTT ADD COLUMN NTT_SN INTEGER NOT NULL;</v>
      </c>
      <c r="AF216" s="50" t="str">
        <f t="shared" si="58"/>
        <v>ALTER TABLE TB_NTT DROP COLUMN NTT_SN;</v>
      </c>
      <c r="AG216" s="50" t="str">
        <f t="shared" si="59"/>
        <v/>
      </c>
      <c r="AH216" s="50" t="str">
        <f t="shared" si="63"/>
        <v>COMMENT ON COLUMN TB_NTT.NTT_SN IS '게시물 일련번호' ;</v>
      </c>
    </row>
    <row r="217" spans="1:34" ht="20.100000000000001" customHeight="1">
      <c r="A217" s="55">
        <v>222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294</v>
      </c>
      <c r="H217" s="101" t="s">
        <v>289</v>
      </c>
      <c r="I217" s="52" t="s">
        <v>565</v>
      </c>
      <c r="J217" s="52"/>
      <c r="K217" s="52">
        <v>1</v>
      </c>
      <c r="L217" s="10" t="s">
        <v>32</v>
      </c>
      <c r="M217" s="106" t="s">
        <v>294</v>
      </c>
      <c r="N217" s="100" t="s">
        <v>574</v>
      </c>
      <c r="O217" s="100" t="s">
        <v>576</v>
      </c>
      <c r="P217" s="56" t="s">
        <v>236</v>
      </c>
      <c r="Q217" s="125"/>
      <c r="R217" s="85"/>
      <c r="S217" s="112" t="s">
        <v>349</v>
      </c>
      <c r="T217" s="83"/>
      <c r="U217" s="83"/>
      <c r="V217" s="106"/>
      <c r="W217" s="45"/>
      <c r="X217" s="83"/>
      <c r="Y217" s="129" t="str">
        <f t="shared" si="60"/>
        <v>TB_NTT</v>
      </c>
      <c r="Z217" s="50" t="str">
        <f t="shared" si="64"/>
        <v>BBS_SN INTEGER NOT NULL,</v>
      </c>
      <c r="AA217" s="50" t="str">
        <f t="shared" si="61"/>
        <v>ALTER TABLE TB_NTT ADD CONSTRAINT TB_NTT_FKEY1 FOREIGN KEY(BBS_SN) REFERENCES TB_BBS(BBS_SN) ON UPDATE CASCADE ON DELETE CASCADE;</v>
      </c>
      <c r="AB217" s="50" t="str">
        <f t="shared" si="62"/>
        <v/>
      </c>
      <c r="AC217" s="50" t="str">
        <f t="shared" si="55"/>
        <v/>
      </c>
      <c r="AD217" s="50" t="str">
        <f t="shared" si="56"/>
        <v>ALTER TABLE TB_NTT ALTER COLUMN BBS_SN TYPE INTEGER;</v>
      </c>
      <c r="AE217" s="50" t="str">
        <f t="shared" si="57"/>
        <v>ALTER TABLE TB_NTT ADD COLUMN BBS_SN INTEGER NOT NULL;</v>
      </c>
      <c r="AF217" s="50" t="str">
        <f t="shared" si="58"/>
        <v>ALTER TABLE TB_NTT DROP COLUMN BBS_SN;</v>
      </c>
      <c r="AG217" s="50" t="str">
        <f t="shared" si="59"/>
        <v/>
      </c>
      <c r="AH217" s="50" t="str">
        <f t="shared" si="63"/>
        <v>COMMENT ON COLUMN TB_NTT.BBS_SN IS '게시판 일련번호' ;</v>
      </c>
    </row>
    <row r="218" spans="1:34" ht="20.100000000000001" customHeight="1">
      <c r="A218" s="55">
        <v>223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310</v>
      </c>
      <c r="H218" s="102" t="s">
        <v>305</v>
      </c>
      <c r="I218" s="52" t="s">
        <v>565</v>
      </c>
      <c r="J218" s="61"/>
      <c r="K218" s="61"/>
      <c r="L218" s="69"/>
      <c r="M218" s="69"/>
      <c r="N218" s="69"/>
      <c r="O218" s="69"/>
      <c r="P218" s="105" t="s">
        <v>178</v>
      </c>
      <c r="Q218" s="47" t="s">
        <v>200</v>
      </c>
      <c r="R218" s="82"/>
      <c r="S218" s="112" t="s">
        <v>350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60"/>
        <v>TB_NTT</v>
      </c>
      <c r="Z218" s="50" t="str">
        <f t="shared" si="64"/>
        <v>NTT_SEQ NUMERIC(10,3) NOT NULL,</v>
      </c>
      <c r="AA218" s="50" t="str">
        <f t="shared" si="61"/>
        <v/>
      </c>
      <c r="AB218" s="50" t="str">
        <f t="shared" si="62"/>
        <v>CREATE SEQUENCE SEQ_TB_NTT_SEQ START 100000;</v>
      </c>
      <c r="AC218" s="50" t="str">
        <f t="shared" si="55"/>
        <v>ALTER TABLE TB_NTT ALTER COLUMN NTT_SEQ SET DEFAULT NEXTVAL('SEQ_TB_NTT_SEQ');</v>
      </c>
      <c r="AD218" s="50" t="str">
        <f t="shared" si="56"/>
        <v>ALTER TABLE TB_NTT ALTER COLUMN NTT_SEQ TYPE NUMERIC(10,3);</v>
      </c>
      <c r="AE218" s="50" t="str">
        <f t="shared" si="57"/>
        <v>ALTER TABLE TB_NTT ADD COLUMN NTT_SEQ NUMERIC(10,3) NOT NULL;</v>
      </c>
      <c r="AF218" s="50" t="str">
        <f t="shared" si="58"/>
        <v>ALTER TABLE TB_NTT DROP COLUMN NTT_SEQ;</v>
      </c>
      <c r="AG218" s="50" t="str">
        <f t="shared" si="59"/>
        <v/>
      </c>
      <c r="AH218" s="50" t="str">
        <f t="shared" si="63"/>
        <v>COMMENT ON COLUMN TB_NTT.NTT_SEQ IS '게시물 순번' ;</v>
      </c>
    </row>
    <row r="219" spans="1:34" ht="20.100000000000001" customHeight="1">
      <c r="A219" s="55">
        <v>224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311</v>
      </c>
      <c r="H219" s="102" t="s">
        <v>306</v>
      </c>
      <c r="I219" s="75"/>
      <c r="J219" s="61"/>
      <c r="K219" s="61"/>
      <c r="L219" s="61"/>
      <c r="M219" s="61"/>
      <c r="N219" s="61"/>
      <c r="O219" s="61"/>
      <c r="P219" s="62" t="s">
        <v>326</v>
      </c>
      <c r="Q219" s="126" t="s">
        <v>562</v>
      </c>
      <c r="R219" s="86"/>
      <c r="S219" s="112" t="s">
        <v>351</v>
      </c>
      <c r="T219" s="83"/>
      <c r="U219" s="83"/>
      <c r="V219" s="106"/>
      <c r="W219" s="45"/>
      <c r="X219" s="83"/>
      <c r="Y219" s="129" t="str">
        <f t="shared" si="60"/>
        <v>TB_NTT</v>
      </c>
      <c r="Z219" s="50" t="str">
        <f t="shared" si="64"/>
        <v>NTT_NM VARCHAR(255),</v>
      </c>
      <c r="AA219" s="50" t="str">
        <f t="shared" si="61"/>
        <v/>
      </c>
      <c r="AB219" s="50" t="str">
        <f t="shared" si="62"/>
        <v/>
      </c>
      <c r="AC219" s="50" t="str">
        <f t="shared" si="55"/>
        <v/>
      </c>
      <c r="AD219" s="50" t="str">
        <f t="shared" si="56"/>
        <v>ALTER TABLE TB_NTT ALTER COLUMN NTT_NM TYPE VARCHAR(255);</v>
      </c>
      <c r="AE219" s="50" t="str">
        <f t="shared" si="57"/>
        <v>ALTER TABLE TB_NTT ADD COLUMN NTT_NM VARCHAR(255);</v>
      </c>
      <c r="AF219" s="50" t="str">
        <f t="shared" si="58"/>
        <v>ALTER TABLE TB_NTT DROP COLUMN NTT_NM;</v>
      </c>
      <c r="AG219" s="50" t="str">
        <f t="shared" si="59"/>
        <v/>
      </c>
      <c r="AH219" s="50" t="str">
        <f t="shared" si="63"/>
        <v>COMMENT ON COLUMN TB_NTT.NTT_NM IS '게시물 이름' ;</v>
      </c>
    </row>
    <row r="220" spans="1:34" ht="20.100000000000001" customHeight="1">
      <c r="A220" s="55">
        <v>73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384</v>
      </c>
      <c r="H220" s="106" t="s">
        <v>386</v>
      </c>
      <c r="I220" s="69"/>
      <c r="J220" s="61"/>
      <c r="K220" s="61">
        <v>2</v>
      </c>
      <c r="L220" s="10" t="s">
        <v>382</v>
      </c>
      <c r="M220" s="101" t="s">
        <v>383</v>
      </c>
      <c r="N220" s="101" t="s">
        <v>574</v>
      </c>
      <c r="O220" s="101" t="s">
        <v>575</v>
      </c>
      <c r="P220" s="51" t="s">
        <v>236</v>
      </c>
      <c r="Q220" s="124"/>
      <c r="R220" s="45"/>
      <c r="S220" s="106" t="s">
        <v>388</v>
      </c>
      <c r="T220" s="132"/>
      <c r="U220" s="130"/>
      <c r="V220" s="109"/>
      <c r="W220" s="90"/>
      <c r="X220" s="130"/>
      <c r="Y220" s="129" t="str">
        <f t="shared" si="60"/>
        <v>TB_NTT</v>
      </c>
      <c r="Z220" s="50" t="str">
        <f t="shared" si="64"/>
        <v>THUMB_ATCH_FILE_SN INTEGER,</v>
      </c>
      <c r="AA220" s="50" t="str">
        <f t="shared" si="61"/>
        <v>ALTER TABLE TB_NTT ADD CONSTRAINT TB_NTT_FKEY2 FOREIGN KEY(THUMB_ATCH_FILE_SN) REFERENCES TB_ATCH_FILE(ATCH_FILE_SN) ON UPDATE CASCADE ON DELETE SET NULL;</v>
      </c>
      <c r="AB220" s="50" t="str">
        <f t="shared" si="62"/>
        <v/>
      </c>
      <c r="AC220" s="50" t="str">
        <f t="shared" si="55"/>
        <v/>
      </c>
      <c r="AD220" s="50" t="str">
        <f t="shared" si="56"/>
        <v>ALTER TABLE TB_NTT ALTER COLUMN THUMB_ATCH_FILE_SN TYPE INTEGER;</v>
      </c>
      <c r="AE220" s="50" t="str">
        <f t="shared" si="57"/>
        <v>ALTER TABLE TB_NTT ADD COLUMN THUMB_ATCH_FILE_SN INTEGER;</v>
      </c>
      <c r="AF220" s="50" t="str">
        <f t="shared" si="58"/>
        <v>ALTER TABLE TB_NTT DROP COLUMN THUMB_ATCH_FILE_SN;</v>
      </c>
      <c r="AG220" s="50" t="str">
        <f t="shared" si="59"/>
        <v/>
      </c>
      <c r="AH220" s="50" t="str">
        <f t="shared" si="63"/>
        <v>COMMENT ON COLUMN TB_NTT.THUMB_ATCH_FILE_SN IS '썸네일 첨부 파일 일련번호' ;</v>
      </c>
    </row>
    <row r="221" spans="1:34" ht="20.100000000000001" customHeight="1">
      <c r="A221" s="55">
        <v>225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312</v>
      </c>
      <c r="H221" s="106" t="s">
        <v>307</v>
      </c>
      <c r="I221" s="45"/>
      <c r="J221" s="45"/>
      <c r="K221" s="45"/>
      <c r="L221" s="45"/>
      <c r="M221" s="45"/>
      <c r="N221" s="45"/>
      <c r="O221" s="45"/>
      <c r="P221" s="106" t="s">
        <v>337</v>
      </c>
      <c r="Q221" s="97"/>
      <c r="R221" s="45"/>
      <c r="S221" s="106" t="s">
        <v>352</v>
      </c>
      <c r="T221" s="83"/>
      <c r="U221" s="83"/>
      <c r="V221" s="106"/>
      <c r="W221" s="45"/>
      <c r="X221" s="83"/>
      <c r="Y221" s="129" t="str">
        <f t="shared" si="60"/>
        <v>TB_NTT</v>
      </c>
      <c r="Z221" s="50" t="str">
        <f t="shared" si="64"/>
        <v>NTT_CN TEXT,</v>
      </c>
      <c r="AA221" s="50" t="str">
        <f t="shared" si="61"/>
        <v/>
      </c>
      <c r="AB221" s="50" t="str">
        <f t="shared" si="62"/>
        <v/>
      </c>
      <c r="AC221" s="50" t="str">
        <f t="shared" si="55"/>
        <v/>
      </c>
      <c r="AD221" s="50" t="str">
        <f t="shared" si="56"/>
        <v>ALTER TABLE TB_NTT ALTER COLUMN NTT_CN TYPE TEXT;</v>
      </c>
      <c r="AE221" s="50" t="str">
        <f t="shared" si="57"/>
        <v>ALTER TABLE TB_NTT ADD COLUMN NTT_CN TEXT;</v>
      </c>
      <c r="AF221" s="50" t="str">
        <f t="shared" si="58"/>
        <v>ALTER TABLE TB_NTT DROP COLUMN NTT_CN;</v>
      </c>
      <c r="AG221" s="50" t="str">
        <f t="shared" si="59"/>
        <v/>
      </c>
      <c r="AH221" s="50" t="str">
        <f t="shared" si="63"/>
        <v>COMMENT ON COLUMN TB_NTT.NTT_CN IS '게시물 내용' ;</v>
      </c>
    </row>
    <row r="222" spans="1:34" ht="20.100000000000001" customHeight="1">
      <c r="A222" s="55">
        <v>226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383</v>
      </c>
      <c r="H222" s="105" t="s">
        <v>385</v>
      </c>
      <c r="I222" s="45"/>
      <c r="J222" s="45"/>
      <c r="K222" s="45">
        <v>3</v>
      </c>
      <c r="L222" s="10" t="s">
        <v>382</v>
      </c>
      <c r="M222" s="101" t="s">
        <v>383</v>
      </c>
      <c r="N222" s="101" t="s">
        <v>574</v>
      </c>
      <c r="O222" s="101" t="s">
        <v>575</v>
      </c>
      <c r="P222" s="51" t="s">
        <v>236</v>
      </c>
      <c r="Q222" s="124"/>
      <c r="R222" s="45"/>
      <c r="S222" s="106" t="s">
        <v>387</v>
      </c>
      <c r="T222" s="83"/>
      <c r="U222" s="83"/>
      <c r="V222" s="106"/>
      <c r="W222" s="45"/>
      <c r="X222" s="83"/>
      <c r="Y222" s="129" t="str">
        <f t="shared" si="60"/>
        <v>TB_NTT</v>
      </c>
      <c r="Z222" s="50" t="str">
        <f t="shared" si="64"/>
        <v>ATCH_FILE_SN INTEGER,</v>
      </c>
      <c r="AA222" s="50" t="str">
        <f t="shared" si="61"/>
        <v>ALTER TABLE TB_NTT ADD CONSTRAINT TB_NTT_FKEY3 FOREIGN KEY(ATCH_FILE_SN) REFERENCES TB_ATCH_FILE(ATCH_FILE_SN) ON UPDATE CASCADE ON DELETE SET NULL;</v>
      </c>
      <c r="AB222" s="50" t="str">
        <f t="shared" si="62"/>
        <v/>
      </c>
      <c r="AC222" s="50" t="str">
        <f t="shared" si="55"/>
        <v/>
      </c>
      <c r="AD222" s="50" t="str">
        <f t="shared" si="56"/>
        <v>ALTER TABLE TB_NTT ALTER COLUMN ATCH_FILE_SN TYPE INTEGER;</v>
      </c>
      <c r="AE222" s="50" t="str">
        <f t="shared" si="57"/>
        <v>ALTER TABLE TB_NTT ADD COLUMN ATCH_FILE_SN INTEGER;</v>
      </c>
      <c r="AF222" s="50" t="str">
        <f t="shared" si="58"/>
        <v>ALTER TABLE TB_NTT DROP COLUMN ATCH_FILE_SN;</v>
      </c>
      <c r="AG222" s="50" t="str">
        <f t="shared" si="59"/>
        <v/>
      </c>
      <c r="AH222" s="50" t="str">
        <f t="shared" si="63"/>
        <v>COMMENT ON COLUMN TB_NTT.ATCH_FILE_SN IS '첨부 파일 일련번호' ;</v>
      </c>
    </row>
    <row r="223" spans="1:34" ht="20.100000000000001" customHeight="1">
      <c r="A223" s="55">
        <v>227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339</v>
      </c>
      <c r="H223" s="106" t="s">
        <v>308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353</v>
      </c>
      <c r="T223" s="83"/>
      <c r="U223" s="83"/>
      <c r="V223" s="106"/>
      <c r="W223" s="45"/>
      <c r="X223" s="83"/>
      <c r="Y223" s="129" t="str">
        <f t="shared" si="60"/>
        <v>TB_NTT</v>
      </c>
      <c r="Z223" s="50" t="str">
        <f t="shared" si="64"/>
        <v>NTT_RDCNT INTEGER,</v>
      </c>
      <c r="AA223" s="50" t="str">
        <f t="shared" si="61"/>
        <v/>
      </c>
      <c r="AB223" s="50" t="str">
        <f t="shared" si="62"/>
        <v/>
      </c>
      <c r="AC223" s="50" t="str">
        <f t="shared" si="55"/>
        <v/>
      </c>
      <c r="AD223" s="50" t="str">
        <f t="shared" si="56"/>
        <v>ALTER TABLE TB_NTT ALTER COLUMN NTT_RDCNT TYPE INTEGER;</v>
      </c>
      <c r="AE223" s="50" t="str">
        <f t="shared" si="57"/>
        <v>ALTER TABLE TB_NTT ADD COLUMN NTT_RDCNT INTEGER;</v>
      </c>
      <c r="AF223" s="50" t="str">
        <f t="shared" si="58"/>
        <v>ALTER TABLE TB_NTT DROP COLUMN NTT_RDCNT;</v>
      </c>
      <c r="AG223" s="50" t="str">
        <f t="shared" si="59"/>
        <v/>
      </c>
      <c r="AH223" s="50" t="str">
        <f t="shared" si="63"/>
        <v>COMMENT ON COLUMN TB_NTT.NTT_RDCNT IS '게시물 조회수' ;</v>
      </c>
    </row>
    <row r="224" spans="1:34" ht="20.100000000000001" customHeight="1">
      <c r="A224" s="55">
        <v>228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343</v>
      </c>
      <c r="H224" s="106" t="s">
        <v>344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556</v>
      </c>
      <c r="R224" s="45"/>
      <c r="S224" s="106" t="s">
        <v>359</v>
      </c>
      <c r="T224" s="83"/>
      <c r="U224" s="83"/>
      <c r="V224" s="106"/>
      <c r="W224" s="45"/>
      <c r="X224" s="83"/>
      <c r="Y224" s="129" t="str">
        <f t="shared" si="60"/>
        <v>TB_NTT</v>
      </c>
      <c r="Z224" s="50" t="str">
        <f t="shared" si="64"/>
        <v>OPEN_YN VARCHAR(1) NOT NULL,</v>
      </c>
      <c r="AA224" s="50" t="str">
        <f t="shared" si="61"/>
        <v/>
      </c>
      <c r="AB224" s="50" t="str">
        <f t="shared" si="62"/>
        <v/>
      </c>
      <c r="AC224" s="50" t="str">
        <f t="shared" si="55"/>
        <v/>
      </c>
      <c r="AD224" s="50" t="str">
        <f t="shared" si="56"/>
        <v>ALTER TABLE TB_NTT ALTER COLUMN OPEN_YN TYPE VARCHAR(1);</v>
      </c>
      <c r="AE224" s="50" t="str">
        <f t="shared" si="57"/>
        <v>ALTER TABLE TB_NTT ADD COLUMN OPEN_YN VARCHAR(1) NOT NULL;</v>
      </c>
      <c r="AF224" s="50" t="str">
        <f t="shared" si="58"/>
        <v>ALTER TABLE TB_NTT DROP COLUMN OPEN_YN;</v>
      </c>
      <c r="AG224" s="50" t="str">
        <f t="shared" si="59"/>
        <v/>
      </c>
      <c r="AH224" s="50" t="str">
        <f t="shared" si="63"/>
        <v>COMMENT ON COLUMN TB_NTT.OPEN_YN IS '공개 여부' ;</v>
      </c>
    </row>
    <row r="225" spans="1:34" ht="20.100000000000001" customHeight="1">
      <c r="A225" s="55">
        <v>229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605</v>
      </c>
      <c r="H225" s="106" t="s">
        <v>607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556</v>
      </c>
      <c r="R225" s="45"/>
      <c r="S225" s="106" t="s">
        <v>608</v>
      </c>
      <c r="T225" s="83"/>
      <c r="U225" s="83"/>
      <c r="V225" s="106"/>
      <c r="W225" s="45"/>
      <c r="X225" s="83"/>
      <c r="Y225" s="129" t="str">
        <f t="shared" si="60"/>
        <v>TB_NTT</v>
      </c>
      <c r="Z225" s="50" t="str">
        <f t="shared" si="64"/>
        <v>NOTICE_SET_YN VARCHAR(1),</v>
      </c>
      <c r="AA225" s="50" t="str">
        <f t="shared" si="61"/>
        <v/>
      </c>
      <c r="AB225" s="50" t="str">
        <f t="shared" si="62"/>
        <v/>
      </c>
      <c r="AC225" s="50" t="str">
        <f t="shared" si="55"/>
        <v/>
      </c>
      <c r="AD225" s="50" t="str">
        <f t="shared" si="56"/>
        <v>ALTER TABLE TB_NTT ALTER COLUMN NOTICE_SET_YN TYPE VARCHAR(1);</v>
      </c>
      <c r="AE225" s="50" t="str">
        <f t="shared" si="57"/>
        <v>ALTER TABLE TB_NTT ADD COLUMN NOTICE_SET_YN VARCHAR(1);</v>
      </c>
      <c r="AF225" s="50" t="str">
        <f t="shared" si="58"/>
        <v>ALTER TABLE TB_NTT DROP COLUMN NOTICE_SET_YN;</v>
      </c>
      <c r="AG225" s="50" t="str">
        <f t="shared" si="59"/>
        <v/>
      </c>
      <c r="AH225" s="50" t="str">
        <f t="shared" si="63"/>
        <v>COMMENT ON COLUMN TB_NTT.NOTICE_SET_YN IS '공지 설정 여부' ;</v>
      </c>
    </row>
    <row r="226" spans="1:34" ht="20.100000000000001" customHeight="1">
      <c r="A226" s="55">
        <v>230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358</v>
      </c>
      <c r="H226" s="106" t="s">
        <v>357</v>
      </c>
      <c r="I226" s="75"/>
      <c r="J226" s="45"/>
      <c r="K226" s="45"/>
      <c r="L226" s="45"/>
      <c r="M226" s="45"/>
      <c r="N226" s="45"/>
      <c r="O226" s="45"/>
      <c r="P226" s="105" t="s">
        <v>178</v>
      </c>
      <c r="Q226" s="47" t="s">
        <v>200</v>
      </c>
      <c r="R226" s="45"/>
      <c r="S226" s="106" t="s">
        <v>360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60"/>
        <v>TB_NTT</v>
      </c>
      <c r="Z226" s="50" t="str">
        <f t="shared" si="64"/>
        <v>NOTICE_SEQ NUMERIC(10,3),</v>
      </c>
      <c r="AA226" s="50" t="str">
        <f t="shared" si="61"/>
        <v/>
      </c>
      <c r="AB226" s="50" t="str">
        <f t="shared" si="62"/>
        <v>CREATE SEQUENCE SEQ_TB_NTT_SEQ2 START 100000;</v>
      </c>
      <c r="AC226" s="50" t="str">
        <f t="shared" si="55"/>
        <v>ALTER TABLE TB_NTT ALTER COLUMN NOTICE_SEQ SET DEFAULT NEXTVAL('SEQ_TB_NTT_SEQ2');</v>
      </c>
      <c r="AD226" s="50" t="str">
        <f t="shared" si="56"/>
        <v>ALTER TABLE TB_NTT ALTER COLUMN NOTICE_SEQ TYPE NUMERIC(10,3);</v>
      </c>
      <c r="AE226" s="50" t="str">
        <f t="shared" si="57"/>
        <v>ALTER TABLE TB_NTT ADD COLUMN NOTICE_SEQ NUMERIC(10,3);</v>
      </c>
      <c r="AF226" s="50" t="str">
        <f t="shared" si="58"/>
        <v>ALTER TABLE TB_NTT DROP COLUMN NOTICE_SEQ;</v>
      </c>
      <c r="AG226" s="50" t="str">
        <f t="shared" si="59"/>
        <v/>
      </c>
      <c r="AH226" s="50" t="str">
        <f t="shared" si="63"/>
        <v>COMMENT ON COLUMN TB_NTT.NOTICE_SEQ IS '공지 순번' ;</v>
      </c>
    </row>
    <row r="227" spans="1:34" ht="20.100000000000001" customHeight="1">
      <c r="A227" s="55">
        <v>231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555</v>
      </c>
      <c r="Q227" s="126" t="s">
        <v>560</v>
      </c>
      <c r="R227" s="85"/>
      <c r="S227" s="112" t="s">
        <v>226</v>
      </c>
      <c r="T227" s="130"/>
      <c r="U227" s="130"/>
      <c r="V227" s="123" t="s">
        <v>529</v>
      </c>
      <c r="W227" s="90"/>
      <c r="X227" s="130"/>
      <c r="Y227" s="129" t="str">
        <f t="shared" si="60"/>
        <v>TB_NTT</v>
      </c>
      <c r="Z227" s="50" t="str">
        <f t="shared" si="64"/>
        <v>REGISTER_ID VARCHAR(50) NOT NULL,</v>
      </c>
      <c r="AA227" s="50" t="str">
        <f t="shared" si="61"/>
        <v/>
      </c>
      <c r="AB227" s="50" t="str">
        <f t="shared" si="62"/>
        <v/>
      </c>
      <c r="AC227" s="50" t="str">
        <f t="shared" si="55"/>
        <v/>
      </c>
      <c r="AD227" s="50" t="str">
        <f t="shared" si="56"/>
        <v>ALTER TABLE TB_NTT ALTER COLUMN REGISTER_ID TYPE VARCHAR(50);</v>
      </c>
      <c r="AE227" s="50" t="str">
        <f t="shared" si="57"/>
        <v>ALTER TABLE TB_NTT ADD COLUMN REGISTER_ID VARCHAR(50) NOT NULL;</v>
      </c>
      <c r="AF227" s="50" t="str">
        <f t="shared" si="58"/>
        <v>ALTER TABLE TB_NTT DROP COLUMN REGISTER_ID;</v>
      </c>
      <c r="AG227" s="50" t="str">
        <f t="shared" si="59"/>
        <v/>
      </c>
      <c r="AH227" s="50" t="e">
        <f>"COMMENT ON COLUMN "&amp;D227&amp;"."&amp;#REF!&amp;" IS '"&amp;#REF!&amp;"' ;"</f>
        <v>#REF!</v>
      </c>
    </row>
    <row r="228" spans="1:34" ht="20.100000000000001" customHeight="1">
      <c r="A228" s="55">
        <v>232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561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60"/>
        <v>TB_NTT</v>
      </c>
      <c r="Z228" s="50" t="str">
        <f t="shared" si="64"/>
        <v>REGISTER_IP VARCHAR(100) NOT NULL,</v>
      </c>
      <c r="AA228" s="50" t="str">
        <f t="shared" si="61"/>
        <v/>
      </c>
      <c r="AB228" s="50" t="str">
        <f t="shared" si="62"/>
        <v/>
      </c>
      <c r="AC228" s="50" t="str">
        <f t="shared" si="55"/>
        <v/>
      </c>
      <c r="AD228" s="50" t="str">
        <f t="shared" si="56"/>
        <v>ALTER TABLE TB_NTT ALTER COLUMN REGISTER_IP TYPE VARCHAR(100);</v>
      </c>
      <c r="AE228" s="50" t="str">
        <f t="shared" si="57"/>
        <v>ALTER TABLE TB_NTT ADD COLUMN REGISTER_IP VARCHAR(100) NOT NULL;</v>
      </c>
      <c r="AF228" s="50" t="str">
        <f t="shared" si="58"/>
        <v>ALTER TABLE TB_NTT DROP COLUMN REGISTER_IP;</v>
      </c>
      <c r="AG228" s="50" t="str">
        <f t="shared" si="59"/>
        <v/>
      </c>
      <c r="AH228" s="50" t="e">
        <f>"COMMENT ON COLUMN "&amp;D228&amp;"."&amp;#REF!&amp;" IS '"&amp;#REF!&amp;"' ;"</f>
        <v>#REF!</v>
      </c>
    </row>
    <row r="229" spans="1:34" ht="20.100000000000001" customHeight="1">
      <c r="A229" s="55">
        <v>233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749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60"/>
        <v>TB_NTT</v>
      </c>
      <c r="Z229" s="50" t="str">
        <f t="shared" si="64"/>
        <v>REG_DT TIMESTAMP NOT NULL,</v>
      </c>
      <c r="AA229" s="50" t="str">
        <f t="shared" si="61"/>
        <v/>
      </c>
      <c r="AB229" s="50" t="str">
        <f t="shared" si="62"/>
        <v/>
      </c>
      <c r="AC229" s="50" t="str">
        <f t="shared" si="55"/>
        <v/>
      </c>
      <c r="AD229" s="50" t="str">
        <f t="shared" si="56"/>
        <v>ALTER TABLE TB_NTT ALTER COLUMN REG_DT TYPE TIMESTAMP;</v>
      </c>
      <c r="AE229" s="50" t="str">
        <f t="shared" si="57"/>
        <v>ALTER TABLE TB_NTT ADD COLUMN REG_DT TIMESTAMP NOT NULL;</v>
      </c>
      <c r="AF229" s="50" t="str">
        <f t="shared" si="58"/>
        <v>ALTER TABLE TB_NTT DROP COLUMN REG_DT;</v>
      </c>
      <c r="AG229" s="50" t="str">
        <f t="shared" si="59"/>
        <v/>
      </c>
      <c r="AH229" s="50" t="e">
        <f>"COMMENT ON COLUMN "&amp;D229&amp;"."&amp;#REF!&amp;" IS '"&amp;#REF!&amp;"' ;"</f>
        <v>#REF!</v>
      </c>
    </row>
    <row r="230" spans="1:34" ht="20.100000000000001" customHeight="1">
      <c r="A230" s="55">
        <v>234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555</v>
      </c>
      <c r="Q230" s="126" t="s">
        <v>560</v>
      </c>
      <c r="R230" s="85"/>
      <c r="S230" s="112" t="s">
        <v>223</v>
      </c>
      <c r="T230" s="130"/>
      <c r="U230" s="130"/>
      <c r="V230" s="123" t="s">
        <v>529</v>
      </c>
      <c r="W230" s="90"/>
      <c r="X230" s="130"/>
      <c r="Y230" s="129" t="str">
        <f t="shared" si="60"/>
        <v>TB_NTT</v>
      </c>
      <c r="Z230" s="50" t="str">
        <f t="shared" si="64"/>
        <v>UPDUSR_ID VARCHAR(50),</v>
      </c>
      <c r="AA230" s="50" t="str">
        <f t="shared" si="61"/>
        <v/>
      </c>
      <c r="AB230" s="50" t="str">
        <f t="shared" si="62"/>
        <v/>
      </c>
      <c r="AC230" s="50" t="str">
        <f t="shared" si="55"/>
        <v/>
      </c>
      <c r="AD230" s="50" t="str">
        <f t="shared" si="56"/>
        <v>ALTER TABLE TB_NTT ALTER COLUMN UPDUSR_ID TYPE VARCHAR(50);</v>
      </c>
      <c r="AE230" s="50" t="str">
        <f t="shared" si="57"/>
        <v>ALTER TABLE TB_NTT ADD COLUMN UPDUSR_ID VARCHAR(50);</v>
      </c>
      <c r="AF230" s="50" t="str">
        <f t="shared" si="58"/>
        <v>ALTER TABLE TB_NTT DROP COLUMN UPDUSR_ID;</v>
      </c>
      <c r="AG230" s="50" t="str">
        <f t="shared" si="59"/>
        <v/>
      </c>
      <c r="AH230" s="50" t="e">
        <f>"COMMENT ON COLUMN "&amp;D230&amp;"."&amp;#REF!&amp;" IS '"&amp;#REF!&amp;"' ;"</f>
        <v>#REF!</v>
      </c>
    </row>
    <row r="231" spans="1:34" ht="20.100000000000001" customHeight="1">
      <c r="A231" s="55">
        <v>235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561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60"/>
        <v>TB_NTT</v>
      </c>
      <c r="Z231" s="50" t="str">
        <f t="shared" si="64"/>
        <v>UPDUSR_IP VARCHAR(100),</v>
      </c>
      <c r="AA231" s="50" t="str">
        <f t="shared" si="61"/>
        <v/>
      </c>
      <c r="AB231" s="50" t="str">
        <f t="shared" si="62"/>
        <v/>
      </c>
      <c r="AC231" s="50" t="str">
        <f t="shared" si="55"/>
        <v/>
      </c>
      <c r="AD231" s="50" t="str">
        <f t="shared" si="56"/>
        <v>ALTER TABLE TB_NTT ALTER COLUMN UPDUSR_IP TYPE VARCHAR(100);</v>
      </c>
      <c r="AE231" s="50" t="str">
        <f t="shared" si="57"/>
        <v>ALTER TABLE TB_NTT ADD COLUMN UPDUSR_IP VARCHAR(100);</v>
      </c>
      <c r="AF231" s="50" t="str">
        <f t="shared" si="58"/>
        <v>ALTER TABLE TB_NTT DROP COLUMN UPDUSR_IP;</v>
      </c>
      <c r="AG231" s="50" t="str">
        <f t="shared" si="59"/>
        <v/>
      </c>
      <c r="AH231" s="50" t="e">
        <f>"COMMENT ON COLUMN "&amp;D231&amp;"."&amp;#REF!&amp;" IS '"&amp;#REF!&amp;"' ;"</f>
        <v>#REF!</v>
      </c>
    </row>
    <row r="232" spans="1:34" ht="20.100000000000001" customHeight="1">
      <c r="A232" s="55">
        <v>236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749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60"/>
        <v>TB_NTT</v>
      </c>
      <c r="Z232" s="50" t="str">
        <f t="shared" si="64"/>
        <v>UPDT_DT TIMESTAMP,</v>
      </c>
      <c r="AA232" s="50" t="str">
        <f t="shared" si="61"/>
        <v/>
      </c>
      <c r="AB232" s="50" t="str">
        <f t="shared" si="62"/>
        <v/>
      </c>
      <c r="AC232" s="50" t="str">
        <f t="shared" si="55"/>
        <v/>
      </c>
      <c r="AD232" s="50" t="str">
        <f t="shared" si="56"/>
        <v>ALTER TABLE TB_NTT ALTER COLUMN UPDT_DT TYPE TIMESTAMP;</v>
      </c>
      <c r="AE232" s="50" t="str">
        <f t="shared" si="57"/>
        <v>ALTER TABLE TB_NTT ADD COLUMN UPDT_DT TIMESTAMP;</v>
      </c>
      <c r="AF232" s="50" t="str">
        <f t="shared" si="58"/>
        <v>ALTER TABLE TB_NTT DROP COLUMN UPDT_DT;</v>
      </c>
      <c r="AG232" s="50" t="str">
        <f t="shared" si="59"/>
        <v/>
      </c>
      <c r="AH232" s="50" t="e">
        <f>"COMMENT ON COLUMN "&amp;D232&amp;"."&amp;#REF!&amp;" IS '"&amp;#REF!&amp;"' ;"</f>
        <v>#REF!</v>
      </c>
    </row>
    <row r="233" spans="1:34" ht="20.100000000000001" customHeight="1">
      <c r="A233" s="55">
        <v>237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556</v>
      </c>
      <c r="R233" s="87" t="s">
        <v>604</v>
      </c>
      <c r="S233" s="112" t="s">
        <v>220</v>
      </c>
      <c r="T233" s="130"/>
      <c r="U233" s="130"/>
      <c r="V233" s="109"/>
      <c r="W233" s="90"/>
      <c r="X233" s="130"/>
      <c r="Y233" s="129" t="str">
        <f t="shared" si="60"/>
        <v>TB_NTT</v>
      </c>
      <c r="Z233" s="50" t="str">
        <f t="shared" si="64"/>
        <v>DEL_YN VARCHAR(1) NOT NULL,</v>
      </c>
      <c r="AA233" s="50" t="str">
        <f t="shared" si="61"/>
        <v/>
      </c>
      <c r="AB233" s="50" t="str">
        <f t="shared" si="62"/>
        <v/>
      </c>
      <c r="AC233" s="50" t="str">
        <f t="shared" si="55"/>
        <v/>
      </c>
      <c r="AD233" s="50" t="str">
        <f t="shared" si="56"/>
        <v>ALTER TABLE TB_NTT ALTER COLUMN DEL_YN TYPE VARCHAR(1);</v>
      </c>
      <c r="AE233" s="50" t="str">
        <f t="shared" si="57"/>
        <v>ALTER TABLE TB_NTT ADD COLUMN DEL_YN VARCHAR(1) NOT NULL DEFAULT 'N';</v>
      </c>
      <c r="AF233" s="50" t="str">
        <f t="shared" si="58"/>
        <v>ALTER TABLE TB_NTT DROP COLUMN DEL_YN;</v>
      </c>
      <c r="AG233" s="50" t="str">
        <f t="shared" si="59"/>
        <v>ALTER TABLE TB_NTT ALTER COLUMN DEL_YN SET DEFAULT 'N';</v>
      </c>
      <c r="AH233" s="50" t="e">
        <f>"COMMENT ON COLUMN "&amp;D233&amp;"."&amp;#REF!&amp;" IS '"&amp;#REF!&amp;"' ;"</f>
        <v>#REF!</v>
      </c>
    </row>
    <row r="234" spans="1:34" ht="20.100000000000001" customHeight="1">
      <c r="A234" s="55">
        <v>238</v>
      </c>
      <c r="B234" s="26" t="s">
        <v>7</v>
      </c>
      <c r="C234" s="26" t="s">
        <v>16</v>
      </c>
      <c r="D234" s="10" t="s">
        <v>292</v>
      </c>
      <c r="E234" s="10" t="s">
        <v>293</v>
      </c>
      <c r="F234" s="92">
        <v>1</v>
      </c>
      <c r="G234" s="109" t="s">
        <v>345</v>
      </c>
      <c r="H234" s="109" t="s">
        <v>340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354</v>
      </c>
      <c r="T234" s="132" t="str">
        <f>"SEQ_"&amp;D234&amp;"_SN"</f>
        <v>SEQ_TB_NTT_ANSWER_SN</v>
      </c>
      <c r="U234" s="132"/>
      <c r="V234" s="109"/>
      <c r="W234" s="90"/>
      <c r="X234" s="130"/>
      <c r="Y234" s="129" t="str">
        <f t="shared" si="60"/>
        <v>TB_NTT_ANSWER</v>
      </c>
      <c r="Z234" s="50" t="str">
        <f t="shared" si="64"/>
        <v>NTT_ANSWER_SN INTEGER PRIMARY KEY,</v>
      </c>
      <c r="AA234" s="50" t="str">
        <f t="shared" si="61"/>
        <v/>
      </c>
      <c r="AB234" s="50" t="str">
        <f t="shared" si="62"/>
        <v>CREATE SEQUENCE SEQ_TB_NTT_ANSWER_SN START 100000;</v>
      </c>
      <c r="AC234" s="50" t="str">
        <f t="shared" si="55"/>
        <v>ALTER TABLE TB_NTT_ANSWER ALTER COLUMN NTT_ANSWER_SN SET DEFAULT NEXTVAL('SEQ_TB_NTT_ANSWER_SN');</v>
      </c>
      <c r="AD234" s="50" t="str">
        <f t="shared" si="56"/>
        <v>ALTER TABLE TB_NTT_ANSWER ALTER COLUMN NTT_ANSWER_SN TYPE INTEGER;</v>
      </c>
      <c r="AE234" s="50" t="str">
        <f t="shared" si="57"/>
        <v>ALTER TABLE TB_NTT_ANSWER ADD COLUMN NTT_ANSWER_SN INTEGER NOT NULL;</v>
      </c>
      <c r="AF234" s="50" t="str">
        <f t="shared" si="58"/>
        <v>ALTER TABLE TB_NTT_ANSWER DROP COLUMN NTT_ANSWER_SN;</v>
      </c>
      <c r="AG234" s="50" t="str">
        <f t="shared" si="59"/>
        <v/>
      </c>
      <c r="AH234" s="50" t="str">
        <f t="shared" si="63"/>
        <v>COMMENT ON COLUMN TB_NTT_ANSWER.NTT_ANSWER_SN IS '게시물 댓글 일련번호' ;</v>
      </c>
    </row>
    <row r="235" spans="1:34" ht="20.100000000000001" customHeight="1">
      <c r="A235" s="55">
        <v>239</v>
      </c>
      <c r="B235" s="26" t="s">
        <v>7</v>
      </c>
      <c r="C235" s="26" t="s">
        <v>16</v>
      </c>
      <c r="D235" s="10" t="s">
        <v>292</v>
      </c>
      <c r="E235" s="10" t="s">
        <v>293</v>
      </c>
      <c r="F235" s="92">
        <v>2</v>
      </c>
      <c r="G235" s="109" t="s">
        <v>309</v>
      </c>
      <c r="H235" s="109" t="s">
        <v>304</v>
      </c>
      <c r="I235" s="75" t="s">
        <v>72</v>
      </c>
      <c r="J235" s="90"/>
      <c r="K235" s="90">
        <v>1</v>
      </c>
      <c r="L235" s="10" t="s">
        <v>290</v>
      </c>
      <c r="M235" s="109" t="s">
        <v>309</v>
      </c>
      <c r="N235" s="100" t="s">
        <v>574</v>
      </c>
      <c r="O235" s="100" t="s">
        <v>576</v>
      </c>
      <c r="P235" s="106" t="s">
        <v>236</v>
      </c>
      <c r="Q235" s="92"/>
      <c r="R235" s="90"/>
      <c r="S235" s="109" t="s">
        <v>348</v>
      </c>
      <c r="T235" s="130"/>
      <c r="U235" s="130"/>
      <c r="V235" s="109"/>
      <c r="W235" s="90"/>
      <c r="X235" s="130"/>
      <c r="Y235" s="129" t="str">
        <f t="shared" si="60"/>
        <v>TB_NTT_ANSWER</v>
      </c>
      <c r="Z235" s="50" t="str">
        <f t="shared" si="64"/>
        <v>NTT_SN INTEGER NOT NULL,</v>
      </c>
      <c r="AA235" s="50" t="str">
        <f t="shared" si="61"/>
        <v>ALTER TABLE TB_NTT_ANSWER ADD CONSTRAINT TB_NTT_ANSWER_FKEY1 FOREIGN KEY(NTT_SN) REFERENCES TB_NTT(NTT_SN) ON UPDATE CASCADE ON DELETE CASCADE;</v>
      </c>
      <c r="AB235" s="50" t="str">
        <f t="shared" si="62"/>
        <v/>
      </c>
      <c r="AC235" s="50" t="str">
        <f t="shared" si="55"/>
        <v/>
      </c>
      <c r="AD235" s="50" t="str">
        <f t="shared" si="56"/>
        <v>ALTER TABLE TB_NTT_ANSWER ALTER COLUMN NTT_SN TYPE INTEGER;</v>
      </c>
      <c r="AE235" s="50" t="str">
        <f t="shared" si="57"/>
        <v>ALTER TABLE TB_NTT_ANSWER ADD COLUMN NTT_SN INTEGER NOT NULL;</v>
      </c>
      <c r="AF235" s="50" t="str">
        <f t="shared" si="58"/>
        <v>ALTER TABLE TB_NTT_ANSWER DROP COLUMN NTT_SN;</v>
      </c>
      <c r="AG235" s="50" t="str">
        <f t="shared" si="59"/>
        <v/>
      </c>
      <c r="AH235" s="50" t="str">
        <f t="shared" si="63"/>
        <v>COMMENT ON COLUMN TB_NTT_ANSWER.NTT_SN IS '게시물 일련번호' ;</v>
      </c>
    </row>
    <row r="236" spans="1:34" ht="20.100000000000001" customHeight="1">
      <c r="A236" s="55">
        <v>240</v>
      </c>
      <c r="B236" s="26" t="s">
        <v>7</v>
      </c>
      <c r="C236" s="26" t="s">
        <v>16</v>
      </c>
      <c r="D236" s="10" t="s">
        <v>292</v>
      </c>
      <c r="E236" s="10" t="s">
        <v>293</v>
      </c>
      <c r="F236" s="92">
        <v>3</v>
      </c>
      <c r="G236" s="106" t="s">
        <v>670</v>
      </c>
      <c r="H236" s="106" t="s">
        <v>671</v>
      </c>
      <c r="I236" s="45"/>
      <c r="J236" s="45"/>
      <c r="K236" s="45"/>
      <c r="L236" s="83"/>
      <c r="M236" s="100"/>
      <c r="N236" s="100"/>
      <c r="O236" s="100"/>
      <c r="P236" s="105" t="s">
        <v>106</v>
      </c>
      <c r="Q236" s="126" t="s">
        <v>657</v>
      </c>
      <c r="R236" s="45"/>
      <c r="S236" s="106" t="s">
        <v>671</v>
      </c>
      <c r="T236" s="83"/>
      <c r="U236" s="83"/>
      <c r="V236" s="123" t="s">
        <v>654</v>
      </c>
      <c r="W236" s="45"/>
      <c r="X236" s="83"/>
      <c r="Y236" s="129" t="str">
        <f t="shared" ref="Y236:Y237" si="71">D236</f>
        <v>TB_NTT_ANSWER</v>
      </c>
      <c r="Z236" s="50" t="str">
        <f t="shared" si="64"/>
        <v>STEP VARCHAR(2),</v>
      </c>
      <c r="AA236" s="50" t="str">
        <f t="shared" si="61"/>
        <v/>
      </c>
      <c r="AB236" s="50" t="str">
        <f t="shared" si="62"/>
        <v/>
      </c>
      <c r="AC236" s="50" t="str">
        <f t="shared" si="55"/>
        <v/>
      </c>
      <c r="AD236" s="50" t="str">
        <f t="shared" si="56"/>
        <v>ALTER TABLE TB_NTT_ANSWER ALTER COLUMN STEP TYPE VARCHAR(2);</v>
      </c>
      <c r="AE236" s="50" t="str">
        <f t="shared" si="57"/>
        <v>ALTER TABLE TB_NTT_ANSWER ADD COLUMN STEP VARCHAR(2);</v>
      </c>
      <c r="AF236" s="50" t="str">
        <f t="shared" si="58"/>
        <v>ALTER TABLE TB_NTT_ANSWER DROP COLUMN STEP;</v>
      </c>
      <c r="AG236" s="50" t="str">
        <f t="shared" si="59"/>
        <v/>
      </c>
      <c r="AH236" s="50" t="str">
        <f t="shared" ref="AH236:AH237" si="72">"COMMENT ON COLUMN "&amp;D236&amp;"."&amp;G236&amp;" IS '"&amp;S236&amp;"' ;"</f>
        <v>COMMENT ON COLUMN TB_NTT_ANSWER.STEP IS '계층' ;</v>
      </c>
    </row>
    <row r="237" spans="1:34" ht="20.100000000000001" customHeight="1">
      <c r="A237" s="55">
        <v>241</v>
      </c>
      <c r="B237" s="26" t="s">
        <v>7</v>
      </c>
      <c r="C237" s="26" t="s">
        <v>16</v>
      </c>
      <c r="D237" s="10" t="s">
        <v>292</v>
      </c>
      <c r="E237" s="10" t="s">
        <v>293</v>
      </c>
      <c r="F237" s="92">
        <v>4</v>
      </c>
      <c r="G237" s="106" t="s">
        <v>675</v>
      </c>
      <c r="H237" s="106" t="s">
        <v>674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676</v>
      </c>
      <c r="T237" s="132" t="str">
        <f>"SEQ_"&amp;D237&amp;"_SN2"</f>
        <v>SEQ_TB_NTT_ANSWER_SN2</v>
      </c>
      <c r="U237" s="83"/>
      <c r="V237" s="123" t="s">
        <v>655</v>
      </c>
      <c r="W237" s="45"/>
      <c r="X237" s="83"/>
      <c r="Y237" s="129" t="str">
        <f t="shared" si="71"/>
        <v>TB_NTT_ANSWER</v>
      </c>
      <c r="Z237" s="50" t="str">
        <f t="shared" si="64"/>
        <v>PARNTS_ANSWER_SN INTEGER,</v>
      </c>
      <c r="AA237" s="50" t="str">
        <f t="shared" si="61"/>
        <v/>
      </c>
      <c r="AB237" s="50" t="str">
        <f t="shared" si="62"/>
        <v>CREATE SEQUENCE SEQ_TB_NTT_ANSWER_SN2 START 100000;</v>
      </c>
      <c r="AC237" s="50" t="str">
        <f t="shared" si="55"/>
        <v>ALTER TABLE TB_NTT_ANSWER ALTER COLUMN PARNTS_ANSWER_SN SET DEFAULT NEXTVAL('SEQ_TB_NTT_ANSWER_SN2');</v>
      </c>
      <c r="AD237" s="50" t="str">
        <f t="shared" si="56"/>
        <v>ALTER TABLE TB_NTT_ANSWER ALTER COLUMN PARNTS_ANSWER_SN TYPE INTEGER;</v>
      </c>
      <c r="AE237" s="50" t="str">
        <f t="shared" si="57"/>
        <v>ALTER TABLE TB_NTT_ANSWER ADD COLUMN PARNTS_ANSWER_SN INTEGER;</v>
      </c>
      <c r="AF237" s="50" t="str">
        <f t="shared" si="58"/>
        <v>ALTER TABLE TB_NTT_ANSWER DROP COLUMN PARNTS_ANSWER_SN;</v>
      </c>
      <c r="AG237" s="50" t="str">
        <f t="shared" si="59"/>
        <v/>
      </c>
      <c r="AH237" s="50" t="str">
        <f t="shared" si="72"/>
        <v>COMMENT ON COLUMN TB_NTT_ANSWER.PARNTS_ANSWER_SN IS '부모 댓글 일련번호' ;</v>
      </c>
    </row>
    <row r="238" spans="1:34" ht="20.100000000000001" customHeight="1">
      <c r="A238" s="55">
        <v>242</v>
      </c>
      <c r="B238" s="26" t="s">
        <v>7</v>
      </c>
      <c r="C238" s="26" t="s">
        <v>16</v>
      </c>
      <c r="D238" s="10" t="s">
        <v>292</v>
      </c>
      <c r="E238" s="10" t="s">
        <v>293</v>
      </c>
      <c r="F238" s="92">
        <v>5</v>
      </c>
      <c r="G238" s="109" t="s">
        <v>346</v>
      </c>
      <c r="H238" s="109" t="s">
        <v>341</v>
      </c>
      <c r="I238" s="75" t="s">
        <v>72</v>
      </c>
      <c r="J238" s="90"/>
      <c r="K238" s="90"/>
      <c r="L238" s="90"/>
      <c r="M238" s="90"/>
      <c r="N238" s="90"/>
      <c r="O238" s="90"/>
      <c r="P238" s="105" t="s">
        <v>178</v>
      </c>
      <c r="Q238" s="47" t="s">
        <v>200</v>
      </c>
      <c r="R238" s="90"/>
      <c r="S238" s="109" t="s">
        <v>355</v>
      </c>
      <c r="T238" s="132" t="str">
        <f>"SEQ_"&amp;D238&amp;"_SEQ"</f>
        <v>SEQ_TB_NTT_ANSWER_SEQ</v>
      </c>
      <c r="U238" s="132"/>
      <c r="V238" s="109"/>
      <c r="W238" s="90"/>
      <c r="X238" s="130"/>
      <c r="Y238" s="129" t="str">
        <f t="shared" si="60"/>
        <v>TB_NTT_ANSWER</v>
      </c>
      <c r="Z238" s="50" t="str">
        <f t="shared" si="64"/>
        <v>NTT_ANSWER_SEQ NUMERIC(10,3) NOT NULL,</v>
      </c>
      <c r="AA238" s="50" t="str">
        <f t="shared" si="61"/>
        <v/>
      </c>
      <c r="AB238" s="50" t="str">
        <f t="shared" si="62"/>
        <v>CREATE SEQUENCE SEQ_TB_NTT_ANSWER_SEQ START 100000;</v>
      </c>
      <c r="AC238" s="50" t="str">
        <f t="shared" si="55"/>
        <v>ALTER TABLE TB_NTT_ANSWER ALTER COLUMN NTT_ANSWER_SEQ SET DEFAULT NEXTVAL('SEQ_TB_NTT_ANSWER_SEQ');</v>
      </c>
      <c r="AD238" s="50" t="str">
        <f t="shared" si="56"/>
        <v>ALTER TABLE TB_NTT_ANSWER ALTER COLUMN NTT_ANSWER_SEQ TYPE NUMERIC(10,3);</v>
      </c>
      <c r="AE238" s="50" t="str">
        <f t="shared" si="57"/>
        <v>ALTER TABLE TB_NTT_ANSWER ADD COLUMN NTT_ANSWER_SEQ NUMERIC(10,3) NOT NULL;</v>
      </c>
      <c r="AF238" s="50" t="str">
        <f t="shared" si="58"/>
        <v>ALTER TABLE TB_NTT_ANSWER DROP COLUMN NTT_ANSWER_SEQ;</v>
      </c>
      <c r="AG238" s="50" t="str">
        <f t="shared" si="59"/>
        <v/>
      </c>
      <c r="AH238" s="50" t="str">
        <f t="shared" si="63"/>
        <v>COMMENT ON COLUMN TB_NTT_ANSWER.NTT_ANSWER_SEQ IS '게시물 댓글 순번' ;</v>
      </c>
    </row>
    <row r="239" spans="1:34" ht="20.100000000000001" customHeight="1">
      <c r="A239" s="55">
        <v>243</v>
      </c>
      <c r="B239" s="26" t="s">
        <v>7</v>
      </c>
      <c r="C239" s="26" t="s">
        <v>16</v>
      </c>
      <c r="D239" s="10" t="s">
        <v>292</v>
      </c>
      <c r="E239" s="10" t="s">
        <v>293</v>
      </c>
      <c r="F239" s="92">
        <v>6</v>
      </c>
      <c r="G239" s="109" t="s">
        <v>347</v>
      </c>
      <c r="H239" s="109" t="s">
        <v>342</v>
      </c>
      <c r="I239" s="75"/>
      <c r="J239" s="90"/>
      <c r="K239" s="90"/>
      <c r="L239" s="90"/>
      <c r="M239" s="90"/>
      <c r="N239" s="90"/>
      <c r="O239" s="90"/>
      <c r="P239" s="109" t="s">
        <v>326</v>
      </c>
      <c r="Q239" s="126" t="s">
        <v>564</v>
      </c>
      <c r="R239" s="90"/>
      <c r="S239" s="109" t="s">
        <v>356</v>
      </c>
      <c r="T239" s="130"/>
      <c r="U239" s="130"/>
      <c r="V239" s="109"/>
      <c r="W239" s="90"/>
      <c r="X239" s="130"/>
      <c r="Y239" s="129" t="str">
        <f t="shared" si="60"/>
        <v>TB_NTT_ANSWER</v>
      </c>
      <c r="Z239" s="50" t="str">
        <f t="shared" si="64"/>
        <v>NTT_ANSWER_CN VARCHAR(2000),</v>
      </c>
      <c r="AA239" s="50" t="str">
        <f t="shared" si="61"/>
        <v/>
      </c>
      <c r="AB239" s="50" t="str">
        <f t="shared" si="62"/>
        <v/>
      </c>
      <c r="AC239" s="50" t="str">
        <f t="shared" si="55"/>
        <v/>
      </c>
      <c r="AD239" s="50" t="str">
        <f t="shared" si="56"/>
        <v>ALTER TABLE TB_NTT_ANSWER ALTER COLUMN NTT_ANSWER_CN TYPE VARCHAR(2000);</v>
      </c>
      <c r="AE239" s="50" t="str">
        <f t="shared" si="57"/>
        <v>ALTER TABLE TB_NTT_ANSWER ADD COLUMN NTT_ANSWER_CN VARCHAR(2000);</v>
      </c>
      <c r="AF239" s="50" t="str">
        <f t="shared" si="58"/>
        <v>ALTER TABLE TB_NTT_ANSWER DROP COLUMN NTT_ANSWER_CN;</v>
      </c>
      <c r="AG239" s="50" t="str">
        <f t="shared" si="59"/>
        <v/>
      </c>
      <c r="AH239" s="50" t="str">
        <f t="shared" si="63"/>
        <v>COMMENT ON COLUMN TB_NTT_ANSWER.NTT_ANSWER_CN IS '게시물 댓글 내용' ;</v>
      </c>
    </row>
    <row r="240" spans="1:34" ht="20.100000000000001" customHeight="1">
      <c r="A240" s="55">
        <v>244</v>
      </c>
      <c r="B240" s="26" t="s">
        <v>7</v>
      </c>
      <c r="C240" s="26" t="s">
        <v>16</v>
      </c>
      <c r="D240" s="10" t="s">
        <v>292</v>
      </c>
      <c r="E240" s="10" t="s">
        <v>293</v>
      </c>
      <c r="F240" s="92">
        <v>7</v>
      </c>
      <c r="G240" s="109" t="s">
        <v>343</v>
      </c>
      <c r="H240" s="109" t="s">
        <v>344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556</v>
      </c>
      <c r="R240" s="90"/>
      <c r="S240" s="109" t="s">
        <v>359</v>
      </c>
      <c r="T240" s="130"/>
      <c r="U240" s="130"/>
      <c r="V240" s="109"/>
      <c r="W240" s="90"/>
      <c r="X240" s="130"/>
      <c r="Y240" s="129" t="str">
        <f t="shared" si="60"/>
        <v>TB_NTT_ANSWER</v>
      </c>
      <c r="Z240" s="50" t="str">
        <f t="shared" si="64"/>
        <v>OPEN_YN VARCHAR(1) NOT NULL,</v>
      </c>
      <c r="AA240" s="50" t="str">
        <f t="shared" si="61"/>
        <v/>
      </c>
      <c r="AB240" s="50" t="str">
        <f t="shared" si="62"/>
        <v/>
      </c>
      <c r="AC240" s="50" t="str">
        <f t="shared" si="55"/>
        <v/>
      </c>
      <c r="AD240" s="50" t="str">
        <f t="shared" si="56"/>
        <v>ALTER TABLE TB_NTT_ANSWER ALTER COLUMN OPEN_YN TYPE VARCHAR(1);</v>
      </c>
      <c r="AE240" s="50" t="str">
        <f t="shared" si="57"/>
        <v>ALTER TABLE TB_NTT_ANSWER ADD COLUMN OPEN_YN VARCHAR(1) NOT NULL;</v>
      </c>
      <c r="AF240" s="50" t="str">
        <f t="shared" si="58"/>
        <v>ALTER TABLE TB_NTT_ANSWER DROP COLUMN OPEN_YN;</v>
      </c>
      <c r="AG240" s="50" t="str">
        <f t="shared" si="59"/>
        <v/>
      </c>
      <c r="AH240" s="50" t="str">
        <f t="shared" si="63"/>
        <v>COMMENT ON COLUMN TB_NTT_ANSWER.OPEN_YN IS '공개 여부' ;</v>
      </c>
    </row>
    <row r="241" spans="1:34" ht="20.100000000000001" customHeight="1">
      <c r="A241" s="55">
        <v>245</v>
      </c>
      <c r="B241" s="26" t="s">
        <v>7</v>
      </c>
      <c r="C241" s="26" t="s">
        <v>16</v>
      </c>
      <c r="D241" s="10" t="s">
        <v>292</v>
      </c>
      <c r="E241" s="10" t="s">
        <v>293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555</v>
      </c>
      <c r="Q241" s="126" t="s">
        <v>560</v>
      </c>
      <c r="R241" s="85"/>
      <c r="S241" s="112" t="s">
        <v>226</v>
      </c>
      <c r="T241" s="130"/>
      <c r="U241" s="130"/>
      <c r="V241" s="123" t="s">
        <v>529</v>
      </c>
      <c r="W241" s="90"/>
      <c r="X241" s="130"/>
      <c r="Y241" s="129" t="str">
        <f t="shared" si="60"/>
        <v>TB_NTT_ANSWER</v>
      </c>
      <c r="Z241" s="50" t="str">
        <f t="shared" si="64"/>
        <v>REGISTER_ID VARCHAR(50) NOT NULL,</v>
      </c>
      <c r="AA241" s="50" t="str">
        <f t="shared" si="61"/>
        <v/>
      </c>
      <c r="AB241" s="50" t="str">
        <f t="shared" si="62"/>
        <v/>
      </c>
      <c r="AC241" s="50" t="str">
        <f t="shared" si="55"/>
        <v/>
      </c>
      <c r="AD241" s="50" t="str">
        <f t="shared" si="56"/>
        <v>ALTER TABLE TB_NTT_ANSWER ALTER COLUMN REGISTER_ID TYPE VARCHAR(50);</v>
      </c>
      <c r="AE241" s="50" t="str">
        <f t="shared" si="57"/>
        <v>ALTER TABLE TB_NTT_ANSWER ADD COLUMN REGISTER_ID VARCHAR(50) NOT NULL;</v>
      </c>
      <c r="AF241" s="50" t="str">
        <f t="shared" si="58"/>
        <v>ALTER TABLE TB_NTT_ANSWER DROP COLUMN REGISTER_ID;</v>
      </c>
      <c r="AG241" s="50" t="str">
        <f t="shared" si="59"/>
        <v/>
      </c>
      <c r="AH241" s="50" t="str">
        <f t="shared" si="63"/>
        <v>COMMENT ON COLUMN TB_NTT_ANSWER.REGISTER_ID IS '등록자 ID' ;</v>
      </c>
    </row>
    <row r="242" spans="1:34" ht="20.100000000000001" customHeight="1">
      <c r="A242" s="55">
        <v>246</v>
      </c>
      <c r="B242" s="26" t="s">
        <v>7</v>
      </c>
      <c r="C242" s="26" t="s">
        <v>16</v>
      </c>
      <c r="D242" s="10" t="s">
        <v>292</v>
      </c>
      <c r="E242" s="10" t="s">
        <v>293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561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60"/>
        <v>TB_NTT_ANSWER</v>
      </c>
      <c r="Z242" s="50" t="str">
        <f t="shared" si="64"/>
        <v>REGISTER_IP VARCHAR(100) NOT NULL,</v>
      </c>
      <c r="AA242" s="50" t="str">
        <f t="shared" si="61"/>
        <v/>
      </c>
      <c r="AB242" s="50" t="str">
        <f t="shared" si="62"/>
        <v/>
      </c>
      <c r="AC242" s="50" t="str">
        <f t="shared" si="55"/>
        <v/>
      </c>
      <c r="AD242" s="50" t="str">
        <f t="shared" si="56"/>
        <v>ALTER TABLE TB_NTT_ANSWER ALTER COLUMN REGISTER_IP TYPE VARCHAR(100);</v>
      </c>
      <c r="AE242" s="50" t="str">
        <f t="shared" si="57"/>
        <v>ALTER TABLE TB_NTT_ANSWER ADD COLUMN REGISTER_IP VARCHAR(100) NOT NULL;</v>
      </c>
      <c r="AF242" s="50" t="str">
        <f t="shared" si="58"/>
        <v>ALTER TABLE TB_NTT_ANSWER DROP COLUMN REGISTER_IP;</v>
      </c>
      <c r="AG242" s="50" t="str">
        <f t="shared" si="59"/>
        <v/>
      </c>
      <c r="AH242" s="50" t="str">
        <f t="shared" si="63"/>
        <v>COMMENT ON COLUMN TB_NTT_ANSWER.REGISTER_IP IS '등록자 IP' ;</v>
      </c>
    </row>
    <row r="243" spans="1:34" ht="20.100000000000001" customHeight="1">
      <c r="A243" s="55">
        <v>247</v>
      </c>
      <c r="B243" s="26" t="s">
        <v>7</v>
      </c>
      <c r="C243" s="26" t="s">
        <v>16</v>
      </c>
      <c r="D243" s="10" t="s">
        <v>292</v>
      </c>
      <c r="E243" s="10" t="s">
        <v>293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749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60"/>
        <v>TB_NTT_ANSWER</v>
      </c>
      <c r="Z243" s="50" t="str">
        <f t="shared" si="64"/>
        <v>REG_DT TIMESTAMP NOT NULL,</v>
      </c>
      <c r="AA243" s="50" t="str">
        <f t="shared" si="61"/>
        <v/>
      </c>
      <c r="AB243" s="50" t="str">
        <f t="shared" si="62"/>
        <v/>
      </c>
      <c r="AC243" s="50" t="str">
        <f t="shared" si="55"/>
        <v/>
      </c>
      <c r="AD243" s="50" t="str">
        <f t="shared" si="56"/>
        <v>ALTER TABLE TB_NTT_ANSWER ALTER COLUMN REG_DT TYPE TIMESTAMP;</v>
      </c>
      <c r="AE243" s="50" t="str">
        <f t="shared" si="57"/>
        <v>ALTER TABLE TB_NTT_ANSWER ADD COLUMN REG_DT TIMESTAMP NOT NULL;</v>
      </c>
      <c r="AF243" s="50" t="str">
        <f t="shared" si="58"/>
        <v>ALTER TABLE TB_NTT_ANSWER DROP COLUMN REG_DT;</v>
      </c>
      <c r="AG243" s="50" t="str">
        <f t="shared" si="59"/>
        <v/>
      </c>
      <c r="AH243" s="50" t="str">
        <f t="shared" si="63"/>
        <v>COMMENT ON COLUMN TB_NTT_ANSWER.REG_DT IS '등록 일시' ;</v>
      </c>
    </row>
    <row r="244" spans="1:34" ht="20.100000000000001" customHeight="1">
      <c r="A244" s="55">
        <v>248</v>
      </c>
      <c r="B244" s="26" t="s">
        <v>7</v>
      </c>
      <c r="C244" s="26" t="s">
        <v>16</v>
      </c>
      <c r="D244" s="10" t="s">
        <v>292</v>
      </c>
      <c r="E244" s="10" t="s">
        <v>293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555</v>
      </c>
      <c r="Q244" s="126" t="s">
        <v>560</v>
      </c>
      <c r="R244" s="85"/>
      <c r="S244" s="112" t="s">
        <v>223</v>
      </c>
      <c r="T244" s="130"/>
      <c r="U244" s="130"/>
      <c r="V244" s="123" t="s">
        <v>529</v>
      </c>
      <c r="W244" s="90"/>
      <c r="X244" s="130"/>
      <c r="Y244" s="129" t="str">
        <f t="shared" si="60"/>
        <v>TB_NTT_ANSWER</v>
      </c>
      <c r="Z244" s="50" t="str">
        <f t="shared" si="64"/>
        <v>UPDUSR_ID VARCHAR(50),</v>
      </c>
      <c r="AA244" s="50" t="str">
        <f t="shared" si="61"/>
        <v/>
      </c>
      <c r="AB244" s="50" t="str">
        <f t="shared" si="62"/>
        <v/>
      </c>
      <c r="AC244" s="50" t="str">
        <f t="shared" si="55"/>
        <v/>
      </c>
      <c r="AD244" s="50" t="str">
        <f t="shared" si="56"/>
        <v>ALTER TABLE TB_NTT_ANSWER ALTER COLUMN UPDUSR_ID TYPE VARCHAR(50);</v>
      </c>
      <c r="AE244" s="50" t="str">
        <f t="shared" si="57"/>
        <v>ALTER TABLE TB_NTT_ANSWER ADD COLUMN UPDUSR_ID VARCHAR(50);</v>
      </c>
      <c r="AF244" s="50" t="str">
        <f t="shared" si="58"/>
        <v>ALTER TABLE TB_NTT_ANSWER DROP COLUMN UPDUSR_ID;</v>
      </c>
      <c r="AG244" s="50" t="str">
        <f t="shared" si="59"/>
        <v/>
      </c>
      <c r="AH244" s="50" t="str">
        <f t="shared" si="63"/>
        <v>COMMENT ON COLUMN TB_NTT_ANSWER.UPDUSR_ID IS '수정자 ID' ;</v>
      </c>
    </row>
    <row r="245" spans="1:34" ht="20.100000000000001" customHeight="1">
      <c r="A245" s="55">
        <v>249</v>
      </c>
      <c r="B245" s="26" t="s">
        <v>7</v>
      </c>
      <c r="C245" s="26" t="s">
        <v>16</v>
      </c>
      <c r="D245" s="10" t="s">
        <v>292</v>
      </c>
      <c r="E245" s="10" t="s">
        <v>293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561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60"/>
        <v>TB_NTT_ANSWER</v>
      </c>
      <c r="Z245" s="50" t="str">
        <f t="shared" si="64"/>
        <v>UPDUSR_IP VARCHAR(100),</v>
      </c>
      <c r="AA245" s="50" t="str">
        <f t="shared" si="61"/>
        <v/>
      </c>
      <c r="AB245" s="50" t="str">
        <f t="shared" si="62"/>
        <v/>
      </c>
      <c r="AC245" s="50" t="str">
        <f t="shared" si="55"/>
        <v/>
      </c>
      <c r="AD245" s="50" t="str">
        <f t="shared" si="56"/>
        <v>ALTER TABLE TB_NTT_ANSWER ALTER COLUMN UPDUSR_IP TYPE VARCHAR(100);</v>
      </c>
      <c r="AE245" s="50" t="str">
        <f t="shared" si="57"/>
        <v>ALTER TABLE TB_NTT_ANSWER ADD COLUMN UPDUSR_IP VARCHAR(100);</v>
      </c>
      <c r="AF245" s="50" t="str">
        <f t="shared" si="58"/>
        <v>ALTER TABLE TB_NTT_ANSWER DROP COLUMN UPDUSR_IP;</v>
      </c>
      <c r="AG245" s="50" t="str">
        <f t="shared" si="59"/>
        <v/>
      </c>
      <c r="AH245" s="50" t="str">
        <f t="shared" si="63"/>
        <v>COMMENT ON COLUMN TB_NTT_ANSWER.UPDUSR_IP IS '수정자 IP' ;</v>
      </c>
    </row>
    <row r="246" spans="1:34" ht="20.100000000000001" customHeight="1">
      <c r="A246" s="55">
        <v>250</v>
      </c>
      <c r="B246" s="26" t="s">
        <v>7</v>
      </c>
      <c r="C246" s="26" t="s">
        <v>16</v>
      </c>
      <c r="D246" s="10" t="s">
        <v>292</v>
      </c>
      <c r="E246" s="10" t="s">
        <v>293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749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60"/>
        <v>TB_NTT_ANSWER</v>
      </c>
      <c r="Z246" s="50" t="str">
        <f t="shared" si="64"/>
        <v>UPDT_DT TIMESTAMP,</v>
      </c>
      <c r="AA246" s="50" t="str">
        <f t="shared" si="61"/>
        <v/>
      </c>
      <c r="AB246" s="50" t="str">
        <f t="shared" si="62"/>
        <v/>
      </c>
      <c r="AC246" s="50" t="str">
        <f t="shared" si="55"/>
        <v/>
      </c>
      <c r="AD246" s="50" t="str">
        <f t="shared" si="56"/>
        <v>ALTER TABLE TB_NTT_ANSWER ALTER COLUMN UPDT_DT TYPE TIMESTAMP;</v>
      </c>
      <c r="AE246" s="50" t="str">
        <f t="shared" si="57"/>
        <v>ALTER TABLE TB_NTT_ANSWER ADD COLUMN UPDT_DT TIMESTAMP;</v>
      </c>
      <c r="AF246" s="50" t="str">
        <f t="shared" si="58"/>
        <v>ALTER TABLE TB_NTT_ANSWER DROP COLUMN UPDT_DT;</v>
      </c>
      <c r="AG246" s="50" t="str">
        <f t="shared" si="59"/>
        <v/>
      </c>
      <c r="AH246" s="50" t="str">
        <f t="shared" si="63"/>
        <v>COMMENT ON COLUMN TB_NTT_ANSWER.UPDT_DT IS '수정 일시' ;</v>
      </c>
    </row>
    <row r="247" spans="1:34" ht="20.100000000000001" customHeight="1">
      <c r="A247" s="55">
        <v>251</v>
      </c>
      <c r="B247" s="26" t="s">
        <v>7</v>
      </c>
      <c r="C247" s="26" t="s">
        <v>16</v>
      </c>
      <c r="D247" s="10" t="s">
        <v>292</v>
      </c>
      <c r="E247" s="10" t="s">
        <v>293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556</v>
      </c>
      <c r="R247" s="87" t="s">
        <v>604</v>
      </c>
      <c r="S247" s="112" t="s">
        <v>220</v>
      </c>
      <c r="T247" s="130"/>
      <c r="U247" s="130"/>
      <c r="V247" s="109"/>
      <c r="W247" s="90"/>
      <c r="X247" s="130"/>
      <c r="Y247" s="129" t="str">
        <f t="shared" si="60"/>
        <v>TB_NTT_ANSWER</v>
      </c>
      <c r="Z247" s="50" t="str">
        <f t="shared" si="64"/>
        <v>DEL_YN VARCHAR(1) NOT NULL,</v>
      </c>
      <c r="AA247" s="50" t="str">
        <f t="shared" si="61"/>
        <v/>
      </c>
      <c r="AB247" s="50" t="str">
        <f t="shared" si="62"/>
        <v/>
      </c>
      <c r="AC247" s="50" t="str">
        <f t="shared" si="55"/>
        <v/>
      </c>
      <c r="AD247" s="50" t="str">
        <f t="shared" si="56"/>
        <v>ALTER TABLE TB_NTT_ANSWER ALTER COLUMN DEL_YN TYPE VARCHAR(1);</v>
      </c>
      <c r="AE247" s="50" t="str">
        <f t="shared" si="57"/>
        <v>ALTER TABLE TB_NTT_ANSWER ADD COLUMN DEL_YN VARCHAR(1) NOT NULL DEFAULT 'N';</v>
      </c>
      <c r="AF247" s="50" t="str">
        <f t="shared" si="58"/>
        <v>ALTER TABLE TB_NTT_ANSWER DROP COLUMN DEL_YN;</v>
      </c>
      <c r="AG247" s="50" t="str">
        <f t="shared" si="59"/>
        <v>ALTER TABLE TB_NTT_ANSWER ALTER COLUMN DEL_YN SET DEFAULT 'N';</v>
      </c>
      <c r="AH247" s="50" t="str">
        <f t="shared" si="63"/>
        <v>COMMENT ON COLUMN TB_NTT_ANSWER.DEL_YN IS '삭제 여부' ;</v>
      </c>
    </row>
    <row r="248" spans="1:34" ht="20.100000000000001" customHeight="1">
      <c r="A248" s="55">
        <v>252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361</v>
      </c>
      <c r="H248" s="109" t="s">
        <v>362</v>
      </c>
      <c r="I248" s="90" t="s">
        <v>368</v>
      </c>
      <c r="J248" s="90">
        <v>1</v>
      </c>
      <c r="K248" s="90"/>
      <c r="L248" s="90"/>
      <c r="M248" s="90"/>
      <c r="N248" s="90"/>
      <c r="O248" s="90"/>
      <c r="P248" s="109" t="s">
        <v>369</v>
      </c>
      <c r="Q248" s="92"/>
      <c r="R248" s="90"/>
      <c r="S248" s="109" t="s">
        <v>377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60"/>
        <v>TB_POPUP</v>
      </c>
      <c r="Z248" s="50" t="str">
        <f t="shared" si="64"/>
        <v>POPUP_SN INTEGER PRIMARY KEY,</v>
      </c>
      <c r="AA248" s="50" t="str">
        <f t="shared" si="61"/>
        <v/>
      </c>
      <c r="AB248" s="50" t="str">
        <f t="shared" si="62"/>
        <v>CREATE SEQUENCE SEQ_TB_POPUP_SN START 100000;</v>
      </c>
      <c r="AC248" s="50" t="str">
        <f t="shared" si="55"/>
        <v>ALTER TABLE TB_POPUP ALTER COLUMN POPUP_SN SET DEFAULT NEXTVAL('SEQ_TB_POPUP_SN');</v>
      </c>
      <c r="AD248" s="50" t="str">
        <f t="shared" si="56"/>
        <v>ALTER TABLE TB_POPUP ALTER COLUMN POPUP_SN TYPE INTEGER;</v>
      </c>
      <c r="AE248" s="50" t="str">
        <f t="shared" si="57"/>
        <v>ALTER TABLE TB_POPUP ADD COLUMN POPUP_SN INTEGER NOT NULL;</v>
      </c>
      <c r="AF248" s="50" t="str">
        <f t="shared" si="58"/>
        <v>ALTER TABLE TB_POPUP DROP COLUMN POPUP_SN;</v>
      </c>
      <c r="AG248" s="50" t="str">
        <f t="shared" si="59"/>
        <v/>
      </c>
      <c r="AH248" s="50" t="str">
        <f t="shared" si="63"/>
        <v>COMMENT ON COLUMN TB_POPUP.POPUP_SN IS '팝업 일련번호' ;</v>
      </c>
    </row>
    <row r="249" spans="1:34" ht="20.100000000000001" customHeight="1">
      <c r="A249" s="55">
        <v>253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372</v>
      </c>
      <c r="H249" s="109" t="s">
        <v>363</v>
      </c>
      <c r="I249" s="90"/>
      <c r="J249" s="90"/>
      <c r="K249" s="90"/>
      <c r="L249" s="90"/>
      <c r="M249" s="90"/>
      <c r="N249" s="90"/>
      <c r="O249" s="90"/>
      <c r="P249" s="109" t="s">
        <v>370</v>
      </c>
      <c r="Q249" s="126" t="s">
        <v>562</v>
      </c>
      <c r="R249" s="90"/>
      <c r="S249" s="109" t="s">
        <v>378</v>
      </c>
      <c r="T249" s="130"/>
      <c r="U249" s="130"/>
      <c r="V249" s="109"/>
      <c r="W249" s="90"/>
      <c r="X249" s="130"/>
      <c r="Y249" s="129" t="str">
        <f t="shared" si="60"/>
        <v>TB_POPUP</v>
      </c>
      <c r="Z249" s="50" t="str">
        <f t="shared" si="64"/>
        <v>POPUP_SJ VARCHAR(255),</v>
      </c>
      <c r="AA249" s="50" t="str">
        <f t="shared" si="61"/>
        <v/>
      </c>
      <c r="AB249" s="50" t="str">
        <f t="shared" si="62"/>
        <v/>
      </c>
      <c r="AC249" s="50" t="str">
        <f t="shared" si="55"/>
        <v/>
      </c>
      <c r="AD249" s="50" t="str">
        <f t="shared" si="56"/>
        <v>ALTER TABLE TB_POPUP ALTER COLUMN POPUP_SJ TYPE VARCHAR(255);</v>
      </c>
      <c r="AE249" s="50" t="str">
        <f t="shared" si="57"/>
        <v>ALTER TABLE TB_POPUP ADD COLUMN POPUP_SJ VARCHAR(255);</v>
      </c>
      <c r="AF249" s="50" t="str">
        <f t="shared" si="58"/>
        <v>ALTER TABLE TB_POPUP DROP COLUMN POPUP_SJ;</v>
      </c>
      <c r="AG249" s="50" t="str">
        <f t="shared" si="59"/>
        <v/>
      </c>
      <c r="AH249" s="50" t="str">
        <f t="shared" si="63"/>
        <v>COMMENT ON COLUMN TB_POPUP.POPUP_SJ IS '팝업 제목' ;</v>
      </c>
    </row>
    <row r="250" spans="1:34" ht="20.100000000000001" customHeight="1">
      <c r="A250" s="55">
        <v>254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373</v>
      </c>
      <c r="H250" s="109" t="s">
        <v>364</v>
      </c>
      <c r="I250" s="90"/>
      <c r="J250" s="90"/>
      <c r="K250" s="90"/>
      <c r="L250" s="90"/>
      <c r="M250" s="90"/>
      <c r="N250" s="90"/>
      <c r="O250" s="90"/>
      <c r="P250" s="109" t="s">
        <v>370</v>
      </c>
      <c r="Q250" s="126" t="s">
        <v>564</v>
      </c>
      <c r="R250" s="90"/>
      <c r="S250" s="109" t="s">
        <v>379</v>
      </c>
      <c r="T250" s="130"/>
      <c r="U250" s="130"/>
      <c r="V250" s="109"/>
      <c r="W250" s="90"/>
      <c r="X250" s="130"/>
      <c r="Y250" s="129" t="str">
        <f t="shared" si="60"/>
        <v>TB_POPUP</v>
      </c>
      <c r="Z250" s="50" t="str">
        <f t="shared" si="64"/>
        <v>POPUP_CN VARCHAR(2000),</v>
      </c>
      <c r="AA250" s="50" t="str">
        <f t="shared" si="61"/>
        <v/>
      </c>
      <c r="AB250" s="50" t="str">
        <f t="shared" si="62"/>
        <v/>
      </c>
      <c r="AC250" s="50" t="str">
        <f t="shared" si="55"/>
        <v/>
      </c>
      <c r="AD250" s="50" t="str">
        <f t="shared" si="56"/>
        <v>ALTER TABLE TB_POPUP ALTER COLUMN POPUP_CN TYPE VARCHAR(2000);</v>
      </c>
      <c r="AE250" s="50" t="str">
        <f t="shared" si="57"/>
        <v>ALTER TABLE TB_POPUP ADD COLUMN POPUP_CN VARCHAR(2000);</v>
      </c>
      <c r="AF250" s="50" t="str">
        <f t="shared" si="58"/>
        <v>ALTER TABLE TB_POPUP DROP COLUMN POPUP_CN;</v>
      </c>
      <c r="AG250" s="50" t="str">
        <f t="shared" si="59"/>
        <v/>
      </c>
      <c r="AH250" s="50" t="str">
        <f t="shared" si="63"/>
        <v>COMMENT ON COLUMN TB_POPUP.POPUP_CN IS '팝업 내용' ;</v>
      </c>
    </row>
    <row r="251" spans="1:34" ht="20.100000000000001" customHeight="1">
      <c r="A251" s="55">
        <v>255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427</v>
      </c>
      <c r="H251" s="109" t="s">
        <v>428</v>
      </c>
      <c r="I251" s="90" t="s">
        <v>368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556</v>
      </c>
      <c r="R251" s="90"/>
      <c r="S251" s="109" t="s">
        <v>429</v>
      </c>
      <c r="T251" s="130"/>
      <c r="U251" s="130"/>
      <c r="V251" s="109"/>
      <c r="W251" s="90"/>
      <c r="X251" s="130"/>
      <c r="Y251" s="129" t="str">
        <f t="shared" si="60"/>
        <v>TB_POPUP</v>
      </c>
      <c r="Z251" s="50" t="str">
        <f t="shared" si="64"/>
        <v>USE_YN VARCHAR(1) NOT NULL,</v>
      </c>
      <c r="AA251" s="50" t="str">
        <f t="shared" si="61"/>
        <v/>
      </c>
      <c r="AB251" s="50" t="str">
        <f t="shared" si="62"/>
        <v/>
      </c>
      <c r="AC251" s="50" t="str">
        <f t="shared" si="55"/>
        <v/>
      </c>
      <c r="AD251" s="50" t="str">
        <f t="shared" si="56"/>
        <v>ALTER TABLE TB_POPUP ALTER COLUMN USE_YN TYPE VARCHAR(1);</v>
      </c>
      <c r="AE251" s="50" t="str">
        <f t="shared" si="57"/>
        <v>ALTER TABLE TB_POPUP ADD COLUMN USE_YN VARCHAR(1) NOT NULL;</v>
      </c>
      <c r="AF251" s="50" t="str">
        <f t="shared" si="58"/>
        <v>ALTER TABLE TB_POPUP DROP COLUMN USE_YN;</v>
      </c>
      <c r="AG251" s="50" t="str">
        <f t="shared" si="59"/>
        <v/>
      </c>
      <c r="AH251" s="50" t="str">
        <f t="shared" si="63"/>
        <v>COMMENT ON COLUMN TB_POPUP.USE_YN IS '사용 여부' ;</v>
      </c>
    </row>
    <row r="252" spans="1:34" ht="20.100000000000001" customHeight="1">
      <c r="A252" s="55">
        <v>256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374</v>
      </c>
      <c r="H252" s="109" t="s">
        <v>365</v>
      </c>
      <c r="I252" s="90" t="s">
        <v>368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750</v>
      </c>
      <c r="R252" s="90"/>
      <c r="S252" s="109" t="s">
        <v>380</v>
      </c>
      <c r="T252" s="130"/>
      <c r="U252" s="130"/>
      <c r="V252" s="109"/>
      <c r="W252" s="90"/>
      <c r="X252" s="130"/>
      <c r="Y252" s="129" t="str">
        <f t="shared" si="60"/>
        <v>TB_POPUP</v>
      </c>
      <c r="Z252" s="50" t="str">
        <f t="shared" si="64"/>
        <v>POPUP_BEGIN_DT VARCHAR(14) NOT NULL,</v>
      </c>
      <c r="AA252" s="50" t="str">
        <f t="shared" si="61"/>
        <v/>
      </c>
      <c r="AB252" s="50" t="str">
        <f t="shared" si="62"/>
        <v/>
      </c>
      <c r="AC252" s="50" t="str">
        <f t="shared" si="55"/>
        <v/>
      </c>
      <c r="AD252" s="50" t="str">
        <f t="shared" si="56"/>
        <v>ALTER TABLE TB_POPUP ALTER COLUMN POPUP_BEGIN_DT TYPE VARCHAR(14);</v>
      </c>
      <c r="AE252" s="50" t="str">
        <f t="shared" si="57"/>
        <v>ALTER TABLE TB_POPUP ADD COLUMN POPUP_BEGIN_DT VARCHAR(14) NOT NULL;</v>
      </c>
      <c r="AF252" s="50" t="str">
        <f t="shared" si="58"/>
        <v>ALTER TABLE TB_POPUP DROP COLUMN POPUP_BEGIN_DT;</v>
      </c>
      <c r="AG252" s="50" t="str">
        <f t="shared" si="59"/>
        <v/>
      </c>
      <c r="AH252" s="50" t="str">
        <f t="shared" si="63"/>
        <v>COMMENT ON COLUMN TB_POPUP.POPUP_BEGIN_DT IS '팝업 시작 일시' ;</v>
      </c>
    </row>
    <row r="253" spans="1:34" ht="20.100000000000001" customHeight="1">
      <c r="A253" s="55">
        <v>257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375</v>
      </c>
      <c r="H253" s="109" t="s">
        <v>366</v>
      </c>
      <c r="I253" s="90" t="s">
        <v>368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750</v>
      </c>
      <c r="R253" s="90"/>
      <c r="S253" s="109" t="s">
        <v>381</v>
      </c>
      <c r="T253" s="130"/>
      <c r="U253" s="130"/>
      <c r="V253" s="109"/>
      <c r="W253" s="90"/>
      <c r="X253" s="130"/>
      <c r="Y253" s="129" t="str">
        <f t="shared" si="60"/>
        <v>TB_POPUP</v>
      </c>
      <c r="Z253" s="50" t="str">
        <f t="shared" si="64"/>
        <v>POPUP_END_DT VARCHAR(14) NOT NULL,</v>
      </c>
      <c r="AA253" s="50" t="str">
        <f t="shared" si="61"/>
        <v/>
      </c>
      <c r="AB253" s="50" t="str">
        <f t="shared" si="62"/>
        <v/>
      </c>
      <c r="AC253" s="50" t="str">
        <f t="shared" si="55"/>
        <v/>
      </c>
      <c r="AD253" s="50" t="str">
        <f t="shared" si="56"/>
        <v>ALTER TABLE TB_POPUP ALTER COLUMN POPUP_END_DT TYPE VARCHAR(14);</v>
      </c>
      <c r="AE253" s="50" t="str">
        <f t="shared" si="57"/>
        <v>ALTER TABLE TB_POPUP ADD COLUMN POPUP_END_DT VARCHAR(14) NOT NULL;</v>
      </c>
      <c r="AF253" s="50" t="str">
        <f t="shared" si="58"/>
        <v>ALTER TABLE TB_POPUP DROP COLUMN POPUP_END_DT;</v>
      </c>
      <c r="AG253" s="50" t="str">
        <f t="shared" si="59"/>
        <v/>
      </c>
      <c r="AH253" s="50" t="str">
        <f t="shared" si="63"/>
        <v>COMMENT ON COLUMN TB_POPUP.POPUP_END_DT IS '팝업 종료 일시' ;</v>
      </c>
    </row>
    <row r="254" spans="1:34" ht="20.100000000000001" customHeight="1">
      <c r="A254" s="55">
        <v>258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383</v>
      </c>
      <c r="H254" s="109" t="s">
        <v>385</v>
      </c>
      <c r="I254" s="90" t="s">
        <v>131</v>
      </c>
      <c r="J254" s="90"/>
      <c r="K254" s="90">
        <v>1</v>
      </c>
      <c r="L254" s="10" t="s">
        <v>382</v>
      </c>
      <c r="M254" s="101" t="s">
        <v>383</v>
      </c>
      <c r="N254" s="101" t="s">
        <v>574</v>
      </c>
      <c r="O254" s="101" t="s">
        <v>575</v>
      </c>
      <c r="P254" s="51" t="s">
        <v>236</v>
      </c>
      <c r="Q254" s="124"/>
      <c r="R254" s="90"/>
      <c r="S254" s="109" t="s">
        <v>387</v>
      </c>
      <c r="T254" s="130"/>
      <c r="U254" s="130"/>
      <c r="V254" s="109"/>
      <c r="W254" s="90"/>
      <c r="X254" s="130"/>
      <c r="Y254" s="129" t="str">
        <f t="shared" si="60"/>
        <v>TB_POPUP</v>
      </c>
      <c r="Z254" s="50" t="str">
        <f t="shared" si="64"/>
        <v>ATCH_FILE_SN INTEGER NOT NULL,</v>
      </c>
      <c r="AA254" s="50" t="str">
        <f t="shared" si="61"/>
        <v>ALTER TABLE TB_POPUP ADD CONSTRAINT TB_POPUP_FKEY1 FOREIGN KEY(ATCH_FILE_SN) REFERENCES TB_ATCH_FILE(ATCH_FILE_SN) ON UPDATE CASCADE ON DELETE SET NULL;</v>
      </c>
      <c r="AB254" s="50" t="str">
        <f t="shared" si="62"/>
        <v/>
      </c>
      <c r="AC254" s="50" t="str">
        <f t="shared" ref="AC254:AC317" si="73">IF(ISBLANK(T254),"","ALTER TABLE "&amp;D254&amp;" ALTER COLUMN "&amp;G254&amp;" SET DEFAULT NEXTVAL('"&amp;T254&amp;"');")</f>
        <v/>
      </c>
      <c r="AD254" s="50" t="str">
        <f t="shared" si="56"/>
        <v>ALTER TABLE TB_POPUP ALTER COLUMN ATCH_FILE_SN TYPE INTEGER;</v>
      </c>
      <c r="AE254" s="50" t="str">
        <f t="shared" si="57"/>
        <v>ALTER TABLE TB_POPUP ADD COLUMN ATCH_FILE_SN INTEGER NOT NULL;</v>
      </c>
      <c r="AF254" s="50" t="str">
        <f t="shared" si="58"/>
        <v>ALTER TABLE TB_POPUP DROP COLUMN ATCH_FILE_SN;</v>
      </c>
      <c r="AG254" s="50" t="str">
        <f t="shared" si="59"/>
        <v/>
      </c>
      <c r="AH254" s="50" t="str">
        <f t="shared" si="63"/>
        <v>COMMENT ON COLUMN TB_POPUP.ATCH_FILE_SN IS '첨부 파일 일련번호' ;</v>
      </c>
    </row>
    <row r="255" spans="1:34" ht="20.100000000000001" customHeight="1">
      <c r="A255" s="55">
        <v>259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376</v>
      </c>
      <c r="H255" s="109" t="s">
        <v>367</v>
      </c>
      <c r="I255" s="90"/>
      <c r="J255" s="90"/>
      <c r="K255" s="90"/>
      <c r="L255" s="90"/>
      <c r="M255" s="90"/>
      <c r="N255" s="90"/>
      <c r="O255" s="90"/>
      <c r="P255" s="109" t="s">
        <v>370</v>
      </c>
      <c r="Q255" s="126" t="s">
        <v>564</v>
      </c>
      <c r="R255" s="90"/>
      <c r="S255" s="109" t="s">
        <v>371</v>
      </c>
      <c r="T255" s="130"/>
      <c r="U255" s="130"/>
      <c r="V255" s="109"/>
      <c r="W255" s="90"/>
      <c r="X255" s="130"/>
      <c r="Y255" s="129" t="str">
        <f t="shared" si="60"/>
        <v>TB_POPUP</v>
      </c>
      <c r="Z255" s="50" t="str">
        <f t="shared" si="64"/>
        <v>MOVE_URL VARCHAR(2000),</v>
      </c>
      <c r="AA255" s="50" t="str">
        <f t="shared" si="61"/>
        <v/>
      </c>
      <c r="AB255" s="50" t="str">
        <f t="shared" si="62"/>
        <v/>
      </c>
      <c r="AC255" s="50" t="str">
        <f t="shared" si="73"/>
        <v/>
      </c>
      <c r="AD255" s="50" t="str">
        <f t="shared" si="56"/>
        <v>ALTER TABLE TB_POPUP ALTER COLUMN MOVE_URL TYPE VARCHAR(2000);</v>
      </c>
      <c r="AE255" s="50" t="str">
        <f t="shared" si="57"/>
        <v>ALTER TABLE TB_POPUP ADD COLUMN MOVE_URL VARCHAR(2000);</v>
      </c>
      <c r="AF255" s="50" t="str">
        <f t="shared" si="58"/>
        <v>ALTER TABLE TB_POPUP DROP COLUMN MOVE_URL;</v>
      </c>
      <c r="AG255" s="50" t="str">
        <f t="shared" si="59"/>
        <v/>
      </c>
      <c r="AH255" s="50" t="str">
        <f t="shared" si="63"/>
        <v>COMMENT ON COLUMN TB_POPUP.MOVE_URL IS '클릭시 이동 URL' ;</v>
      </c>
    </row>
    <row r="256" spans="1:34" ht="20.100000000000001" customHeight="1">
      <c r="A256" s="55">
        <v>260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555</v>
      </c>
      <c r="Q256" s="126" t="s">
        <v>560</v>
      </c>
      <c r="R256" s="85"/>
      <c r="S256" s="112" t="s">
        <v>226</v>
      </c>
      <c r="T256" s="130"/>
      <c r="U256" s="130"/>
      <c r="V256" s="123" t="s">
        <v>529</v>
      </c>
      <c r="W256" s="90"/>
      <c r="X256" s="130"/>
      <c r="Y256" s="129" t="str">
        <f t="shared" si="60"/>
        <v>TB_POPUP</v>
      </c>
      <c r="Z256" s="50" t="str">
        <f t="shared" si="64"/>
        <v>REGISTER_ID VARCHAR(50) NOT NULL,</v>
      </c>
      <c r="AA256" s="50" t="str">
        <f t="shared" si="61"/>
        <v/>
      </c>
      <c r="AB256" s="50" t="str">
        <f t="shared" si="62"/>
        <v/>
      </c>
      <c r="AC256" s="50" t="str">
        <f t="shared" si="73"/>
        <v/>
      </c>
      <c r="AD256" s="50" t="str">
        <f t="shared" si="56"/>
        <v>ALTER TABLE TB_POPUP ALTER COLUMN REGISTER_ID TYPE VARCHAR(50);</v>
      </c>
      <c r="AE256" s="50" t="str">
        <f t="shared" si="57"/>
        <v>ALTER TABLE TB_POPUP ADD COLUMN REGISTER_ID VARCHAR(50) NOT NULL;</v>
      </c>
      <c r="AF256" s="50" t="str">
        <f t="shared" si="58"/>
        <v>ALTER TABLE TB_POPUP DROP COLUMN REGISTER_ID;</v>
      </c>
      <c r="AG256" s="50" t="str">
        <f t="shared" si="59"/>
        <v/>
      </c>
      <c r="AH256" s="50" t="str">
        <f t="shared" si="63"/>
        <v>COMMENT ON COLUMN TB_POPUP.REGISTER_ID IS '등록자 ID' ;</v>
      </c>
    </row>
    <row r="257" spans="1:34" ht="20.100000000000001" customHeight="1">
      <c r="A257" s="55">
        <v>261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561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60"/>
        <v>TB_POPUP</v>
      </c>
      <c r="Z257" s="50" t="str">
        <f t="shared" si="64"/>
        <v>REGISTER_IP VARCHAR(100) NOT NULL,</v>
      </c>
      <c r="AA257" s="50" t="str">
        <f t="shared" si="61"/>
        <v/>
      </c>
      <c r="AB257" s="50" t="str">
        <f t="shared" si="62"/>
        <v/>
      </c>
      <c r="AC257" s="50" t="str">
        <f t="shared" si="73"/>
        <v/>
      </c>
      <c r="AD257" s="50" t="str">
        <f t="shared" si="56"/>
        <v>ALTER TABLE TB_POPUP ALTER COLUMN REGISTER_IP TYPE VARCHAR(100);</v>
      </c>
      <c r="AE257" s="50" t="str">
        <f t="shared" si="57"/>
        <v>ALTER TABLE TB_POPUP ADD COLUMN REGISTER_IP VARCHAR(100) NOT NULL;</v>
      </c>
      <c r="AF257" s="50" t="str">
        <f t="shared" si="58"/>
        <v>ALTER TABLE TB_POPUP DROP COLUMN REGISTER_IP;</v>
      </c>
      <c r="AG257" s="50" t="str">
        <f t="shared" si="59"/>
        <v/>
      </c>
      <c r="AH257" s="50" t="str">
        <f t="shared" si="63"/>
        <v>COMMENT ON COLUMN TB_POPUP.REGISTER_IP IS '등록자 IP' ;</v>
      </c>
    </row>
    <row r="258" spans="1:34" ht="20.100000000000001" customHeight="1">
      <c r="A258" s="55">
        <v>262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749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60"/>
        <v>TB_POPUP</v>
      </c>
      <c r="Z258" s="50" t="str">
        <f t="shared" si="64"/>
        <v>REG_DT TIMESTAMP NOT NULL,</v>
      </c>
      <c r="AA258" s="50" t="str">
        <f t="shared" si="61"/>
        <v/>
      </c>
      <c r="AB258" s="50" t="str">
        <f t="shared" si="62"/>
        <v/>
      </c>
      <c r="AC258" s="50" t="str">
        <f t="shared" si="73"/>
        <v/>
      </c>
      <c r="AD258" s="50" t="str">
        <f t="shared" si="56"/>
        <v>ALTER TABLE TB_POPUP ALTER COLUMN REG_DT TYPE TIMESTAMP;</v>
      </c>
      <c r="AE258" s="50" t="str">
        <f t="shared" si="57"/>
        <v>ALTER TABLE TB_POPUP ADD COLUMN REG_DT TIMESTAMP NOT NULL;</v>
      </c>
      <c r="AF258" s="50" t="str">
        <f t="shared" si="58"/>
        <v>ALTER TABLE TB_POPUP DROP COLUMN REG_DT;</v>
      </c>
      <c r="AG258" s="50" t="str">
        <f t="shared" si="59"/>
        <v/>
      </c>
      <c r="AH258" s="50" t="str">
        <f t="shared" si="63"/>
        <v>COMMENT ON COLUMN TB_POPUP.REG_DT IS '등록 일시' ;</v>
      </c>
    </row>
    <row r="259" spans="1:34" ht="20.100000000000001" customHeight="1">
      <c r="A259" s="55">
        <v>263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555</v>
      </c>
      <c r="Q259" s="126" t="s">
        <v>560</v>
      </c>
      <c r="R259" s="85"/>
      <c r="S259" s="112" t="s">
        <v>223</v>
      </c>
      <c r="T259" s="130"/>
      <c r="U259" s="130"/>
      <c r="V259" s="123" t="s">
        <v>529</v>
      </c>
      <c r="W259" s="90"/>
      <c r="X259" s="130"/>
      <c r="Y259" s="129" t="str">
        <f t="shared" si="60"/>
        <v>TB_POPUP</v>
      </c>
      <c r="Z259" s="50" t="str">
        <f t="shared" si="64"/>
        <v>UPDUSR_ID VARCHAR(50),</v>
      </c>
      <c r="AA259" s="50" t="str">
        <f t="shared" si="61"/>
        <v/>
      </c>
      <c r="AB259" s="50" t="str">
        <f t="shared" si="62"/>
        <v/>
      </c>
      <c r="AC259" s="50" t="str">
        <f t="shared" si="73"/>
        <v/>
      </c>
      <c r="AD259" s="50" t="str">
        <f t="shared" si="56"/>
        <v>ALTER TABLE TB_POPUP ALTER COLUMN UPDUSR_ID TYPE VARCHAR(50);</v>
      </c>
      <c r="AE259" s="50" t="str">
        <f t="shared" si="57"/>
        <v>ALTER TABLE TB_POPUP ADD COLUMN UPDUSR_ID VARCHAR(50);</v>
      </c>
      <c r="AF259" s="50" t="str">
        <f t="shared" si="58"/>
        <v>ALTER TABLE TB_POPUP DROP COLUMN UPDUSR_ID;</v>
      </c>
      <c r="AG259" s="50" t="str">
        <f t="shared" si="59"/>
        <v/>
      </c>
      <c r="AH259" s="50" t="str">
        <f t="shared" si="63"/>
        <v>COMMENT ON COLUMN TB_POPUP.UPDUSR_ID IS '수정자 ID' ;</v>
      </c>
    </row>
    <row r="260" spans="1:34" ht="20.100000000000001" customHeight="1">
      <c r="A260" s="55">
        <v>264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561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60"/>
        <v>TB_POPUP</v>
      </c>
      <c r="Z260" s="50" t="str">
        <f t="shared" si="64"/>
        <v>UPDUSR_IP VARCHAR(100),</v>
      </c>
      <c r="AA260" s="50" t="str">
        <f t="shared" si="61"/>
        <v/>
      </c>
      <c r="AB260" s="50" t="str">
        <f t="shared" si="62"/>
        <v/>
      </c>
      <c r="AC260" s="50" t="str">
        <f t="shared" si="73"/>
        <v/>
      </c>
      <c r="AD260" s="50" t="str">
        <f t="shared" si="56"/>
        <v>ALTER TABLE TB_POPUP ALTER COLUMN UPDUSR_IP TYPE VARCHAR(100);</v>
      </c>
      <c r="AE260" s="50" t="str">
        <f t="shared" si="57"/>
        <v>ALTER TABLE TB_POPUP ADD COLUMN UPDUSR_IP VARCHAR(100);</v>
      </c>
      <c r="AF260" s="50" t="str">
        <f t="shared" si="58"/>
        <v>ALTER TABLE TB_POPUP DROP COLUMN UPDUSR_IP;</v>
      </c>
      <c r="AG260" s="50" t="str">
        <f t="shared" si="59"/>
        <v/>
      </c>
      <c r="AH260" s="50" t="str">
        <f t="shared" si="63"/>
        <v>COMMENT ON COLUMN TB_POPUP.UPDUSR_IP IS '수정자 IP' ;</v>
      </c>
    </row>
    <row r="261" spans="1:34" ht="20.100000000000001" customHeight="1">
      <c r="A261" s="55">
        <v>265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749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60"/>
        <v>TB_POPUP</v>
      </c>
      <c r="Z261" s="50" t="str">
        <f t="shared" si="64"/>
        <v>UPDT_DT TIMESTAMP,</v>
      </c>
      <c r="AA261" s="50" t="str">
        <f t="shared" si="61"/>
        <v/>
      </c>
      <c r="AB261" s="50" t="str">
        <f t="shared" si="62"/>
        <v/>
      </c>
      <c r="AC261" s="50" t="str">
        <f t="shared" si="73"/>
        <v/>
      </c>
      <c r="AD261" s="50" t="str">
        <f t="shared" si="56"/>
        <v>ALTER TABLE TB_POPUP ALTER COLUMN UPDT_DT TYPE TIMESTAMP;</v>
      </c>
      <c r="AE261" s="50" t="str">
        <f t="shared" si="57"/>
        <v>ALTER TABLE TB_POPUP ADD COLUMN UPDT_DT TIMESTAMP;</v>
      </c>
      <c r="AF261" s="50" t="str">
        <f t="shared" si="58"/>
        <v>ALTER TABLE TB_POPUP DROP COLUMN UPDT_DT;</v>
      </c>
      <c r="AG261" s="50" t="str">
        <f t="shared" si="59"/>
        <v/>
      </c>
      <c r="AH261" s="50" t="str">
        <f t="shared" si="63"/>
        <v>COMMENT ON COLUMN TB_POPUP.UPDT_DT IS '수정 일시' ;</v>
      </c>
    </row>
    <row r="262" spans="1:34" ht="20.100000000000001" customHeight="1">
      <c r="A262" s="55">
        <v>266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556</v>
      </c>
      <c r="R262" s="87" t="s">
        <v>604</v>
      </c>
      <c r="S262" s="112" t="s">
        <v>220</v>
      </c>
      <c r="T262" s="130"/>
      <c r="U262" s="130"/>
      <c r="V262" s="109"/>
      <c r="W262" s="90"/>
      <c r="X262" s="130"/>
      <c r="Y262" s="129" t="str">
        <f t="shared" si="60"/>
        <v>TB_POPUP</v>
      </c>
      <c r="Z262" s="50" t="str">
        <f t="shared" si="64"/>
        <v>DEL_YN VARCHAR(1) NOT NULL,</v>
      </c>
      <c r="AA262" s="50" t="str">
        <f t="shared" si="61"/>
        <v/>
      </c>
      <c r="AB262" s="50" t="str">
        <f t="shared" si="62"/>
        <v/>
      </c>
      <c r="AC262" s="50" t="str">
        <f t="shared" si="73"/>
        <v/>
      </c>
      <c r="AD262" s="50" t="str">
        <f t="shared" ref="AD262:AD325" si="74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5">"ALTER TABLE "&amp;$D262&amp;" ADD COLUMN "&amp;$G262&amp;" "&amp;$P262&amp;IF(ISBLANK(Q262),"",$Q262)&amp;IF(ISBLANK($I262),""," NOT NULL")&amp;IF(ISBLANK($R262),""," DEFAULT "&amp;$R262)&amp;";"</f>
        <v>ALTER TABLE TB_POPUP ADD COLUMN DEL_YN VARCHAR(1) NOT NULL DEFAULT 'N';</v>
      </c>
      <c r="AF262" s="50" t="str">
        <f t="shared" ref="AF262:AF325" si="76">"ALTER TABLE "&amp;$D262&amp;" DROP COLUMN "&amp;$G262&amp;";"</f>
        <v>ALTER TABLE TB_POPUP DROP COLUMN DEL_YN;</v>
      </c>
      <c r="AG262" s="50" t="str">
        <f t="shared" ref="AG262:AG325" si="77">IF(ISBLANK($R262),"","ALTER TABLE " &amp; $D262 &amp; " ALTER COLUMN " &amp; G262 &amp; " SET DEFAULT " &amp; $R262 &amp; ";")</f>
        <v>ALTER TABLE TB_POPUP ALTER COLUMN DEL_YN SET DEFAULT 'N';</v>
      </c>
      <c r="AH262" s="50" t="str">
        <f t="shared" si="63"/>
        <v>COMMENT ON COLUMN TB_POPUP.DEL_YN IS '삭제 여부' ;</v>
      </c>
    </row>
    <row r="263" spans="1:34" ht="20.100000000000001" customHeight="1">
      <c r="A263" s="55">
        <v>267</v>
      </c>
      <c r="B263" s="26" t="s">
        <v>7</v>
      </c>
      <c r="C263" s="26" t="s">
        <v>677</v>
      </c>
      <c r="D263" s="11" t="s">
        <v>680</v>
      </c>
      <c r="E263" s="10" t="s">
        <v>678</v>
      </c>
      <c r="F263" s="92">
        <v>1</v>
      </c>
      <c r="G263" s="102" t="s">
        <v>681</v>
      </c>
      <c r="H263" s="102" t="s">
        <v>679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689</v>
      </c>
      <c r="Q263" s="126"/>
      <c r="R263" s="87"/>
      <c r="S263" s="102" t="s">
        <v>696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8">D263</f>
        <v>TB_QESTNAR_GROUP</v>
      </c>
      <c r="Z263" s="50" t="str">
        <f t="shared" si="64"/>
        <v>QESTNAR_GROUP_SN INTEGER PRIMARY KEY,</v>
      </c>
      <c r="AA263" s="50" t="str">
        <f t="shared" si="61"/>
        <v/>
      </c>
      <c r="AB263" s="50" t="str">
        <f t="shared" si="62"/>
        <v>CREATE SEQUENCE SEQ_TB_QESTNAR_GROUP_SN START 100000;</v>
      </c>
      <c r="AC263" s="50" t="str">
        <f t="shared" si="73"/>
        <v>ALTER TABLE TB_QESTNAR_GROUP ALTER COLUMN QESTNAR_GROUP_SN SET DEFAULT NEXTVAL('SEQ_TB_QESTNAR_GROUP_SN');</v>
      </c>
      <c r="AD263" s="50" t="str">
        <f t="shared" si="74"/>
        <v>ALTER TABLE TB_QESTNAR_GROUP ALTER COLUMN QESTNAR_GROUP_SN TYPE INTEGER;</v>
      </c>
      <c r="AE263" s="50" t="str">
        <f t="shared" si="75"/>
        <v>ALTER TABLE TB_QESTNAR_GROUP ADD COLUMN QESTNAR_GROUP_SN INTEGER NOT NULL;</v>
      </c>
      <c r="AF263" s="50" t="str">
        <f t="shared" si="76"/>
        <v>ALTER TABLE TB_QESTNAR_GROUP DROP COLUMN QESTNAR_GROUP_SN;</v>
      </c>
      <c r="AG263" s="50" t="str">
        <f t="shared" si="77"/>
        <v/>
      </c>
      <c r="AH263" s="50" t="str">
        <f t="shared" ref="AH263:AH269" si="79">"COMMENT ON COLUMN "&amp;D263&amp;"."&amp;G263&amp;" IS '"&amp;S263&amp;"' ;"</f>
        <v>COMMENT ON COLUMN TB_QESTNAR_GROUP.QESTNAR_GROUP_SN IS '설문조사 그룹 일련번호' ;</v>
      </c>
    </row>
    <row r="264" spans="1:34" ht="20.100000000000001" customHeight="1">
      <c r="A264" s="55">
        <v>268</v>
      </c>
      <c r="B264" s="26" t="s">
        <v>7</v>
      </c>
      <c r="C264" s="26" t="s">
        <v>677</v>
      </c>
      <c r="D264" s="11" t="s">
        <v>680</v>
      </c>
      <c r="E264" s="10" t="s">
        <v>678</v>
      </c>
      <c r="F264" s="92">
        <v>2</v>
      </c>
      <c r="G264" s="102" t="s">
        <v>683</v>
      </c>
      <c r="H264" s="102" t="s">
        <v>682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690</v>
      </c>
      <c r="Q264" s="126" t="s">
        <v>560</v>
      </c>
      <c r="R264" s="87"/>
      <c r="S264" s="102" t="s">
        <v>697</v>
      </c>
      <c r="T264" s="130"/>
      <c r="U264" s="130"/>
      <c r="V264" s="109"/>
      <c r="W264" s="90"/>
      <c r="X264" s="130"/>
      <c r="Y264" s="129" t="str">
        <f t="shared" si="78"/>
        <v>TB_QESTNAR_GROUP</v>
      </c>
      <c r="Z264" s="50" t="str">
        <f t="shared" si="64"/>
        <v>QESTNAR_GROUP_CD VARCHAR(50) NOT NULL,</v>
      </c>
      <c r="AA264" s="50" t="str">
        <f t="shared" si="61"/>
        <v/>
      </c>
      <c r="AB264" s="50" t="str">
        <f t="shared" si="62"/>
        <v/>
      </c>
      <c r="AC264" s="50" t="str">
        <f t="shared" si="73"/>
        <v/>
      </c>
      <c r="AD264" s="50" t="str">
        <f t="shared" si="74"/>
        <v>ALTER TABLE TB_QESTNAR_GROUP ALTER COLUMN QESTNAR_GROUP_CD TYPE VARCHAR(50);</v>
      </c>
      <c r="AE264" s="50" t="str">
        <f t="shared" si="75"/>
        <v>ALTER TABLE TB_QESTNAR_GROUP ADD COLUMN QESTNAR_GROUP_CD VARCHAR(50) NOT NULL;</v>
      </c>
      <c r="AF264" s="50" t="str">
        <f t="shared" si="76"/>
        <v>ALTER TABLE TB_QESTNAR_GROUP DROP COLUMN QESTNAR_GROUP_CD;</v>
      </c>
      <c r="AG264" s="50" t="str">
        <f t="shared" si="77"/>
        <v/>
      </c>
      <c r="AH264" s="50" t="str">
        <f t="shared" si="79"/>
        <v>COMMENT ON COLUMN TB_QESTNAR_GROUP.QESTNAR_GROUP_CD IS '설문조사 그룹 코드' ;</v>
      </c>
    </row>
    <row r="265" spans="1:34" ht="20.100000000000001" customHeight="1">
      <c r="A265" s="55">
        <v>269</v>
      </c>
      <c r="B265" s="26" t="s">
        <v>7</v>
      </c>
      <c r="C265" s="26" t="s">
        <v>677</v>
      </c>
      <c r="D265" s="11" t="s">
        <v>680</v>
      </c>
      <c r="E265" s="10" t="s">
        <v>678</v>
      </c>
      <c r="F265" s="92">
        <v>3</v>
      </c>
      <c r="G265" s="102" t="s">
        <v>687</v>
      </c>
      <c r="H265" s="102" t="s">
        <v>684</v>
      </c>
      <c r="I265" s="75"/>
      <c r="J265" s="69"/>
      <c r="K265" s="69"/>
      <c r="L265" s="69"/>
      <c r="M265" s="69"/>
      <c r="N265" s="69"/>
      <c r="O265" s="69"/>
      <c r="P265" s="62" t="s">
        <v>690</v>
      </c>
      <c r="Q265" s="126" t="s">
        <v>561</v>
      </c>
      <c r="R265" s="87"/>
      <c r="S265" s="102" t="s">
        <v>698</v>
      </c>
      <c r="T265" s="130"/>
      <c r="U265" s="130"/>
      <c r="V265" s="109"/>
      <c r="W265" s="90"/>
      <c r="X265" s="130"/>
      <c r="Y265" s="129" t="str">
        <f t="shared" si="78"/>
        <v>TB_QESTNAR_GROUP</v>
      </c>
      <c r="Z265" s="50" t="str">
        <f t="shared" si="64"/>
        <v>QESTNAR_GROUP_NM VARCHAR(100),</v>
      </c>
      <c r="AA265" s="50" t="str">
        <f t="shared" si="61"/>
        <v/>
      </c>
      <c r="AB265" s="50" t="str">
        <f t="shared" si="62"/>
        <v/>
      </c>
      <c r="AC265" s="50" t="str">
        <f t="shared" si="73"/>
        <v/>
      </c>
      <c r="AD265" s="50" t="str">
        <f t="shared" si="74"/>
        <v>ALTER TABLE TB_QESTNAR_GROUP ALTER COLUMN QESTNAR_GROUP_NM TYPE VARCHAR(100);</v>
      </c>
      <c r="AE265" s="50" t="str">
        <f t="shared" si="75"/>
        <v>ALTER TABLE TB_QESTNAR_GROUP ADD COLUMN QESTNAR_GROUP_NM VARCHAR(100);</v>
      </c>
      <c r="AF265" s="50" t="str">
        <f t="shared" si="76"/>
        <v>ALTER TABLE TB_QESTNAR_GROUP DROP COLUMN QESTNAR_GROUP_NM;</v>
      </c>
      <c r="AG265" s="50" t="str">
        <f t="shared" si="77"/>
        <v/>
      </c>
      <c r="AH265" s="50" t="str">
        <f t="shared" si="79"/>
        <v>COMMENT ON COLUMN TB_QESTNAR_GROUP.QESTNAR_GROUP_NM IS '설문조사 그룹 이름' ;</v>
      </c>
    </row>
    <row r="266" spans="1:34" ht="20.100000000000001" customHeight="1">
      <c r="A266" s="55">
        <v>270</v>
      </c>
      <c r="B266" s="26" t="s">
        <v>7</v>
      </c>
      <c r="C266" s="26" t="s">
        <v>677</v>
      </c>
      <c r="D266" s="11" t="s">
        <v>680</v>
      </c>
      <c r="E266" s="10" t="s">
        <v>678</v>
      </c>
      <c r="F266" s="92">
        <v>4</v>
      </c>
      <c r="G266" s="102" t="s">
        <v>688</v>
      </c>
      <c r="H266" s="102" t="s">
        <v>685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562</v>
      </c>
      <c r="R266" s="87"/>
      <c r="S266" s="102" t="s">
        <v>699</v>
      </c>
      <c r="T266" s="130"/>
      <c r="U266" s="130"/>
      <c r="V266" s="109"/>
      <c r="W266" s="90"/>
      <c r="X266" s="130"/>
      <c r="Y266" s="129" t="str">
        <f t="shared" si="78"/>
        <v>TB_QESTNAR_GROUP</v>
      </c>
      <c r="Z266" s="50" t="str">
        <f t="shared" si="64"/>
        <v>QESTNAR_GROUP_DC VARCHAR(255),</v>
      </c>
      <c r="AA266" s="50" t="str">
        <f t="shared" si="61"/>
        <v/>
      </c>
      <c r="AB266" s="50" t="str">
        <f t="shared" si="62"/>
        <v/>
      </c>
      <c r="AC266" s="50" t="str">
        <f t="shared" si="73"/>
        <v/>
      </c>
      <c r="AD266" s="50" t="str">
        <f t="shared" si="74"/>
        <v>ALTER TABLE TB_QESTNAR_GROUP ALTER COLUMN QESTNAR_GROUP_DC TYPE VARCHAR(255);</v>
      </c>
      <c r="AE266" s="50" t="str">
        <f t="shared" si="75"/>
        <v>ALTER TABLE TB_QESTNAR_GROUP ADD COLUMN QESTNAR_GROUP_DC VARCHAR(255);</v>
      </c>
      <c r="AF266" s="50" t="str">
        <f t="shared" si="76"/>
        <v>ALTER TABLE TB_QESTNAR_GROUP DROP COLUMN QESTNAR_GROUP_DC;</v>
      </c>
      <c r="AG266" s="50" t="str">
        <f t="shared" si="77"/>
        <v/>
      </c>
      <c r="AH266" s="50" t="str">
        <f t="shared" si="79"/>
        <v>COMMENT ON COLUMN TB_QESTNAR_GROUP.QESTNAR_GROUP_DC IS '설문조사 그룹 설명' ;</v>
      </c>
    </row>
    <row r="267" spans="1:34" ht="20.100000000000001" customHeight="1">
      <c r="A267" s="55">
        <v>271</v>
      </c>
      <c r="B267" s="26" t="s">
        <v>7</v>
      </c>
      <c r="C267" s="26" t="s">
        <v>677</v>
      </c>
      <c r="D267" s="11" t="s">
        <v>680</v>
      </c>
      <c r="E267" s="10" t="s">
        <v>678</v>
      </c>
      <c r="F267" s="92">
        <v>5</v>
      </c>
      <c r="G267" s="102" t="s">
        <v>691</v>
      </c>
      <c r="H267" s="102" t="s">
        <v>693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556</v>
      </c>
      <c r="R267" s="87"/>
      <c r="S267" s="112" t="s">
        <v>692</v>
      </c>
      <c r="T267" s="130"/>
      <c r="U267" s="130" t="s">
        <v>694</v>
      </c>
      <c r="V267" s="109"/>
      <c r="W267" s="90"/>
      <c r="X267" s="130"/>
      <c r="Y267" s="129" t="str">
        <f t="shared" si="78"/>
        <v>TB_QESTNAR_GROUP</v>
      </c>
      <c r="Z267" s="50" t="str">
        <f t="shared" si="64"/>
        <v>PRIVCY_YN VARCHAR(1) NOT NULL,</v>
      </c>
      <c r="AA267" s="50" t="str">
        <f t="shared" si="61"/>
        <v/>
      </c>
      <c r="AB267" s="50" t="str">
        <f t="shared" si="62"/>
        <v/>
      </c>
      <c r="AC267" s="50" t="str">
        <f t="shared" si="73"/>
        <v/>
      </c>
      <c r="AD267" s="50" t="str">
        <f t="shared" si="74"/>
        <v>ALTER TABLE TB_QESTNAR_GROUP ALTER COLUMN PRIVCY_YN TYPE VARCHAR(1);</v>
      </c>
      <c r="AE267" s="50" t="str">
        <f t="shared" si="75"/>
        <v>ALTER TABLE TB_QESTNAR_GROUP ADD COLUMN PRIVCY_YN VARCHAR(1) NOT NULL;</v>
      </c>
      <c r="AF267" s="50" t="str">
        <f t="shared" si="76"/>
        <v>ALTER TABLE TB_QESTNAR_GROUP DROP COLUMN PRIVCY_YN;</v>
      </c>
      <c r="AG267" s="50" t="str">
        <f t="shared" si="77"/>
        <v/>
      </c>
      <c r="AH267" s="50" t="str">
        <f t="shared" si="79"/>
        <v>COMMENT ON COLUMN TB_QESTNAR_GROUP.PRIVCY_YN IS '프라이버시 여부' ;</v>
      </c>
    </row>
    <row r="268" spans="1:34" ht="20.100000000000001" customHeight="1">
      <c r="A268" s="55">
        <v>272</v>
      </c>
      <c r="B268" s="26" t="s">
        <v>7</v>
      </c>
      <c r="C268" s="26" t="s">
        <v>677</v>
      </c>
      <c r="D268" s="11" t="s">
        <v>680</v>
      </c>
      <c r="E268" s="10" t="s">
        <v>678</v>
      </c>
      <c r="F268" s="92">
        <v>6</v>
      </c>
      <c r="G268" s="102" t="s">
        <v>426</v>
      </c>
      <c r="H268" s="102" t="s">
        <v>686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556</v>
      </c>
      <c r="R268" s="87"/>
      <c r="S268" s="112" t="s">
        <v>695</v>
      </c>
      <c r="T268" s="130"/>
      <c r="U268" s="130"/>
      <c r="V268" s="109"/>
      <c r="W268" s="90"/>
      <c r="X268" s="130"/>
      <c r="Y268" s="129" t="str">
        <f t="shared" si="78"/>
        <v>TB_QESTNAR_GROUP</v>
      </c>
      <c r="Z268" s="50" t="str">
        <f t="shared" si="64"/>
        <v>USE_YN VARCHAR(1) NOT NULL,</v>
      </c>
      <c r="AA268" s="50" t="str">
        <f t="shared" si="61"/>
        <v/>
      </c>
      <c r="AB268" s="50" t="str">
        <f t="shared" si="62"/>
        <v/>
      </c>
      <c r="AC268" s="50" t="str">
        <f t="shared" si="73"/>
        <v/>
      </c>
      <c r="AD268" s="50" t="str">
        <f t="shared" si="74"/>
        <v>ALTER TABLE TB_QESTNAR_GROUP ALTER COLUMN USE_YN TYPE VARCHAR(1);</v>
      </c>
      <c r="AE268" s="50" t="str">
        <f t="shared" si="75"/>
        <v>ALTER TABLE TB_QESTNAR_GROUP ADD COLUMN USE_YN VARCHAR(1) NOT NULL;</v>
      </c>
      <c r="AF268" s="50" t="str">
        <f t="shared" si="76"/>
        <v>ALTER TABLE TB_QESTNAR_GROUP DROP COLUMN USE_YN;</v>
      </c>
      <c r="AG268" s="50" t="str">
        <f t="shared" si="77"/>
        <v/>
      </c>
      <c r="AH268" s="50" t="str">
        <f t="shared" si="79"/>
        <v>COMMENT ON COLUMN TB_QESTNAR_GROUP.USE_YN IS '사용 여부' ;</v>
      </c>
    </row>
    <row r="269" spans="1:34" ht="20.100000000000001" customHeight="1">
      <c r="A269" s="55">
        <v>273</v>
      </c>
      <c r="B269" s="26" t="s">
        <v>7</v>
      </c>
      <c r="C269" s="26" t="s">
        <v>677</v>
      </c>
      <c r="D269" s="11" t="s">
        <v>680</v>
      </c>
      <c r="E269" s="10" t="s">
        <v>678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555</v>
      </c>
      <c r="Q269" s="126" t="s">
        <v>560</v>
      </c>
      <c r="R269" s="85"/>
      <c r="S269" s="112" t="s">
        <v>226</v>
      </c>
      <c r="T269" s="130"/>
      <c r="U269" s="130"/>
      <c r="V269" s="123" t="s">
        <v>529</v>
      </c>
      <c r="W269" s="90"/>
      <c r="X269" s="130"/>
      <c r="Y269" s="129" t="str">
        <f t="shared" ref="Y269:Y275" si="80">D269</f>
        <v>TB_QESTNAR_GROUP</v>
      </c>
      <c r="Z269" s="50" t="str">
        <f t="shared" si="64"/>
        <v>REGISTER_ID VARCHAR(50) NOT NULL,</v>
      </c>
      <c r="AA269" s="50" t="str">
        <f t="shared" si="61"/>
        <v/>
      </c>
      <c r="AB269" s="50" t="str">
        <f t="shared" si="62"/>
        <v/>
      </c>
      <c r="AC269" s="50" t="str">
        <f t="shared" si="73"/>
        <v/>
      </c>
      <c r="AD269" s="50" t="str">
        <f t="shared" si="74"/>
        <v>ALTER TABLE TB_QESTNAR_GROUP ALTER COLUMN REGISTER_ID TYPE VARCHAR(50);</v>
      </c>
      <c r="AE269" s="50" t="str">
        <f t="shared" si="75"/>
        <v>ALTER TABLE TB_QESTNAR_GROUP ADD COLUMN REGISTER_ID VARCHAR(50) NOT NULL;</v>
      </c>
      <c r="AF269" s="50" t="str">
        <f t="shared" si="76"/>
        <v>ALTER TABLE TB_QESTNAR_GROUP DROP COLUMN REGISTER_ID;</v>
      </c>
      <c r="AG269" s="50" t="str">
        <f t="shared" si="77"/>
        <v/>
      </c>
      <c r="AH269" s="50" t="str">
        <f t="shared" si="79"/>
        <v>COMMENT ON COLUMN TB_QESTNAR_GROUP.REGISTER_ID IS '등록자 ID' ;</v>
      </c>
    </row>
    <row r="270" spans="1:34" ht="20.100000000000001" customHeight="1">
      <c r="A270" s="55">
        <v>274</v>
      </c>
      <c r="B270" s="26" t="s">
        <v>7</v>
      </c>
      <c r="C270" s="26" t="s">
        <v>677</v>
      </c>
      <c r="D270" s="11" t="s">
        <v>680</v>
      </c>
      <c r="E270" s="10" t="s">
        <v>678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561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80"/>
        <v>TB_QESTNAR_GROUP</v>
      </c>
      <c r="Z270" s="50" t="str">
        <f t="shared" si="64"/>
        <v>REGISTER_IP VARCHAR(100) NOT NULL,</v>
      </c>
      <c r="AA270" s="50" t="str">
        <f t="shared" si="61"/>
        <v/>
      </c>
      <c r="AB270" s="50" t="str">
        <f t="shared" si="62"/>
        <v/>
      </c>
      <c r="AC270" s="50" t="str">
        <f t="shared" si="73"/>
        <v/>
      </c>
      <c r="AD270" s="50" t="str">
        <f t="shared" si="74"/>
        <v>ALTER TABLE TB_QESTNAR_GROUP ALTER COLUMN REGISTER_IP TYPE VARCHAR(100);</v>
      </c>
      <c r="AE270" s="50" t="str">
        <f t="shared" si="75"/>
        <v>ALTER TABLE TB_QESTNAR_GROUP ADD COLUMN REGISTER_IP VARCHAR(100) NOT NULL;</v>
      </c>
      <c r="AF270" s="50" t="str">
        <f t="shared" si="76"/>
        <v>ALTER TABLE TB_QESTNAR_GROUP DROP COLUMN REGISTER_IP;</v>
      </c>
      <c r="AG270" s="50" t="str">
        <f t="shared" si="77"/>
        <v/>
      </c>
      <c r="AH270" s="50" t="str">
        <f t="shared" ref="AH270:AH275" si="81">"COMMENT ON COLUMN "&amp;D270&amp;"."&amp;G270&amp;" IS '"&amp;S270&amp;"' ;"</f>
        <v>COMMENT ON COLUMN TB_QESTNAR_GROUP.REGISTER_IP IS '등록자 IP' ;</v>
      </c>
    </row>
    <row r="271" spans="1:34" ht="20.100000000000001" customHeight="1">
      <c r="A271" s="55">
        <v>275</v>
      </c>
      <c r="B271" s="26" t="s">
        <v>7</v>
      </c>
      <c r="C271" s="26" t="s">
        <v>677</v>
      </c>
      <c r="D271" s="11" t="s">
        <v>680</v>
      </c>
      <c r="E271" s="10" t="s">
        <v>678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749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80"/>
        <v>TB_QESTNAR_GROUP</v>
      </c>
      <c r="Z271" s="50" t="str">
        <f t="shared" si="64"/>
        <v>REG_DT TIMESTAMP NOT NULL,</v>
      </c>
      <c r="AA271" s="50" t="str">
        <f t="shared" si="61"/>
        <v/>
      </c>
      <c r="AB271" s="50" t="str">
        <f t="shared" si="62"/>
        <v/>
      </c>
      <c r="AC271" s="50" t="str">
        <f t="shared" si="73"/>
        <v/>
      </c>
      <c r="AD271" s="50" t="str">
        <f t="shared" si="74"/>
        <v>ALTER TABLE TB_QESTNAR_GROUP ALTER COLUMN REG_DT TYPE TIMESTAMP;</v>
      </c>
      <c r="AE271" s="50" t="str">
        <f t="shared" si="75"/>
        <v>ALTER TABLE TB_QESTNAR_GROUP ADD COLUMN REG_DT TIMESTAMP NOT NULL;</v>
      </c>
      <c r="AF271" s="50" t="str">
        <f t="shared" si="76"/>
        <v>ALTER TABLE TB_QESTNAR_GROUP DROP COLUMN REG_DT;</v>
      </c>
      <c r="AG271" s="50" t="str">
        <f t="shared" si="77"/>
        <v/>
      </c>
      <c r="AH271" s="50" t="str">
        <f t="shared" si="81"/>
        <v>COMMENT ON COLUMN TB_QESTNAR_GROUP.REG_DT IS '등록 일시' ;</v>
      </c>
    </row>
    <row r="272" spans="1:34" ht="20.100000000000001" customHeight="1">
      <c r="A272" s="55">
        <v>276</v>
      </c>
      <c r="B272" s="26" t="s">
        <v>7</v>
      </c>
      <c r="C272" s="26" t="s">
        <v>677</v>
      </c>
      <c r="D272" s="11" t="s">
        <v>680</v>
      </c>
      <c r="E272" s="10" t="s">
        <v>678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555</v>
      </c>
      <c r="Q272" s="126" t="s">
        <v>560</v>
      </c>
      <c r="R272" s="85"/>
      <c r="S272" s="112" t="s">
        <v>223</v>
      </c>
      <c r="T272" s="130"/>
      <c r="U272" s="130"/>
      <c r="V272" s="123" t="s">
        <v>529</v>
      </c>
      <c r="W272" s="90"/>
      <c r="X272" s="130"/>
      <c r="Y272" s="129" t="str">
        <f t="shared" si="80"/>
        <v>TB_QESTNAR_GROUP</v>
      </c>
      <c r="Z272" s="50" t="str">
        <f t="shared" si="64"/>
        <v>UPDUSR_ID VARCHAR(50),</v>
      </c>
      <c r="AA272" s="50" t="str">
        <f t="shared" si="61"/>
        <v/>
      </c>
      <c r="AB272" s="50" t="str">
        <f t="shared" si="62"/>
        <v/>
      </c>
      <c r="AC272" s="50" t="str">
        <f t="shared" si="73"/>
        <v/>
      </c>
      <c r="AD272" s="50" t="str">
        <f t="shared" si="74"/>
        <v>ALTER TABLE TB_QESTNAR_GROUP ALTER COLUMN UPDUSR_ID TYPE VARCHAR(50);</v>
      </c>
      <c r="AE272" s="50" t="str">
        <f t="shared" si="75"/>
        <v>ALTER TABLE TB_QESTNAR_GROUP ADD COLUMN UPDUSR_ID VARCHAR(50);</v>
      </c>
      <c r="AF272" s="50" t="str">
        <f t="shared" si="76"/>
        <v>ALTER TABLE TB_QESTNAR_GROUP DROP COLUMN UPDUSR_ID;</v>
      </c>
      <c r="AG272" s="50" t="str">
        <f t="shared" si="77"/>
        <v/>
      </c>
      <c r="AH272" s="50" t="str">
        <f t="shared" si="81"/>
        <v>COMMENT ON COLUMN TB_QESTNAR_GROUP.UPDUSR_ID IS '수정자 ID' ;</v>
      </c>
    </row>
    <row r="273" spans="1:34" ht="20.100000000000001" customHeight="1">
      <c r="A273" s="55">
        <v>277</v>
      </c>
      <c r="B273" s="26" t="s">
        <v>7</v>
      </c>
      <c r="C273" s="26" t="s">
        <v>677</v>
      </c>
      <c r="D273" s="11" t="s">
        <v>680</v>
      </c>
      <c r="E273" s="10" t="s">
        <v>678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561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80"/>
        <v>TB_QESTNAR_GROUP</v>
      </c>
      <c r="Z273" s="50" t="str">
        <f t="shared" si="64"/>
        <v>UPDUSR_IP VARCHAR(100),</v>
      </c>
      <c r="AA273" s="50" t="str">
        <f t="shared" si="61"/>
        <v/>
      </c>
      <c r="AB273" s="50" t="str">
        <f t="shared" si="62"/>
        <v/>
      </c>
      <c r="AC273" s="50" t="str">
        <f t="shared" si="73"/>
        <v/>
      </c>
      <c r="AD273" s="50" t="str">
        <f t="shared" si="74"/>
        <v>ALTER TABLE TB_QESTNAR_GROUP ALTER COLUMN UPDUSR_IP TYPE VARCHAR(100);</v>
      </c>
      <c r="AE273" s="50" t="str">
        <f t="shared" si="75"/>
        <v>ALTER TABLE TB_QESTNAR_GROUP ADD COLUMN UPDUSR_IP VARCHAR(100);</v>
      </c>
      <c r="AF273" s="50" t="str">
        <f t="shared" si="76"/>
        <v>ALTER TABLE TB_QESTNAR_GROUP DROP COLUMN UPDUSR_IP;</v>
      </c>
      <c r="AG273" s="50" t="str">
        <f t="shared" si="77"/>
        <v/>
      </c>
      <c r="AH273" s="50" t="str">
        <f t="shared" si="81"/>
        <v>COMMENT ON COLUMN TB_QESTNAR_GROUP.UPDUSR_IP IS '수정자 IP' ;</v>
      </c>
    </row>
    <row r="274" spans="1:34" ht="20.100000000000001" customHeight="1">
      <c r="A274" s="55">
        <v>278</v>
      </c>
      <c r="B274" s="26" t="s">
        <v>7</v>
      </c>
      <c r="C274" s="26" t="s">
        <v>677</v>
      </c>
      <c r="D274" s="11" t="s">
        <v>680</v>
      </c>
      <c r="E274" s="10" t="s">
        <v>678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749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80"/>
        <v>TB_QESTNAR_GROUP</v>
      </c>
      <c r="Z274" s="50" t="str">
        <f t="shared" si="64"/>
        <v>UPDT_DT TIMESTAMP,</v>
      </c>
      <c r="AA274" s="50" t="str">
        <f t="shared" si="61"/>
        <v/>
      </c>
      <c r="AB274" s="50" t="str">
        <f t="shared" si="62"/>
        <v/>
      </c>
      <c r="AC274" s="50" t="str">
        <f t="shared" si="73"/>
        <v/>
      </c>
      <c r="AD274" s="50" t="str">
        <f t="shared" si="74"/>
        <v>ALTER TABLE TB_QESTNAR_GROUP ALTER COLUMN UPDT_DT TYPE TIMESTAMP;</v>
      </c>
      <c r="AE274" s="50" t="str">
        <f t="shared" si="75"/>
        <v>ALTER TABLE TB_QESTNAR_GROUP ADD COLUMN UPDT_DT TIMESTAMP;</v>
      </c>
      <c r="AF274" s="50" t="str">
        <f t="shared" si="76"/>
        <v>ALTER TABLE TB_QESTNAR_GROUP DROP COLUMN UPDT_DT;</v>
      </c>
      <c r="AG274" s="50" t="str">
        <f t="shared" si="77"/>
        <v/>
      </c>
      <c r="AH274" s="50" t="str">
        <f t="shared" si="81"/>
        <v>COMMENT ON COLUMN TB_QESTNAR_GROUP.UPDT_DT IS '수정 일시' ;</v>
      </c>
    </row>
    <row r="275" spans="1:34" ht="20.100000000000001" customHeight="1">
      <c r="A275" s="55">
        <v>279</v>
      </c>
      <c r="B275" s="26" t="s">
        <v>7</v>
      </c>
      <c r="C275" s="26" t="s">
        <v>677</v>
      </c>
      <c r="D275" s="11" t="s">
        <v>680</v>
      </c>
      <c r="E275" s="10" t="s">
        <v>678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556</v>
      </c>
      <c r="R275" s="87" t="s">
        <v>604</v>
      </c>
      <c r="S275" s="112" t="s">
        <v>220</v>
      </c>
      <c r="T275" s="130"/>
      <c r="U275" s="130"/>
      <c r="V275" s="109"/>
      <c r="W275" s="90"/>
      <c r="X275" s="130"/>
      <c r="Y275" s="129" t="str">
        <f t="shared" si="80"/>
        <v>TB_QESTNAR_GROUP</v>
      </c>
      <c r="Z275" s="50" t="str">
        <f t="shared" si="64"/>
        <v>DEL_YN VARCHAR(1) NOT NULL,</v>
      </c>
      <c r="AA275" s="50" t="str">
        <f t="shared" si="61"/>
        <v/>
      </c>
      <c r="AB275" s="50" t="str">
        <f t="shared" si="62"/>
        <v/>
      </c>
      <c r="AC275" s="50" t="str">
        <f t="shared" si="73"/>
        <v/>
      </c>
      <c r="AD275" s="50" t="str">
        <f t="shared" si="74"/>
        <v>ALTER TABLE TB_QESTNAR_GROUP ALTER COLUMN DEL_YN TYPE VARCHAR(1);</v>
      </c>
      <c r="AE275" s="50" t="str">
        <f t="shared" si="75"/>
        <v>ALTER TABLE TB_QESTNAR_GROUP ADD COLUMN DEL_YN VARCHAR(1) NOT NULL DEFAULT 'N';</v>
      </c>
      <c r="AF275" s="50" t="str">
        <f t="shared" si="76"/>
        <v>ALTER TABLE TB_QESTNAR_GROUP DROP COLUMN DEL_YN;</v>
      </c>
      <c r="AG275" s="50" t="str">
        <f t="shared" si="77"/>
        <v>ALTER TABLE TB_QESTNAR_GROUP ALTER COLUMN DEL_YN SET DEFAULT 'N';</v>
      </c>
      <c r="AH275" s="50" t="str">
        <f t="shared" si="81"/>
        <v>COMMENT ON COLUMN TB_QESTNAR_GROUP.DEL_YN IS '삭제 여부' ;</v>
      </c>
    </row>
    <row r="276" spans="1:34" ht="20.100000000000001" customHeight="1">
      <c r="A276" s="55">
        <v>280</v>
      </c>
      <c r="B276" s="26" t="s">
        <v>7</v>
      </c>
      <c r="C276" s="26" t="s">
        <v>677</v>
      </c>
      <c r="D276" s="11" t="s">
        <v>702</v>
      </c>
      <c r="E276" s="10" t="s">
        <v>700</v>
      </c>
      <c r="F276" s="92">
        <v>1</v>
      </c>
      <c r="G276" s="102" t="s">
        <v>703</v>
      </c>
      <c r="H276" s="102" t="s">
        <v>701</v>
      </c>
      <c r="I276" s="75" t="s">
        <v>716</v>
      </c>
      <c r="J276" s="69">
        <v>1</v>
      </c>
      <c r="K276" s="69"/>
      <c r="L276" s="69"/>
      <c r="M276" s="69"/>
      <c r="N276" s="69"/>
      <c r="O276" s="69"/>
      <c r="P276" s="62" t="s">
        <v>689</v>
      </c>
      <c r="Q276" s="126"/>
      <c r="R276" s="87"/>
      <c r="S276" s="102" t="s">
        <v>746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82">D276</f>
        <v>TB_QESTNAR_QESTN</v>
      </c>
      <c r="Z276" s="50" t="str">
        <f t="shared" si="64"/>
        <v>QESTNAR_QESTN_SN INTEGER PRIMARY KEY,</v>
      </c>
      <c r="AA276" s="50" t="str">
        <f t="shared" si="61"/>
        <v/>
      </c>
      <c r="AB276" s="50" t="str">
        <f t="shared" si="62"/>
        <v>CREATE SEQUENCE SEQ_TB_QESTNAR_QESTN_SN START 100000;</v>
      </c>
      <c r="AC276" s="50" t="str">
        <f t="shared" si="73"/>
        <v>ALTER TABLE TB_QESTNAR_QESTN ALTER COLUMN QESTNAR_QESTN_SN SET DEFAULT NEXTVAL('SEQ_TB_QESTNAR_QESTN_SN');</v>
      </c>
      <c r="AD276" s="50" t="str">
        <f t="shared" si="74"/>
        <v>ALTER TABLE TB_QESTNAR_QESTN ALTER COLUMN QESTNAR_QESTN_SN TYPE INTEGER;</v>
      </c>
      <c r="AE276" s="50" t="str">
        <f t="shared" si="75"/>
        <v>ALTER TABLE TB_QESTNAR_QESTN ADD COLUMN QESTNAR_QESTN_SN INTEGER NOT NULL;</v>
      </c>
      <c r="AF276" s="50" t="str">
        <f t="shared" si="76"/>
        <v>ALTER TABLE TB_QESTNAR_QESTN DROP COLUMN QESTNAR_QESTN_SN;</v>
      </c>
      <c r="AG276" s="50" t="str">
        <f t="shared" si="77"/>
        <v/>
      </c>
      <c r="AH276" s="50" t="str">
        <f t="shared" ref="AH276:AH322" si="83">"COMMENT ON COLUMN "&amp;D276&amp;"."&amp;G276&amp;" IS '"&amp;S276&amp;"' ;"</f>
        <v>COMMENT ON COLUMN TB_QESTNAR_QESTN.QESTNAR_QESTN_SN IS '설문조사 질문 일련번호' ;</v>
      </c>
    </row>
    <row r="277" spans="1:34" ht="20.100000000000001" customHeight="1">
      <c r="A277" s="55">
        <v>281</v>
      </c>
      <c r="B277" s="26" t="s">
        <v>7</v>
      </c>
      <c r="C277" s="26" t="s">
        <v>677</v>
      </c>
      <c r="D277" s="11" t="s">
        <v>702</v>
      </c>
      <c r="E277" s="10" t="s">
        <v>700</v>
      </c>
      <c r="F277" s="92">
        <v>2</v>
      </c>
      <c r="G277" s="102" t="s">
        <v>681</v>
      </c>
      <c r="H277" s="102" t="s">
        <v>679</v>
      </c>
      <c r="I277" s="75" t="s">
        <v>716</v>
      </c>
      <c r="J277" s="69"/>
      <c r="K277" s="69">
        <v>1</v>
      </c>
      <c r="L277" s="11" t="s">
        <v>680</v>
      </c>
      <c r="M277" s="102" t="s">
        <v>681</v>
      </c>
      <c r="N277" s="101" t="s">
        <v>574</v>
      </c>
      <c r="O277" s="101" t="s">
        <v>575</v>
      </c>
      <c r="P277" s="62" t="s">
        <v>689</v>
      </c>
      <c r="Q277" s="126"/>
      <c r="R277" s="87"/>
      <c r="S277" s="102" t="s">
        <v>696</v>
      </c>
      <c r="T277" s="130"/>
      <c r="U277" s="130"/>
      <c r="V277" s="109"/>
      <c r="W277" s="90"/>
      <c r="X277" s="130"/>
      <c r="Y277" s="129" t="str">
        <f t="shared" si="82"/>
        <v>TB_QESTNAR_QESTN</v>
      </c>
      <c r="Z277" s="50" t="str">
        <f t="shared" si="64"/>
        <v>QESTNAR_GROUP_SN INTEGER NOT NULL,</v>
      </c>
      <c r="AA277" s="50" t="str">
        <f t="shared" si="61"/>
        <v>ALTER TABLE TB_QESTNAR_QESTN ADD CONSTRAINT TB_QESTNAR_QESTN_FKEY1 FOREIGN KEY(QESTNAR_GROUP_SN) REFERENCES TB_QESTNAR_GROUP(QESTNAR_GROUP_SN) ON UPDATE CASCADE ON DELETE SET NULL;</v>
      </c>
      <c r="AB277" s="50" t="str">
        <f t="shared" si="62"/>
        <v/>
      </c>
      <c r="AC277" s="50" t="str">
        <f t="shared" si="73"/>
        <v/>
      </c>
      <c r="AD277" s="50" t="str">
        <f t="shared" si="74"/>
        <v>ALTER TABLE TB_QESTNAR_QESTN ALTER COLUMN QESTNAR_GROUP_SN TYPE INTEGER;</v>
      </c>
      <c r="AE277" s="50" t="str">
        <f t="shared" si="75"/>
        <v>ALTER TABLE TB_QESTNAR_QESTN ADD COLUMN QESTNAR_GROUP_SN INTEGER NOT NULL;</v>
      </c>
      <c r="AF277" s="50" t="str">
        <f t="shared" si="76"/>
        <v>ALTER TABLE TB_QESTNAR_QESTN DROP COLUMN QESTNAR_GROUP_SN;</v>
      </c>
      <c r="AG277" s="50" t="str">
        <f t="shared" si="77"/>
        <v/>
      </c>
      <c r="AH277" s="50" t="str">
        <f t="shared" si="83"/>
        <v>COMMENT ON COLUMN TB_QESTNAR_QESTN.QESTNAR_GROUP_SN IS '설문조사 그룹 일련번호' ;</v>
      </c>
    </row>
    <row r="278" spans="1:34" ht="20.100000000000001" customHeight="1">
      <c r="A278" s="55">
        <v>282</v>
      </c>
      <c r="B278" s="26" t="s">
        <v>7</v>
      </c>
      <c r="C278" s="26" t="s">
        <v>677</v>
      </c>
      <c r="D278" s="11" t="s">
        <v>702</v>
      </c>
      <c r="E278" s="10" t="s">
        <v>700</v>
      </c>
      <c r="F278" s="92">
        <v>3</v>
      </c>
      <c r="G278" s="106" t="s">
        <v>704</v>
      </c>
      <c r="H278" s="106" t="s">
        <v>708</v>
      </c>
      <c r="I278" s="75" t="s">
        <v>72</v>
      </c>
      <c r="J278" s="45"/>
      <c r="K278" s="45"/>
      <c r="L278" s="45"/>
      <c r="M278" s="45"/>
      <c r="N278" s="45"/>
      <c r="O278" s="45"/>
      <c r="P278" s="105" t="s">
        <v>178</v>
      </c>
      <c r="Q278" s="47" t="s">
        <v>200</v>
      </c>
      <c r="R278" s="45"/>
      <c r="S278" s="106" t="s">
        <v>712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82"/>
        <v>TB_QESTNAR_QESTN</v>
      </c>
      <c r="Z278" s="50" t="str">
        <f t="shared" si="64"/>
        <v>QESTNAR_QESTN_SEQ NUMERIC(10,3) NOT NULL,</v>
      </c>
      <c r="AA278" s="50" t="str">
        <f t="shared" si="61"/>
        <v/>
      </c>
      <c r="AB278" s="50" t="str">
        <f t="shared" si="62"/>
        <v>CREATE SEQUENCE SEQ_TB_QESTNAR_QESTN_SEQ START 100000;</v>
      </c>
      <c r="AC278" s="50" t="str">
        <f t="shared" si="73"/>
        <v>ALTER TABLE TB_QESTNAR_QESTN ALTER COLUMN QESTNAR_QESTN_SEQ SET DEFAULT NEXTVAL('SEQ_TB_QESTNAR_QESTN_SEQ');</v>
      </c>
      <c r="AD278" s="50" t="str">
        <f t="shared" si="74"/>
        <v>ALTER TABLE TB_QESTNAR_QESTN ALTER COLUMN QESTNAR_QESTN_SEQ TYPE NUMERIC(10,3);</v>
      </c>
      <c r="AE278" s="50" t="str">
        <f t="shared" si="75"/>
        <v>ALTER TABLE TB_QESTNAR_QESTN ADD COLUMN QESTNAR_QESTN_SEQ NUMERIC(10,3) NOT NULL;</v>
      </c>
      <c r="AF278" s="50" t="str">
        <f t="shared" si="76"/>
        <v>ALTER TABLE TB_QESTNAR_QESTN DROP COLUMN QESTNAR_QESTN_SEQ;</v>
      </c>
      <c r="AG278" s="50" t="str">
        <f t="shared" si="77"/>
        <v/>
      </c>
      <c r="AH278" s="50" t="str">
        <f t="shared" si="83"/>
        <v>COMMENT ON COLUMN TB_QESTNAR_QESTN.QESTNAR_QESTN_SEQ IS '설문조사 질문 순번' ;</v>
      </c>
    </row>
    <row r="279" spans="1:34" ht="20.100000000000001" customHeight="1">
      <c r="A279" s="55">
        <v>283</v>
      </c>
      <c r="B279" s="26" t="s">
        <v>7</v>
      </c>
      <c r="C279" s="26" t="s">
        <v>677</v>
      </c>
      <c r="D279" s="11" t="s">
        <v>702</v>
      </c>
      <c r="E279" s="10" t="s">
        <v>700</v>
      </c>
      <c r="F279" s="92">
        <v>4</v>
      </c>
      <c r="G279" s="106" t="s">
        <v>705</v>
      </c>
      <c r="H279" s="106" t="s">
        <v>709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560</v>
      </c>
      <c r="R279" s="45"/>
      <c r="S279" s="106" t="s">
        <v>713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82"/>
        <v>TB_QESTNAR_QESTN</v>
      </c>
      <c r="Z279" s="50" t="str">
        <f t="shared" si="64"/>
        <v>QESTNAR_QESTN_ITEM_TY_CD VARCHAR(50) NOT NULL,</v>
      </c>
      <c r="AA279" s="50" t="str">
        <f t="shared" si="61"/>
        <v/>
      </c>
      <c r="AB279" s="50" t="str">
        <f t="shared" si="62"/>
        <v/>
      </c>
      <c r="AC279" s="50" t="str">
        <f t="shared" si="73"/>
        <v/>
      </c>
      <c r="AD279" s="50" t="str">
        <f t="shared" si="74"/>
        <v>ALTER TABLE TB_QESTNAR_QESTN ALTER COLUMN QESTNAR_QESTN_ITEM_TY_CD TYPE VARCHAR(50);</v>
      </c>
      <c r="AE279" s="50" t="str">
        <f t="shared" si="75"/>
        <v>ALTER TABLE TB_QESTNAR_QESTN ADD COLUMN QESTNAR_QESTN_ITEM_TY_CD VARCHAR(50) NOT NULL;</v>
      </c>
      <c r="AF279" s="50" t="str">
        <f t="shared" si="76"/>
        <v>ALTER TABLE TB_QESTNAR_QESTN DROP COLUMN QESTNAR_QESTN_ITEM_TY_CD;</v>
      </c>
      <c r="AG279" s="50" t="str">
        <f t="shared" si="77"/>
        <v/>
      </c>
      <c r="AH279" s="50" t="str">
        <f t="shared" si="83"/>
        <v>COMMENT ON COLUMN TB_QESTNAR_QESTN.QESTNAR_QESTN_ITEM_TY_CD IS '설문조사 질문 항목 유형 코드' ;</v>
      </c>
    </row>
    <row r="280" spans="1:34" ht="20.100000000000001" customHeight="1">
      <c r="A280" s="55">
        <v>284</v>
      </c>
      <c r="B280" s="26" t="s">
        <v>7</v>
      </c>
      <c r="C280" s="26" t="s">
        <v>677</v>
      </c>
      <c r="D280" s="11" t="s">
        <v>702</v>
      </c>
      <c r="E280" s="10" t="s">
        <v>700</v>
      </c>
      <c r="F280" s="92">
        <v>5</v>
      </c>
      <c r="G280" s="106" t="s">
        <v>706</v>
      </c>
      <c r="H280" s="106" t="s">
        <v>710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564</v>
      </c>
      <c r="R280" s="45"/>
      <c r="S280" s="106" t="s">
        <v>714</v>
      </c>
      <c r="T280" s="83"/>
      <c r="U280" s="83"/>
      <c r="V280" s="106"/>
      <c r="W280" s="45"/>
      <c r="X280" s="83"/>
      <c r="Y280" s="129" t="str">
        <f t="shared" si="82"/>
        <v>TB_QESTNAR_QESTN</v>
      </c>
      <c r="Z280" s="50" t="str">
        <f t="shared" si="64"/>
        <v>QESTNAR_QESTN_ITEM_CN VARCHAR(2000),</v>
      </c>
      <c r="AA280" s="50" t="str">
        <f t="shared" si="61"/>
        <v/>
      </c>
      <c r="AB280" s="50" t="str">
        <f t="shared" si="62"/>
        <v/>
      </c>
      <c r="AC280" s="50" t="str">
        <f t="shared" si="73"/>
        <v/>
      </c>
      <c r="AD280" s="50" t="str">
        <f t="shared" si="74"/>
        <v>ALTER TABLE TB_QESTNAR_QESTN ALTER COLUMN QESTNAR_QESTN_ITEM_CN TYPE VARCHAR(2000);</v>
      </c>
      <c r="AE280" s="50" t="str">
        <f t="shared" si="75"/>
        <v>ALTER TABLE TB_QESTNAR_QESTN ADD COLUMN QESTNAR_QESTN_ITEM_CN VARCHAR(2000);</v>
      </c>
      <c r="AF280" s="50" t="str">
        <f t="shared" si="76"/>
        <v>ALTER TABLE TB_QESTNAR_QESTN DROP COLUMN QESTNAR_QESTN_ITEM_CN;</v>
      </c>
      <c r="AG280" s="50" t="str">
        <f t="shared" si="77"/>
        <v/>
      </c>
      <c r="AH280" s="50" t="str">
        <f t="shared" si="83"/>
        <v>COMMENT ON COLUMN TB_QESTNAR_QESTN.QESTNAR_QESTN_ITEM_CN IS '설문조사 질문 항목' ;</v>
      </c>
    </row>
    <row r="281" spans="1:34" ht="20.100000000000001" customHeight="1">
      <c r="A281" s="55">
        <v>285</v>
      </c>
      <c r="B281" s="26" t="s">
        <v>7</v>
      </c>
      <c r="C281" s="26" t="s">
        <v>677</v>
      </c>
      <c r="D281" s="11" t="s">
        <v>702</v>
      </c>
      <c r="E281" s="10" t="s">
        <v>700</v>
      </c>
      <c r="F281" s="92">
        <v>6</v>
      </c>
      <c r="G281" s="106" t="s">
        <v>707</v>
      </c>
      <c r="H281" s="106" t="s">
        <v>711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556</v>
      </c>
      <c r="R281" s="86"/>
      <c r="S281" s="112" t="s">
        <v>715</v>
      </c>
      <c r="T281" s="130"/>
      <c r="U281" s="130"/>
      <c r="V281" s="106" t="s">
        <v>324</v>
      </c>
      <c r="W281" s="45"/>
      <c r="X281" s="83"/>
      <c r="Y281" s="129" t="str">
        <f t="shared" si="82"/>
        <v>TB_QESTNAR_QESTN</v>
      </c>
      <c r="Z281" s="50" t="str">
        <f t="shared" si="64"/>
        <v>QESTNAR_QESTN_ESSNTL_YN VARCHAR(1) NOT NULL,</v>
      </c>
      <c r="AA281" s="50" t="str">
        <f t="shared" si="61"/>
        <v/>
      </c>
      <c r="AB281" s="50" t="str">
        <f t="shared" si="62"/>
        <v/>
      </c>
      <c r="AC281" s="50" t="str">
        <f t="shared" si="73"/>
        <v/>
      </c>
      <c r="AD281" s="50" t="str">
        <f t="shared" si="74"/>
        <v>ALTER TABLE TB_QESTNAR_QESTN ALTER COLUMN QESTNAR_QESTN_ESSNTL_YN TYPE VARCHAR(1);</v>
      </c>
      <c r="AE281" s="50" t="str">
        <f t="shared" si="75"/>
        <v>ALTER TABLE TB_QESTNAR_QESTN ADD COLUMN QESTNAR_QESTN_ESSNTL_YN VARCHAR(1) NOT NULL;</v>
      </c>
      <c r="AF281" s="50" t="str">
        <f t="shared" si="76"/>
        <v>ALTER TABLE TB_QESTNAR_QESTN DROP COLUMN QESTNAR_QESTN_ESSNTL_YN;</v>
      </c>
      <c r="AG281" s="50" t="str">
        <f t="shared" si="77"/>
        <v/>
      </c>
      <c r="AH281" s="50" t="str">
        <f t="shared" si="83"/>
        <v>COMMENT ON COLUMN TB_QESTNAR_QESTN.QESTNAR_QESTN_ESSNTL_YN IS '설문조사 질문 필수 여부' ;</v>
      </c>
    </row>
    <row r="282" spans="1:34" ht="20.100000000000001" customHeight="1">
      <c r="A282" s="55">
        <v>286</v>
      </c>
      <c r="B282" s="26" t="s">
        <v>7</v>
      </c>
      <c r="C282" s="26" t="s">
        <v>677</v>
      </c>
      <c r="D282" s="11" t="s">
        <v>702</v>
      </c>
      <c r="E282" s="10" t="s">
        <v>700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555</v>
      </c>
      <c r="Q282" s="126" t="s">
        <v>560</v>
      </c>
      <c r="R282" s="85"/>
      <c r="S282" s="112" t="s">
        <v>226</v>
      </c>
      <c r="T282" s="130"/>
      <c r="U282" s="130"/>
      <c r="V282" s="123" t="s">
        <v>529</v>
      </c>
      <c r="W282" s="90"/>
      <c r="X282" s="130"/>
      <c r="Y282" s="129" t="str">
        <f t="shared" si="82"/>
        <v>TB_QESTNAR_QESTN</v>
      </c>
      <c r="Z282" s="50" t="str">
        <f t="shared" si="64"/>
        <v>REGISTER_ID VARCHAR(50) NOT NULL,</v>
      </c>
      <c r="AA282" s="50" t="str">
        <f t="shared" si="61"/>
        <v/>
      </c>
      <c r="AB282" s="50" t="str">
        <f t="shared" si="62"/>
        <v/>
      </c>
      <c r="AC282" s="50" t="str">
        <f t="shared" si="73"/>
        <v/>
      </c>
      <c r="AD282" s="50" t="str">
        <f t="shared" si="74"/>
        <v>ALTER TABLE TB_QESTNAR_QESTN ALTER COLUMN REGISTER_ID TYPE VARCHAR(50);</v>
      </c>
      <c r="AE282" s="50" t="str">
        <f t="shared" si="75"/>
        <v>ALTER TABLE TB_QESTNAR_QESTN ADD COLUMN REGISTER_ID VARCHAR(50) NOT NULL;</v>
      </c>
      <c r="AF282" s="50" t="str">
        <f t="shared" si="76"/>
        <v>ALTER TABLE TB_QESTNAR_QESTN DROP COLUMN REGISTER_ID;</v>
      </c>
      <c r="AG282" s="50" t="str">
        <f t="shared" si="77"/>
        <v/>
      </c>
      <c r="AH282" s="50" t="str">
        <f t="shared" si="83"/>
        <v>COMMENT ON COLUMN TB_QESTNAR_QESTN.REGISTER_ID IS '등록자 ID' ;</v>
      </c>
    </row>
    <row r="283" spans="1:34" ht="20.100000000000001" customHeight="1">
      <c r="A283" s="55">
        <v>287</v>
      </c>
      <c r="B283" s="26" t="s">
        <v>7</v>
      </c>
      <c r="C283" s="26" t="s">
        <v>677</v>
      </c>
      <c r="D283" s="11" t="s">
        <v>702</v>
      </c>
      <c r="E283" s="10" t="s">
        <v>700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561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82"/>
        <v>TB_QESTNAR_QESTN</v>
      </c>
      <c r="Z283" s="50" t="str">
        <f t="shared" si="64"/>
        <v>REGISTER_IP VARCHAR(100) NOT NULL,</v>
      </c>
      <c r="AA283" s="50" t="str">
        <f t="shared" si="61"/>
        <v/>
      </c>
      <c r="AB283" s="50" t="str">
        <f t="shared" si="62"/>
        <v/>
      </c>
      <c r="AC283" s="50" t="str">
        <f t="shared" si="73"/>
        <v/>
      </c>
      <c r="AD283" s="50" t="str">
        <f t="shared" si="74"/>
        <v>ALTER TABLE TB_QESTNAR_QESTN ALTER COLUMN REGISTER_IP TYPE VARCHAR(100);</v>
      </c>
      <c r="AE283" s="50" t="str">
        <f t="shared" si="75"/>
        <v>ALTER TABLE TB_QESTNAR_QESTN ADD COLUMN REGISTER_IP VARCHAR(100) NOT NULL;</v>
      </c>
      <c r="AF283" s="50" t="str">
        <f t="shared" si="76"/>
        <v>ALTER TABLE TB_QESTNAR_QESTN DROP COLUMN REGISTER_IP;</v>
      </c>
      <c r="AG283" s="50" t="str">
        <f t="shared" si="77"/>
        <v/>
      </c>
      <c r="AH283" s="50" t="str">
        <f t="shared" si="83"/>
        <v>COMMENT ON COLUMN TB_QESTNAR_QESTN.REGISTER_IP IS '등록자 IP' ;</v>
      </c>
    </row>
    <row r="284" spans="1:34" ht="20.100000000000001" customHeight="1">
      <c r="A284" s="55">
        <v>288</v>
      </c>
      <c r="B284" s="26" t="s">
        <v>7</v>
      </c>
      <c r="C284" s="26" t="s">
        <v>677</v>
      </c>
      <c r="D284" s="11" t="s">
        <v>702</v>
      </c>
      <c r="E284" s="10" t="s">
        <v>700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749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82"/>
        <v>TB_QESTNAR_QESTN</v>
      </c>
      <c r="Z284" s="50" t="str">
        <f t="shared" si="64"/>
        <v>REG_DT TIMESTAMP NOT NULL,</v>
      </c>
      <c r="AA284" s="50" t="str">
        <f t="shared" si="61"/>
        <v/>
      </c>
      <c r="AB284" s="50" t="str">
        <f t="shared" si="62"/>
        <v/>
      </c>
      <c r="AC284" s="50" t="str">
        <f t="shared" si="73"/>
        <v/>
      </c>
      <c r="AD284" s="50" t="str">
        <f t="shared" si="74"/>
        <v>ALTER TABLE TB_QESTNAR_QESTN ALTER COLUMN REG_DT TYPE TIMESTAMP;</v>
      </c>
      <c r="AE284" s="50" t="str">
        <f t="shared" si="75"/>
        <v>ALTER TABLE TB_QESTNAR_QESTN ADD COLUMN REG_DT TIMESTAMP NOT NULL;</v>
      </c>
      <c r="AF284" s="50" t="str">
        <f t="shared" si="76"/>
        <v>ALTER TABLE TB_QESTNAR_QESTN DROP COLUMN REG_DT;</v>
      </c>
      <c r="AG284" s="50" t="str">
        <f t="shared" si="77"/>
        <v/>
      </c>
      <c r="AH284" s="50" t="str">
        <f t="shared" si="83"/>
        <v>COMMENT ON COLUMN TB_QESTNAR_QESTN.REG_DT IS '등록 일시' ;</v>
      </c>
    </row>
    <row r="285" spans="1:34" ht="20.100000000000001" customHeight="1">
      <c r="A285" s="55">
        <v>289</v>
      </c>
      <c r="B285" s="26" t="s">
        <v>7</v>
      </c>
      <c r="C285" s="26" t="s">
        <v>677</v>
      </c>
      <c r="D285" s="11" t="s">
        <v>702</v>
      </c>
      <c r="E285" s="10" t="s">
        <v>700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555</v>
      </c>
      <c r="Q285" s="126" t="s">
        <v>560</v>
      </c>
      <c r="R285" s="85"/>
      <c r="S285" s="112" t="s">
        <v>223</v>
      </c>
      <c r="T285" s="130"/>
      <c r="U285" s="130"/>
      <c r="V285" s="123" t="s">
        <v>529</v>
      </c>
      <c r="W285" s="90"/>
      <c r="X285" s="130"/>
      <c r="Y285" s="129" t="str">
        <f t="shared" si="82"/>
        <v>TB_QESTNAR_QESTN</v>
      </c>
      <c r="Z285" s="50" t="str">
        <f t="shared" si="64"/>
        <v>UPDUSR_ID VARCHAR(50),</v>
      </c>
      <c r="AA285" s="50" t="str">
        <f t="shared" si="61"/>
        <v/>
      </c>
      <c r="AB285" s="50" t="str">
        <f t="shared" si="62"/>
        <v/>
      </c>
      <c r="AC285" s="50" t="str">
        <f t="shared" si="73"/>
        <v/>
      </c>
      <c r="AD285" s="50" t="str">
        <f t="shared" si="74"/>
        <v>ALTER TABLE TB_QESTNAR_QESTN ALTER COLUMN UPDUSR_ID TYPE VARCHAR(50);</v>
      </c>
      <c r="AE285" s="50" t="str">
        <f t="shared" si="75"/>
        <v>ALTER TABLE TB_QESTNAR_QESTN ADD COLUMN UPDUSR_ID VARCHAR(50);</v>
      </c>
      <c r="AF285" s="50" t="str">
        <f t="shared" si="76"/>
        <v>ALTER TABLE TB_QESTNAR_QESTN DROP COLUMN UPDUSR_ID;</v>
      </c>
      <c r="AG285" s="50" t="str">
        <f t="shared" si="77"/>
        <v/>
      </c>
      <c r="AH285" s="50" t="str">
        <f t="shared" si="83"/>
        <v>COMMENT ON COLUMN TB_QESTNAR_QESTN.UPDUSR_ID IS '수정자 ID' ;</v>
      </c>
    </row>
    <row r="286" spans="1:34" ht="20.100000000000001" customHeight="1">
      <c r="A286" s="55">
        <v>290</v>
      </c>
      <c r="B286" s="26" t="s">
        <v>7</v>
      </c>
      <c r="C286" s="26" t="s">
        <v>677</v>
      </c>
      <c r="D286" s="11" t="s">
        <v>702</v>
      </c>
      <c r="E286" s="10" t="s">
        <v>700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561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82"/>
        <v>TB_QESTNAR_QESTN</v>
      </c>
      <c r="Z286" s="50" t="str">
        <f t="shared" si="64"/>
        <v>UPDUSR_IP VARCHAR(100),</v>
      </c>
      <c r="AA286" s="50" t="str">
        <f t="shared" si="61"/>
        <v/>
      </c>
      <c r="AB286" s="50" t="str">
        <f t="shared" si="62"/>
        <v/>
      </c>
      <c r="AC286" s="50" t="str">
        <f t="shared" si="73"/>
        <v/>
      </c>
      <c r="AD286" s="50" t="str">
        <f t="shared" si="74"/>
        <v>ALTER TABLE TB_QESTNAR_QESTN ALTER COLUMN UPDUSR_IP TYPE VARCHAR(100);</v>
      </c>
      <c r="AE286" s="50" t="str">
        <f t="shared" si="75"/>
        <v>ALTER TABLE TB_QESTNAR_QESTN ADD COLUMN UPDUSR_IP VARCHAR(100);</v>
      </c>
      <c r="AF286" s="50" t="str">
        <f t="shared" si="76"/>
        <v>ALTER TABLE TB_QESTNAR_QESTN DROP COLUMN UPDUSR_IP;</v>
      </c>
      <c r="AG286" s="50" t="str">
        <f t="shared" si="77"/>
        <v/>
      </c>
      <c r="AH286" s="50" t="str">
        <f t="shared" si="83"/>
        <v>COMMENT ON COLUMN TB_QESTNAR_QESTN.UPDUSR_IP IS '수정자 IP' ;</v>
      </c>
    </row>
    <row r="287" spans="1:34" ht="20.100000000000001" customHeight="1">
      <c r="A287" s="55">
        <v>291</v>
      </c>
      <c r="B287" s="26" t="s">
        <v>7</v>
      </c>
      <c r="C287" s="26" t="s">
        <v>677</v>
      </c>
      <c r="D287" s="11" t="s">
        <v>702</v>
      </c>
      <c r="E287" s="10" t="s">
        <v>700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749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82"/>
        <v>TB_QESTNAR_QESTN</v>
      </c>
      <c r="Z287" s="50" t="str">
        <f t="shared" si="64"/>
        <v>UPDT_DT TIMESTAMP,</v>
      </c>
      <c r="AA287" s="50" t="str">
        <f t="shared" si="61"/>
        <v/>
      </c>
      <c r="AB287" s="50" t="str">
        <f t="shared" si="62"/>
        <v/>
      </c>
      <c r="AC287" s="50" t="str">
        <f t="shared" si="73"/>
        <v/>
      </c>
      <c r="AD287" s="50" t="str">
        <f t="shared" si="74"/>
        <v>ALTER TABLE TB_QESTNAR_QESTN ALTER COLUMN UPDT_DT TYPE TIMESTAMP;</v>
      </c>
      <c r="AE287" s="50" t="str">
        <f t="shared" si="75"/>
        <v>ALTER TABLE TB_QESTNAR_QESTN ADD COLUMN UPDT_DT TIMESTAMP;</v>
      </c>
      <c r="AF287" s="50" t="str">
        <f t="shared" si="76"/>
        <v>ALTER TABLE TB_QESTNAR_QESTN DROP COLUMN UPDT_DT;</v>
      </c>
      <c r="AG287" s="50" t="str">
        <f t="shared" si="77"/>
        <v/>
      </c>
      <c r="AH287" s="50" t="str">
        <f t="shared" si="83"/>
        <v>COMMENT ON COLUMN TB_QESTNAR_QESTN.UPDT_DT IS '수정 일시' ;</v>
      </c>
    </row>
    <row r="288" spans="1:34" ht="20.100000000000001" customHeight="1">
      <c r="A288" s="55">
        <v>292</v>
      </c>
      <c r="B288" s="26" t="s">
        <v>7</v>
      </c>
      <c r="C288" s="26" t="s">
        <v>677</v>
      </c>
      <c r="D288" s="11" t="s">
        <v>702</v>
      </c>
      <c r="E288" s="10" t="s">
        <v>700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556</v>
      </c>
      <c r="R288" s="87" t="s">
        <v>604</v>
      </c>
      <c r="S288" s="112" t="s">
        <v>220</v>
      </c>
      <c r="T288" s="130"/>
      <c r="U288" s="130"/>
      <c r="V288" s="109"/>
      <c r="W288" s="90"/>
      <c r="X288" s="130"/>
      <c r="Y288" s="129" t="str">
        <f t="shared" si="82"/>
        <v>TB_QESTNAR_QESTN</v>
      </c>
      <c r="Z288" s="50" t="str">
        <f t="shared" si="64"/>
        <v>DEL_YN VARCHAR(1) NOT NULL,</v>
      </c>
      <c r="AA288" s="50" t="str">
        <f t="shared" si="61"/>
        <v/>
      </c>
      <c r="AB288" s="50" t="str">
        <f t="shared" si="62"/>
        <v/>
      </c>
      <c r="AC288" s="50" t="str">
        <f t="shared" si="73"/>
        <v/>
      </c>
      <c r="AD288" s="50" t="str">
        <f t="shared" si="74"/>
        <v>ALTER TABLE TB_QESTNAR_QESTN ALTER COLUMN DEL_YN TYPE VARCHAR(1);</v>
      </c>
      <c r="AE288" s="50" t="str">
        <f t="shared" si="75"/>
        <v>ALTER TABLE TB_QESTNAR_QESTN ADD COLUMN DEL_YN VARCHAR(1) NOT NULL DEFAULT 'N';</v>
      </c>
      <c r="AF288" s="50" t="str">
        <f t="shared" si="76"/>
        <v>ALTER TABLE TB_QESTNAR_QESTN DROP COLUMN DEL_YN;</v>
      </c>
      <c r="AG288" s="50" t="str">
        <f t="shared" si="77"/>
        <v>ALTER TABLE TB_QESTNAR_QESTN ALTER COLUMN DEL_YN SET DEFAULT 'N';</v>
      </c>
      <c r="AH288" s="50" t="str">
        <f t="shared" si="83"/>
        <v>COMMENT ON COLUMN TB_QESTNAR_QESTN.DEL_YN IS '삭제 여부' ;</v>
      </c>
    </row>
    <row r="289" spans="1:34" ht="20.100000000000001" customHeight="1">
      <c r="A289" s="55">
        <v>293</v>
      </c>
      <c r="B289" s="26" t="s">
        <v>7</v>
      </c>
      <c r="C289" s="26" t="s">
        <v>677</v>
      </c>
      <c r="D289" s="11" t="s">
        <v>719</v>
      </c>
      <c r="E289" s="10" t="s">
        <v>718</v>
      </c>
      <c r="F289" s="92">
        <v>1</v>
      </c>
      <c r="G289" s="102" t="s">
        <v>720</v>
      </c>
      <c r="H289" s="102" t="s">
        <v>724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728</v>
      </c>
      <c r="T289" s="132" t="str">
        <f>"SEQ_"&amp;D289&amp;"_SN"</f>
        <v>SEQ_TB_QESTNAR_QESTN_DETAIL_SN</v>
      </c>
      <c r="U289" s="132"/>
      <c r="V289" s="106" t="s">
        <v>553</v>
      </c>
      <c r="W289" s="45"/>
      <c r="X289" s="83"/>
      <c r="Y289" s="129" t="str">
        <f t="shared" si="82"/>
        <v>TB_QESTNAR_QESTN_DETAIL</v>
      </c>
      <c r="Z289" s="50" t="str">
        <f t="shared" si="64"/>
        <v>QESTNAR_QESTN_DETAIL_SN INTEGER PRIMARY KEY,</v>
      </c>
      <c r="AA289" s="50" t="str">
        <f t="shared" si="61"/>
        <v/>
      </c>
      <c r="AB289" s="50" t="str">
        <f t="shared" si="62"/>
        <v>CREATE SEQUENCE SEQ_TB_QESTNAR_QESTN_DETAIL_SN START 100000;</v>
      </c>
      <c r="AC289" s="50" t="str">
        <f t="shared" si="73"/>
        <v>ALTER TABLE TB_QESTNAR_QESTN_DETAIL ALTER COLUMN QESTNAR_QESTN_DETAIL_SN SET DEFAULT NEXTVAL('SEQ_TB_QESTNAR_QESTN_DETAIL_SN');</v>
      </c>
      <c r="AD289" s="50" t="str">
        <f t="shared" si="74"/>
        <v>ALTER TABLE TB_QESTNAR_QESTN_DETAIL ALTER COLUMN QESTNAR_QESTN_DETAIL_SN TYPE INTEGER;</v>
      </c>
      <c r="AE289" s="50" t="str">
        <f t="shared" si="75"/>
        <v>ALTER TABLE TB_QESTNAR_QESTN_DETAIL ADD COLUMN QESTNAR_QESTN_DETAIL_SN INTEGER NOT NULL;</v>
      </c>
      <c r="AF289" s="50" t="str">
        <f t="shared" si="76"/>
        <v>ALTER TABLE TB_QESTNAR_QESTN_DETAIL DROP COLUMN QESTNAR_QESTN_DETAIL_SN;</v>
      </c>
      <c r="AG289" s="50" t="str">
        <f t="shared" si="77"/>
        <v/>
      </c>
      <c r="AH289" s="50" t="str">
        <f t="shared" si="83"/>
        <v>COMMENT ON COLUMN TB_QESTNAR_QESTN_DETAIL.QESTNAR_QESTN_DETAIL_SN IS '설문조사 질문 상세 일련번호' ;</v>
      </c>
    </row>
    <row r="290" spans="1:34" ht="20.100000000000001" customHeight="1">
      <c r="A290" s="55">
        <v>294</v>
      </c>
      <c r="B290" s="26" t="s">
        <v>7</v>
      </c>
      <c r="C290" s="26" t="s">
        <v>677</v>
      </c>
      <c r="D290" s="11" t="s">
        <v>717</v>
      </c>
      <c r="E290" s="10" t="s">
        <v>718</v>
      </c>
      <c r="F290" s="92">
        <v>2</v>
      </c>
      <c r="G290" s="106" t="s">
        <v>721</v>
      </c>
      <c r="H290" s="106" t="s">
        <v>725</v>
      </c>
      <c r="I290" s="45" t="s">
        <v>131</v>
      </c>
      <c r="J290" s="45"/>
      <c r="K290" s="45">
        <v>1</v>
      </c>
      <c r="L290" s="11" t="s">
        <v>702</v>
      </c>
      <c r="M290" s="106" t="s">
        <v>721</v>
      </c>
      <c r="N290" s="100" t="s">
        <v>574</v>
      </c>
      <c r="O290" s="100" t="s">
        <v>576</v>
      </c>
      <c r="P290" s="106" t="s">
        <v>177</v>
      </c>
      <c r="Q290" s="97"/>
      <c r="R290" s="45"/>
      <c r="S290" s="106" t="s">
        <v>729</v>
      </c>
      <c r="T290" s="83"/>
      <c r="U290" s="83"/>
      <c r="V290" s="106"/>
      <c r="W290" s="45"/>
      <c r="X290" s="83"/>
      <c r="Y290" s="129" t="str">
        <f t="shared" si="82"/>
        <v>TB_QESTNAR_QESTN_DETAIL</v>
      </c>
      <c r="Z290" s="50" t="str">
        <f t="shared" si="64"/>
        <v>QESTNAR_QESTN_SN INTEGER NOT NULL,</v>
      </c>
      <c r="AA290" s="50" t="str">
        <f t="shared" si="61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62"/>
        <v/>
      </c>
      <c r="AC290" s="50" t="str">
        <f t="shared" si="73"/>
        <v/>
      </c>
      <c r="AD290" s="50" t="str">
        <f t="shared" si="74"/>
        <v>ALTER TABLE TB_QESTNAR_QESTN_DETAIL ALTER COLUMN QESTNAR_QESTN_SN TYPE INTEGER;</v>
      </c>
      <c r="AE290" s="50" t="str">
        <f t="shared" si="75"/>
        <v>ALTER TABLE TB_QESTNAR_QESTN_DETAIL ADD COLUMN QESTNAR_QESTN_SN INTEGER NOT NULL;</v>
      </c>
      <c r="AF290" s="50" t="str">
        <f t="shared" si="76"/>
        <v>ALTER TABLE TB_QESTNAR_QESTN_DETAIL DROP COLUMN QESTNAR_QESTN_SN;</v>
      </c>
      <c r="AG290" s="50" t="str">
        <f t="shared" si="77"/>
        <v/>
      </c>
      <c r="AH290" s="50" t="str">
        <f t="shared" si="83"/>
        <v>COMMENT ON COLUMN TB_QESTNAR_QESTN_DETAIL.QESTNAR_QESTN_SN IS '설문조사 질문 일련번호' ;</v>
      </c>
    </row>
    <row r="291" spans="1:34" ht="20.100000000000001" customHeight="1">
      <c r="A291" s="55">
        <v>295</v>
      </c>
      <c r="B291" s="26" t="s">
        <v>7</v>
      </c>
      <c r="C291" s="26" t="s">
        <v>677</v>
      </c>
      <c r="D291" s="11" t="s">
        <v>717</v>
      </c>
      <c r="E291" s="10" t="s">
        <v>718</v>
      </c>
      <c r="F291" s="92">
        <v>3</v>
      </c>
      <c r="G291" s="102" t="s">
        <v>722</v>
      </c>
      <c r="H291" s="102" t="s">
        <v>726</v>
      </c>
      <c r="I291" s="75"/>
      <c r="J291" s="61"/>
      <c r="K291" s="61"/>
      <c r="L291" s="69"/>
      <c r="M291" s="69"/>
      <c r="N291" s="69"/>
      <c r="O291" s="69"/>
      <c r="P291" s="105" t="s">
        <v>178</v>
      </c>
      <c r="Q291" s="47" t="s">
        <v>200</v>
      </c>
      <c r="R291" s="86"/>
      <c r="S291" s="102" t="s">
        <v>730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82"/>
        <v>TB_QESTNAR_QESTN_DETAIL</v>
      </c>
      <c r="Z291" s="50" t="str">
        <f t="shared" si="64"/>
        <v>QESTNAR_QESTN_DETAIL_SEQ NUMERIC(10,3),</v>
      </c>
      <c r="AA291" s="50" t="str">
        <f t="shared" si="61"/>
        <v/>
      </c>
      <c r="AB291" s="50" t="str">
        <f t="shared" si="62"/>
        <v>CREATE SEQUENCE SEQ_TB_QESTNAR_QESTN_DETAIL_SEQ START 100000;</v>
      </c>
      <c r="AC291" s="50" t="str">
        <f t="shared" si="73"/>
        <v>ALTER TABLE TB_QESTNAR_QESTN_DETAIL ALTER COLUMN QESTNAR_QESTN_DETAIL_SEQ SET DEFAULT NEXTVAL('SEQ_TB_QESTNAR_QESTN_DETAIL_SEQ');</v>
      </c>
      <c r="AD291" s="50" t="str">
        <f t="shared" si="74"/>
        <v>ALTER TABLE TB_QESTNAR_QESTN_DETAIL ALTER COLUMN QESTNAR_QESTN_DETAIL_SEQ TYPE NUMERIC(10,3);</v>
      </c>
      <c r="AE291" s="50" t="str">
        <f t="shared" si="75"/>
        <v>ALTER TABLE TB_QESTNAR_QESTN_DETAIL ADD COLUMN QESTNAR_QESTN_DETAIL_SEQ NUMERIC(10,3);</v>
      </c>
      <c r="AF291" s="50" t="str">
        <f t="shared" si="76"/>
        <v>ALTER TABLE TB_QESTNAR_QESTN_DETAIL DROP COLUMN QESTNAR_QESTN_DETAIL_SEQ;</v>
      </c>
      <c r="AG291" s="50" t="str">
        <f t="shared" si="77"/>
        <v/>
      </c>
      <c r="AH291" s="50" t="str">
        <f t="shared" si="83"/>
        <v>COMMENT ON COLUMN TB_QESTNAR_QESTN_DETAIL.QESTNAR_QESTN_DETAIL_SEQ IS '설문조사 질문 상세 순번' ;</v>
      </c>
    </row>
    <row r="292" spans="1:34" ht="20.100000000000001" customHeight="1">
      <c r="A292" s="55">
        <v>296</v>
      </c>
      <c r="B292" s="26" t="s">
        <v>7</v>
      </c>
      <c r="C292" s="26" t="s">
        <v>677</v>
      </c>
      <c r="D292" s="11" t="s">
        <v>717</v>
      </c>
      <c r="E292" s="10" t="s">
        <v>718</v>
      </c>
      <c r="F292" s="92">
        <v>4</v>
      </c>
      <c r="G292" s="102" t="s">
        <v>723</v>
      </c>
      <c r="H292" s="102" t="s">
        <v>727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564</v>
      </c>
      <c r="R292" s="86"/>
      <c r="S292" s="102" t="s">
        <v>731</v>
      </c>
      <c r="T292" s="83"/>
      <c r="U292" s="83"/>
      <c r="V292" s="106"/>
      <c r="W292" s="45"/>
      <c r="X292" s="83"/>
      <c r="Y292" s="129" t="str">
        <f t="shared" si="82"/>
        <v>TB_QESTNAR_QESTN_DETAIL</v>
      </c>
      <c r="Z292" s="50" t="str">
        <f t="shared" si="64"/>
        <v>QESTNAR_QESTN_DETAIL_CN VARCHAR(2000),</v>
      </c>
      <c r="AA292" s="50" t="str">
        <f t="shared" si="61"/>
        <v/>
      </c>
      <c r="AB292" s="50" t="str">
        <f t="shared" si="62"/>
        <v/>
      </c>
      <c r="AC292" s="50" t="str">
        <f t="shared" si="73"/>
        <v/>
      </c>
      <c r="AD292" s="50" t="str">
        <f t="shared" si="74"/>
        <v>ALTER TABLE TB_QESTNAR_QESTN_DETAIL ALTER COLUMN QESTNAR_QESTN_DETAIL_CN TYPE VARCHAR(2000);</v>
      </c>
      <c r="AE292" s="50" t="str">
        <f t="shared" si="75"/>
        <v>ALTER TABLE TB_QESTNAR_QESTN_DETAIL ADD COLUMN QESTNAR_QESTN_DETAIL_CN VARCHAR(2000);</v>
      </c>
      <c r="AF292" s="50" t="str">
        <f t="shared" si="76"/>
        <v>ALTER TABLE TB_QESTNAR_QESTN_DETAIL DROP COLUMN QESTNAR_QESTN_DETAIL_CN;</v>
      </c>
      <c r="AG292" s="50" t="str">
        <f t="shared" si="77"/>
        <v/>
      </c>
      <c r="AH292" s="50" t="str">
        <f t="shared" si="83"/>
        <v>COMMENT ON COLUMN TB_QESTNAR_QESTN_DETAIL.QESTNAR_QESTN_DETAIL_CN IS '설문조사 질문 상세 내용' ;</v>
      </c>
    </row>
    <row r="293" spans="1:34" ht="20.100000000000001" customHeight="1">
      <c r="A293" s="55">
        <v>297</v>
      </c>
      <c r="B293" s="26" t="s">
        <v>7</v>
      </c>
      <c r="C293" s="26" t="s">
        <v>677</v>
      </c>
      <c r="D293" s="11" t="s">
        <v>717</v>
      </c>
      <c r="E293" s="10" t="s">
        <v>718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555</v>
      </c>
      <c r="Q293" s="126" t="s">
        <v>560</v>
      </c>
      <c r="R293" s="85"/>
      <c r="S293" s="112" t="s">
        <v>226</v>
      </c>
      <c r="T293" s="83"/>
      <c r="U293" s="83"/>
      <c r="V293" s="123" t="s">
        <v>529</v>
      </c>
      <c r="W293" s="45"/>
      <c r="X293" s="83"/>
      <c r="Y293" s="129" t="str">
        <f t="shared" si="82"/>
        <v>TB_QESTNAR_QESTN_DETAIL</v>
      </c>
      <c r="Z293" s="50" t="str">
        <f t="shared" si="64"/>
        <v>REGISTER_ID VARCHAR(50) NOT NULL,</v>
      </c>
      <c r="AA293" s="50" t="str">
        <f t="shared" si="61"/>
        <v/>
      </c>
      <c r="AB293" s="50" t="str">
        <f t="shared" si="62"/>
        <v/>
      </c>
      <c r="AC293" s="50" t="str">
        <f t="shared" si="73"/>
        <v/>
      </c>
      <c r="AD293" s="50" t="str">
        <f t="shared" si="74"/>
        <v>ALTER TABLE TB_QESTNAR_QESTN_DETAIL ALTER COLUMN REGISTER_ID TYPE VARCHAR(50);</v>
      </c>
      <c r="AE293" s="50" t="str">
        <f t="shared" si="75"/>
        <v>ALTER TABLE TB_QESTNAR_QESTN_DETAIL ADD COLUMN REGISTER_ID VARCHAR(50) NOT NULL;</v>
      </c>
      <c r="AF293" s="50" t="str">
        <f t="shared" si="76"/>
        <v>ALTER TABLE TB_QESTNAR_QESTN_DETAIL DROP COLUMN REGISTER_ID;</v>
      </c>
      <c r="AG293" s="50" t="str">
        <f t="shared" si="77"/>
        <v/>
      </c>
      <c r="AH293" s="50" t="str">
        <f t="shared" si="83"/>
        <v>COMMENT ON COLUMN TB_QESTNAR_QESTN_DETAIL.REGISTER_ID IS '등록자 ID' ;</v>
      </c>
    </row>
    <row r="294" spans="1:34" ht="20.100000000000001" customHeight="1">
      <c r="A294" s="55">
        <v>298</v>
      </c>
      <c r="B294" s="26" t="s">
        <v>7</v>
      </c>
      <c r="C294" s="26" t="s">
        <v>677</v>
      </c>
      <c r="D294" s="11" t="s">
        <v>717</v>
      </c>
      <c r="E294" s="10" t="s">
        <v>718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561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82"/>
        <v>TB_QESTNAR_QESTN_DETAIL</v>
      </c>
      <c r="Z294" s="50" t="str">
        <f t="shared" si="64"/>
        <v>REGISTER_IP VARCHAR(100) NOT NULL,</v>
      </c>
      <c r="AA294" s="50" t="str">
        <f t="shared" si="61"/>
        <v/>
      </c>
      <c r="AB294" s="50" t="str">
        <f t="shared" si="62"/>
        <v/>
      </c>
      <c r="AC294" s="50" t="str">
        <f t="shared" si="73"/>
        <v/>
      </c>
      <c r="AD294" s="50" t="str">
        <f t="shared" si="74"/>
        <v>ALTER TABLE TB_QESTNAR_QESTN_DETAIL ALTER COLUMN REGISTER_IP TYPE VARCHAR(100);</v>
      </c>
      <c r="AE294" s="50" t="str">
        <f t="shared" si="75"/>
        <v>ALTER TABLE TB_QESTNAR_QESTN_DETAIL ADD COLUMN REGISTER_IP VARCHAR(100) NOT NULL;</v>
      </c>
      <c r="AF294" s="50" t="str">
        <f t="shared" si="76"/>
        <v>ALTER TABLE TB_QESTNAR_QESTN_DETAIL DROP COLUMN REGISTER_IP;</v>
      </c>
      <c r="AG294" s="50" t="str">
        <f t="shared" si="77"/>
        <v/>
      </c>
      <c r="AH294" s="50" t="str">
        <f t="shared" si="83"/>
        <v>COMMENT ON COLUMN TB_QESTNAR_QESTN_DETAIL.REGISTER_IP IS '등록자 IP' ;</v>
      </c>
    </row>
    <row r="295" spans="1:34" ht="20.100000000000001" customHeight="1">
      <c r="A295" s="55">
        <v>299</v>
      </c>
      <c r="B295" s="26" t="s">
        <v>7</v>
      </c>
      <c r="C295" s="26" t="s">
        <v>677</v>
      </c>
      <c r="D295" s="11" t="s">
        <v>717</v>
      </c>
      <c r="E295" s="10" t="s">
        <v>718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749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82"/>
        <v>TB_QESTNAR_QESTN_DETAIL</v>
      </c>
      <c r="Z295" s="50" t="str">
        <f t="shared" si="64"/>
        <v>REG_DT TIMESTAMP NOT NULL,</v>
      </c>
      <c r="AA295" s="50" t="str">
        <f t="shared" si="61"/>
        <v/>
      </c>
      <c r="AB295" s="50" t="str">
        <f t="shared" si="62"/>
        <v/>
      </c>
      <c r="AC295" s="50" t="str">
        <f t="shared" si="73"/>
        <v/>
      </c>
      <c r="AD295" s="50" t="str">
        <f t="shared" si="74"/>
        <v>ALTER TABLE TB_QESTNAR_QESTN_DETAIL ALTER COLUMN REG_DT TYPE TIMESTAMP;</v>
      </c>
      <c r="AE295" s="50" t="str">
        <f t="shared" si="75"/>
        <v>ALTER TABLE TB_QESTNAR_QESTN_DETAIL ADD COLUMN REG_DT TIMESTAMP NOT NULL;</v>
      </c>
      <c r="AF295" s="50" t="str">
        <f t="shared" si="76"/>
        <v>ALTER TABLE TB_QESTNAR_QESTN_DETAIL DROP COLUMN REG_DT;</v>
      </c>
      <c r="AG295" s="50" t="str">
        <f t="shared" si="77"/>
        <v/>
      </c>
      <c r="AH295" s="50" t="str">
        <f t="shared" si="83"/>
        <v>COMMENT ON COLUMN TB_QESTNAR_QESTN_DETAIL.REG_DT IS '등록 일시' ;</v>
      </c>
    </row>
    <row r="296" spans="1:34" ht="20.100000000000001" customHeight="1">
      <c r="A296" s="55">
        <v>300</v>
      </c>
      <c r="B296" s="26" t="s">
        <v>7</v>
      </c>
      <c r="C296" s="26" t="s">
        <v>677</v>
      </c>
      <c r="D296" s="11" t="s">
        <v>717</v>
      </c>
      <c r="E296" s="10" t="s">
        <v>718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555</v>
      </c>
      <c r="Q296" s="126" t="s">
        <v>560</v>
      </c>
      <c r="R296" s="85"/>
      <c r="S296" s="112" t="s">
        <v>223</v>
      </c>
      <c r="T296" s="83"/>
      <c r="U296" s="83"/>
      <c r="V296" s="123" t="s">
        <v>529</v>
      </c>
      <c r="W296" s="45"/>
      <c r="X296" s="83"/>
      <c r="Y296" s="129" t="str">
        <f t="shared" si="82"/>
        <v>TB_QESTNAR_QESTN_DETAIL</v>
      </c>
      <c r="Z296" s="50" t="str">
        <f t="shared" si="64"/>
        <v>UPDUSR_ID VARCHAR(50),</v>
      </c>
      <c r="AA296" s="50" t="str">
        <f t="shared" si="61"/>
        <v/>
      </c>
      <c r="AB296" s="50" t="str">
        <f t="shared" si="62"/>
        <v/>
      </c>
      <c r="AC296" s="50" t="str">
        <f t="shared" si="73"/>
        <v/>
      </c>
      <c r="AD296" s="50" t="str">
        <f t="shared" si="74"/>
        <v>ALTER TABLE TB_QESTNAR_QESTN_DETAIL ALTER COLUMN UPDUSR_ID TYPE VARCHAR(50);</v>
      </c>
      <c r="AE296" s="50" t="str">
        <f t="shared" si="75"/>
        <v>ALTER TABLE TB_QESTNAR_QESTN_DETAIL ADD COLUMN UPDUSR_ID VARCHAR(50);</v>
      </c>
      <c r="AF296" s="50" t="str">
        <f t="shared" si="76"/>
        <v>ALTER TABLE TB_QESTNAR_QESTN_DETAIL DROP COLUMN UPDUSR_ID;</v>
      </c>
      <c r="AG296" s="50" t="str">
        <f t="shared" si="77"/>
        <v/>
      </c>
      <c r="AH296" s="50" t="str">
        <f t="shared" si="83"/>
        <v>COMMENT ON COLUMN TB_QESTNAR_QESTN_DETAIL.UPDUSR_ID IS '수정자 ID' ;</v>
      </c>
    </row>
    <row r="297" spans="1:34" ht="20.100000000000001" customHeight="1">
      <c r="A297" s="55">
        <v>301</v>
      </c>
      <c r="B297" s="26" t="s">
        <v>7</v>
      </c>
      <c r="C297" s="26" t="s">
        <v>677</v>
      </c>
      <c r="D297" s="11" t="s">
        <v>717</v>
      </c>
      <c r="E297" s="10" t="s">
        <v>718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561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82"/>
        <v>TB_QESTNAR_QESTN_DETAIL</v>
      </c>
      <c r="Z297" s="50" t="str">
        <f t="shared" si="64"/>
        <v>UPDUSR_IP VARCHAR(100),</v>
      </c>
      <c r="AA297" s="50" t="str">
        <f t="shared" si="61"/>
        <v/>
      </c>
      <c r="AB297" s="50" t="str">
        <f t="shared" si="62"/>
        <v/>
      </c>
      <c r="AC297" s="50" t="str">
        <f t="shared" si="73"/>
        <v/>
      </c>
      <c r="AD297" s="50" t="str">
        <f t="shared" si="74"/>
        <v>ALTER TABLE TB_QESTNAR_QESTN_DETAIL ALTER COLUMN UPDUSR_IP TYPE VARCHAR(100);</v>
      </c>
      <c r="AE297" s="50" t="str">
        <f t="shared" si="75"/>
        <v>ALTER TABLE TB_QESTNAR_QESTN_DETAIL ADD COLUMN UPDUSR_IP VARCHAR(100);</v>
      </c>
      <c r="AF297" s="50" t="str">
        <f t="shared" si="76"/>
        <v>ALTER TABLE TB_QESTNAR_QESTN_DETAIL DROP COLUMN UPDUSR_IP;</v>
      </c>
      <c r="AG297" s="50" t="str">
        <f t="shared" si="77"/>
        <v/>
      </c>
      <c r="AH297" s="50" t="str">
        <f t="shared" si="83"/>
        <v>COMMENT ON COLUMN TB_QESTNAR_QESTN_DETAIL.UPDUSR_IP IS '수정자 IP' ;</v>
      </c>
    </row>
    <row r="298" spans="1:34" ht="20.100000000000001" customHeight="1">
      <c r="A298" s="55">
        <v>302</v>
      </c>
      <c r="B298" s="26" t="s">
        <v>7</v>
      </c>
      <c r="C298" s="26" t="s">
        <v>677</v>
      </c>
      <c r="D298" s="11" t="s">
        <v>717</v>
      </c>
      <c r="E298" s="10" t="s">
        <v>718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749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82"/>
        <v>TB_QESTNAR_QESTN_DETAIL</v>
      </c>
      <c r="Z298" s="50" t="str">
        <f t="shared" si="64"/>
        <v>UPDT_DT TIMESTAMP,</v>
      </c>
      <c r="AA298" s="50" t="str">
        <f t="shared" si="61"/>
        <v/>
      </c>
      <c r="AB298" s="50" t="str">
        <f t="shared" si="62"/>
        <v/>
      </c>
      <c r="AC298" s="50" t="str">
        <f t="shared" si="73"/>
        <v/>
      </c>
      <c r="AD298" s="50" t="str">
        <f t="shared" si="74"/>
        <v>ALTER TABLE TB_QESTNAR_QESTN_DETAIL ALTER COLUMN UPDT_DT TYPE TIMESTAMP;</v>
      </c>
      <c r="AE298" s="50" t="str">
        <f t="shared" si="75"/>
        <v>ALTER TABLE TB_QESTNAR_QESTN_DETAIL ADD COLUMN UPDT_DT TIMESTAMP;</v>
      </c>
      <c r="AF298" s="50" t="str">
        <f t="shared" si="76"/>
        <v>ALTER TABLE TB_QESTNAR_QESTN_DETAIL DROP COLUMN UPDT_DT;</v>
      </c>
      <c r="AG298" s="50" t="str">
        <f t="shared" si="77"/>
        <v/>
      </c>
      <c r="AH298" s="50" t="str">
        <f t="shared" si="83"/>
        <v>COMMENT ON COLUMN TB_QESTNAR_QESTN_DETAIL.UPDT_DT IS '수정 일시' ;</v>
      </c>
    </row>
    <row r="299" spans="1:34" ht="20.100000000000001" customHeight="1">
      <c r="A299" s="55">
        <v>303</v>
      </c>
      <c r="B299" s="26" t="s">
        <v>7</v>
      </c>
      <c r="C299" s="26" t="s">
        <v>677</v>
      </c>
      <c r="D299" s="11" t="s">
        <v>717</v>
      </c>
      <c r="E299" s="10" t="s">
        <v>718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556</v>
      </c>
      <c r="R299" s="87" t="s">
        <v>604</v>
      </c>
      <c r="S299" s="112" t="s">
        <v>220</v>
      </c>
      <c r="T299" s="83"/>
      <c r="U299" s="83"/>
      <c r="V299" s="106"/>
      <c r="W299" s="45"/>
      <c r="X299" s="83"/>
      <c r="Y299" s="129" t="str">
        <f t="shared" si="82"/>
        <v>TB_QESTNAR_QESTN_DETAIL</v>
      </c>
      <c r="Z299" s="50" t="str">
        <f t="shared" si="64"/>
        <v>DEL_YN VARCHAR(1) NOT NULL,</v>
      </c>
      <c r="AA299" s="50" t="str">
        <f t="shared" si="61"/>
        <v/>
      </c>
      <c r="AB299" s="50" t="str">
        <f t="shared" si="62"/>
        <v/>
      </c>
      <c r="AC299" s="50" t="str">
        <f t="shared" si="73"/>
        <v/>
      </c>
      <c r="AD299" s="50" t="str">
        <f t="shared" si="74"/>
        <v>ALTER TABLE TB_QESTNAR_QESTN_DETAIL ALTER COLUMN DEL_YN TYPE VARCHAR(1);</v>
      </c>
      <c r="AE299" s="50" t="str">
        <f t="shared" si="75"/>
        <v>ALTER TABLE TB_QESTNAR_QESTN_DETAIL ADD COLUMN DEL_YN VARCHAR(1) NOT NULL DEFAULT 'N';</v>
      </c>
      <c r="AF299" s="50" t="str">
        <f t="shared" si="76"/>
        <v>ALTER TABLE TB_QESTNAR_QESTN_DETAIL DROP COLUMN DEL_YN;</v>
      </c>
      <c r="AG299" s="50" t="str">
        <f t="shared" si="77"/>
        <v>ALTER TABLE TB_QESTNAR_QESTN_DETAIL ALTER COLUMN DEL_YN SET DEFAULT 'N';</v>
      </c>
      <c r="AH299" s="50" t="str">
        <f t="shared" si="83"/>
        <v>COMMENT ON COLUMN TB_QESTNAR_QESTN_DETAIL.DEL_YN IS '삭제 여부' ;</v>
      </c>
    </row>
    <row r="300" spans="1:34" ht="20.100000000000001" customHeight="1">
      <c r="A300" s="55">
        <v>304</v>
      </c>
      <c r="B300" s="26" t="s">
        <v>7</v>
      </c>
      <c r="C300" s="26" t="s">
        <v>677</v>
      </c>
      <c r="D300" s="11" t="s">
        <v>734</v>
      </c>
      <c r="E300" s="10" t="s">
        <v>732</v>
      </c>
      <c r="F300" s="92">
        <v>1</v>
      </c>
      <c r="G300" s="102" t="s">
        <v>735</v>
      </c>
      <c r="H300" s="102" t="s">
        <v>733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736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82"/>
        <v>TB_QESTNAR_ANSWER</v>
      </c>
      <c r="Z300" s="50" t="str">
        <f t="shared" si="64"/>
        <v>QESTNAR_ANSWER_SN INTEGER PRIMARY KEY,</v>
      </c>
      <c r="AA300" s="50" t="str">
        <f t="shared" si="61"/>
        <v/>
      </c>
      <c r="AB300" s="50" t="str">
        <f t="shared" si="62"/>
        <v>CREATE SEQUENCE SEQ_TB_QESTNAR_ANSWER_SN START 100000;</v>
      </c>
      <c r="AC300" s="50" t="str">
        <f t="shared" si="73"/>
        <v>ALTER TABLE TB_QESTNAR_ANSWER ALTER COLUMN QESTNAR_ANSWER_SN SET DEFAULT NEXTVAL('SEQ_TB_QESTNAR_ANSWER_SN');</v>
      </c>
      <c r="AD300" s="50" t="str">
        <f t="shared" si="74"/>
        <v>ALTER TABLE TB_QESTNAR_ANSWER ALTER COLUMN QESTNAR_ANSWER_SN TYPE INTEGER;</v>
      </c>
      <c r="AE300" s="50" t="str">
        <f t="shared" si="75"/>
        <v>ALTER TABLE TB_QESTNAR_ANSWER ADD COLUMN QESTNAR_ANSWER_SN INTEGER NOT NULL;</v>
      </c>
      <c r="AF300" s="50" t="str">
        <f t="shared" si="76"/>
        <v>ALTER TABLE TB_QESTNAR_ANSWER DROP COLUMN QESTNAR_ANSWER_SN;</v>
      </c>
      <c r="AG300" s="50" t="str">
        <f t="shared" si="77"/>
        <v/>
      </c>
      <c r="AH300" s="50" t="str">
        <f t="shared" si="83"/>
        <v>COMMENT ON COLUMN TB_QESTNAR_ANSWER.QESTNAR_ANSWER_SN IS '설문조사 답변 일련번호' ;</v>
      </c>
    </row>
    <row r="301" spans="1:34" ht="20.100000000000001" customHeight="1">
      <c r="A301" s="55">
        <v>305</v>
      </c>
      <c r="B301" s="26" t="s">
        <v>7</v>
      </c>
      <c r="C301" s="26" t="s">
        <v>677</v>
      </c>
      <c r="D301" s="11" t="s">
        <v>734</v>
      </c>
      <c r="E301" s="10" t="s">
        <v>732</v>
      </c>
      <c r="F301" s="92">
        <v>2</v>
      </c>
      <c r="G301" s="102" t="s">
        <v>681</v>
      </c>
      <c r="H301" s="102" t="s">
        <v>679</v>
      </c>
      <c r="I301" s="75" t="s">
        <v>72</v>
      </c>
      <c r="J301" s="69"/>
      <c r="K301" s="69">
        <v>1</v>
      </c>
      <c r="L301" s="11" t="s">
        <v>680</v>
      </c>
      <c r="M301" s="102" t="s">
        <v>681</v>
      </c>
      <c r="N301" s="100" t="s">
        <v>574</v>
      </c>
      <c r="O301" s="100" t="s">
        <v>576</v>
      </c>
      <c r="P301" s="62" t="s">
        <v>689</v>
      </c>
      <c r="Q301" s="126"/>
      <c r="R301" s="87"/>
      <c r="S301" s="112" t="s">
        <v>696</v>
      </c>
      <c r="T301" s="130"/>
      <c r="U301" s="130"/>
      <c r="V301" s="109"/>
      <c r="W301" s="90"/>
      <c r="X301" s="130"/>
      <c r="Y301" s="129" t="str">
        <f t="shared" si="82"/>
        <v>TB_QESTNAR_ANSWER</v>
      </c>
      <c r="Z301" s="50" t="str">
        <f t="shared" si="64"/>
        <v>QESTNAR_GROUP_SN INTEGER NOT NULL,</v>
      </c>
      <c r="AA301" s="50" t="str">
        <f t="shared" si="61"/>
        <v>ALTER TABLE TB_QESTNAR_ANSWER ADD CONSTRAINT TB_QESTNAR_ANSWER_FKEY1 FOREIGN KEY(QESTNAR_GROUP_SN) REFERENCES TB_QESTNAR_GROUP(QESTNAR_GROUP_SN) ON UPDATE CASCADE ON DELETE CASCADE;</v>
      </c>
      <c r="AB301" s="50" t="str">
        <f t="shared" si="62"/>
        <v/>
      </c>
      <c r="AC301" s="50" t="str">
        <f t="shared" si="73"/>
        <v/>
      </c>
      <c r="AD301" s="50" t="str">
        <f t="shared" si="74"/>
        <v>ALTER TABLE TB_QESTNAR_ANSWER ALTER COLUMN QESTNAR_GROUP_SN TYPE INTEGER;</v>
      </c>
      <c r="AE301" s="50" t="str">
        <f t="shared" si="75"/>
        <v>ALTER TABLE TB_QESTNAR_ANSWER ADD COLUMN QESTNAR_GROUP_SN INTEGER NOT NULL;</v>
      </c>
      <c r="AF301" s="50" t="str">
        <f t="shared" si="76"/>
        <v>ALTER TABLE TB_QESTNAR_ANSWER DROP COLUMN QESTNAR_GROUP_SN;</v>
      </c>
      <c r="AG301" s="50" t="str">
        <f t="shared" si="77"/>
        <v/>
      </c>
      <c r="AH301" s="50" t="str">
        <f t="shared" si="83"/>
        <v>COMMENT ON COLUMN TB_QESTNAR_ANSWER.QESTNAR_GROUP_SN IS '설문조사 그룹 일련번호' ;</v>
      </c>
    </row>
    <row r="302" spans="1:34" ht="20.100000000000001" customHeight="1">
      <c r="A302" s="55">
        <v>306</v>
      </c>
      <c r="B302" s="26" t="s">
        <v>7</v>
      </c>
      <c r="C302" s="26" t="s">
        <v>677</v>
      </c>
      <c r="D302" s="11" t="s">
        <v>734</v>
      </c>
      <c r="E302" s="10" t="s">
        <v>732</v>
      </c>
      <c r="F302" s="92">
        <v>3</v>
      </c>
      <c r="G302" s="100" t="s">
        <v>762</v>
      </c>
      <c r="H302" s="100" t="s">
        <v>763</v>
      </c>
      <c r="I302" s="75" t="s">
        <v>72</v>
      </c>
      <c r="J302" s="69"/>
      <c r="K302" s="69">
        <v>2</v>
      </c>
      <c r="L302" s="83" t="s">
        <v>9</v>
      </c>
      <c r="M302" s="100" t="s">
        <v>762</v>
      </c>
      <c r="N302" s="100" t="s">
        <v>574</v>
      </c>
      <c r="O302" s="100" t="s">
        <v>576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82"/>
        <v>TB_QESTNAR_ANSWER</v>
      </c>
      <c r="Z302" s="50" t="str">
        <f t="shared" si="64"/>
        <v>USER_SN INTEGER NOT NULL,</v>
      </c>
      <c r="AA302" s="50" t="str">
        <f t="shared" si="61"/>
        <v>ALTER TABLE TB_QESTNAR_ANSWER ADD CONSTRAINT TB_QESTNAR_ANSWER_FKEY2 FOREIGN KEY(USER_SN) REFERENCES TB_USER(USER_SN) ON UPDATE CASCADE ON DELETE CASCADE;</v>
      </c>
      <c r="AB302" s="50" t="str">
        <f t="shared" si="62"/>
        <v/>
      </c>
      <c r="AC302" s="50" t="str">
        <f t="shared" si="73"/>
        <v/>
      </c>
      <c r="AD302" s="50" t="str">
        <f t="shared" si="74"/>
        <v>ALTER TABLE TB_QESTNAR_ANSWER ALTER COLUMN USER_SN TYPE INTEGER;</v>
      </c>
      <c r="AE302" s="50" t="str">
        <f t="shared" si="75"/>
        <v>ALTER TABLE TB_QESTNAR_ANSWER ADD COLUMN USER_SN INTEGER NOT NULL;</v>
      </c>
      <c r="AF302" s="50" t="str">
        <f t="shared" si="76"/>
        <v>ALTER TABLE TB_QESTNAR_ANSWER DROP COLUMN USER_SN;</v>
      </c>
      <c r="AG302" s="50" t="str">
        <f t="shared" si="77"/>
        <v/>
      </c>
      <c r="AH302" s="50" t="str">
        <f t="shared" si="83"/>
        <v>COMMENT ON COLUMN TB_QESTNAR_ANSWER.USER_SN IS '사용자 일련번호' ;</v>
      </c>
    </row>
    <row r="303" spans="1:34" ht="20.100000000000001" customHeight="1">
      <c r="A303" s="55">
        <v>307</v>
      </c>
      <c r="B303" s="26" t="s">
        <v>7</v>
      </c>
      <c r="C303" s="26" t="s">
        <v>677</v>
      </c>
      <c r="D303" s="11" t="s">
        <v>734</v>
      </c>
      <c r="E303" s="10" t="s">
        <v>732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555</v>
      </c>
      <c r="Q303" s="126" t="s">
        <v>560</v>
      </c>
      <c r="R303" s="85"/>
      <c r="S303" s="112" t="s">
        <v>226</v>
      </c>
      <c r="T303" s="83"/>
      <c r="U303" s="83"/>
      <c r="V303" s="123" t="s">
        <v>529</v>
      </c>
      <c r="W303" s="45"/>
      <c r="X303" s="83"/>
      <c r="Y303" s="129" t="str">
        <f t="shared" si="82"/>
        <v>TB_QESTNAR_ANSWER</v>
      </c>
      <c r="Z303" s="50" t="str">
        <f t="shared" si="64"/>
        <v>REGISTER_ID VARCHAR(50) NOT NULL,</v>
      </c>
      <c r="AA303" s="50" t="str">
        <f t="shared" si="61"/>
        <v/>
      </c>
      <c r="AB303" s="50" t="str">
        <f t="shared" si="62"/>
        <v/>
      </c>
      <c r="AC303" s="50" t="str">
        <f t="shared" si="73"/>
        <v/>
      </c>
      <c r="AD303" s="50" t="str">
        <f t="shared" si="74"/>
        <v>ALTER TABLE TB_QESTNAR_ANSWER ALTER COLUMN REGISTER_ID TYPE VARCHAR(50);</v>
      </c>
      <c r="AE303" s="50" t="str">
        <f t="shared" si="75"/>
        <v>ALTER TABLE TB_QESTNAR_ANSWER ADD COLUMN REGISTER_ID VARCHAR(50) NOT NULL;</v>
      </c>
      <c r="AF303" s="50" t="str">
        <f t="shared" si="76"/>
        <v>ALTER TABLE TB_QESTNAR_ANSWER DROP COLUMN REGISTER_ID;</v>
      </c>
      <c r="AG303" s="50" t="str">
        <f t="shared" si="77"/>
        <v/>
      </c>
      <c r="AH303" s="50" t="str">
        <f t="shared" si="83"/>
        <v>COMMENT ON COLUMN TB_QESTNAR_ANSWER.REGISTER_ID IS '등록자 ID' ;</v>
      </c>
    </row>
    <row r="304" spans="1:34" ht="20.100000000000001" customHeight="1">
      <c r="A304" s="55">
        <v>308</v>
      </c>
      <c r="B304" s="26" t="s">
        <v>7</v>
      </c>
      <c r="C304" s="26" t="s">
        <v>677</v>
      </c>
      <c r="D304" s="11" t="s">
        <v>734</v>
      </c>
      <c r="E304" s="10" t="s">
        <v>732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561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82"/>
        <v>TB_QESTNAR_ANSWER</v>
      </c>
      <c r="Z304" s="50" t="str">
        <f t="shared" si="64"/>
        <v>REGISTER_IP VARCHAR(100) NOT NULL,</v>
      </c>
      <c r="AA304" s="50" t="str">
        <f t="shared" si="61"/>
        <v/>
      </c>
      <c r="AB304" s="50" t="str">
        <f t="shared" si="62"/>
        <v/>
      </c>
      <c r="AC304" s="50" t="str">
        <f t="shared" si="73"/>
        <v/>
      </c>
      <c r="AD304" s="50" t="str">
        <f t="shared" si="74"/>
        <v>ALTER TABLE TB_QESTNAR_ANSWER ALTER COLUMN REGISTER_IP TYPE VARCHAR(100);</v>
      </c>
      <c r="AE304" s="50" t="str">
        <f t="shared" si="75"/>
        <v>ALTER TABLE TB_QESTNAR_ANSWER ADD COLUMN REGISTER_IP VARCHAR(100) NOT NULL;</v>
      </c>
      <c r="AF304" s="50" t="str">
        <f t="shared" si="76"/>
        <v>ALTER TABLE TB_QESTNAR_ANSWER DROP COLUMN REGISTER_IP;</v>
      </c>
      <c r="AG304" s="50" t="str">
        <f t="shared" si="77"/>
        <v/>
      </c>
      <c r="AH304" s="50" t="str">
        <f t="shared" si="83"/>
        <v>COMMENT ON COLUMN TB_QESTNAR_ANSWER.REGISTER_IP IS '등록자 IP' ;</v>
      </c>
    </row>
    <row r="305" spans="1:34" ht="20.100000000000001" customHeight="1">
      <c r="A305" s="55">
        <v>309</v>
      </c>
      <c r="B305" s="26" t="s">
        <v>7</v>
      </c>
      <c r="C305" s="26" t="s">
        <v>677</v>
      </c>
      <c r="D305" s="11" t="s">
        <v>734</v>
      </c>
      <c r="E305" s="10" t="s">
        <v>732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749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82"/>
        <v>TB_QESTNAR_ANSWER</v>
      </c>
      <c r="Z305" s="50" t="str">
        <f t="shared" si="64"/>
        <v>REG_DT TIMESTAMP NOT NULL,</v>
      </c>
      <c r="AA305" s="50" t="str">
        <f t="shared" si="61"/>
        <v/>
      </c>
      <c r="AB305" s="50" t="str">
        <f t="shared" si="62"/>
        <v/>
      </c>
      <c r="AC305" s="50" t="str">
        <f t="shared" si="73"/>
        <v/>
      </c>
      <c r="AD305" s="50" t="str">
        <f t="shared" si="74"/>
        <v>ALTER TABLE TB_QESTNAR_ANSWER ALTER COLUMN REG_DT TYPE TIMESTAMP;</v>
      </c>
      <c r="AE305" s="50" t="str">
        <f t="shared" si="75"/>
        <v>ALTER TABLE TB_QESTNAR_ANSWER ADD COLUMN REG_DT TIMESTAMP NOT NULL;</v>
      </c>
      <c r="AF305" s="50" t="str">
        <f t="shared" si="76"/>
        <v>ALTER TABLE TB_QESTNAR_ANSWER DROP COLUMN REG_DT;</v>
      </c>
      <c r="AG305" s="50" t="str">
        <f t="shared" si="77"/>
        <v/>
      </c>
      <c r="AH305" s="50" t="str">
        <f t="shared" si="83"/>
        <v>COMMENT ON COLUMN TB_QESTNAR_ANSWER.REG_DT IS '등록 일시' ;</v>
      </c>
    </row>
    <row r="306" spans="1:34" ht="20.100000000000001" customHeight="1">
      <c r="A306" s="55">
        <v>310</v>
      </c>
      <c r="B306" s="26" t="s">
        <v>7</v>
      </c>
      <c r="C306" s="26" t="s">
        <v>677</v>
      </c>
      <c r="D306" s="11" t="s">
        <v>734</v>
      </c>
      <c r="E306" s="10" t="s">
        <v>732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555</v>
      </c>
      <c r="Q306" s="126" t="s">
        <v>560</v>
      </c>
      <c r="R306" s="85"/>
      <c r="S306" s="112" t="s">
        <v>223</v>
      </c>
      <c r="T306" s="83"/>
      <c r="U306" s="83"/>
      <c r="V306" s="123" t="s">
        <v>529</v>
      </c>
      <c r="W306" s="45"/>
      <c r="X306" s="83"/>
      <c r="Y306" s="129" t="str">
        <f t="shared" si="82"/>
        <v>TB_QESTNAR_ANSWER</v>
      </c>
      <c r="Z306" s="50" t="str">
        <f t="shared" si="64"/>
        <v>UPDUSR_ID VARCHAR(50),</v>
      </c>
      <c r="AA306" s="50" t="str">
        <f t="shared" si="61"/>
        <v/>
      </c>
      <c r="AB306" s="50" t="str">
        <f t="shared" si="62"/>
        <v/>
      </c>
      <c r="AC306" s="50" t="str">
        <f t="shared" si="73"/>
        <v/>
      </c>
      <c r="AD306" s="50" t="str">
        <f t="shared" si="74"/>
        <v>ALTER TABLE TB_QESTNAR_ANSWER ALTER COLUMN UPDUSR_ID TYPE VARCHAR(50);</v>
      </c>
      <c r="AE306" s="50" t="str">
        <f t="shared" si="75"/>
        <v>ALTER TABLE TB_QESTNAR_ANSWER ADD COLUMN UPDUSR_ID VARCHAR(50);</v>
      </c>
      <c r="AF306" s="50" t="str">
        <f t="shared" si="76"/>
        <v>ALTER TABLE TB_QESTNAR_ANSWER DROP COLUMN UPDUSR_ID;</v>
      </c>
      <c r="AG306" s="50" t="str">
        <f t="shared" si="77"/>
        <v/>
      </c>
      <c r="AH306" s="50" t="str">
        <f t="shared" si="83"/>
        <v>COMMENT ON COLUMN TB_QESTNAR_ANSWER.UPDUSR_ID IS '수정자 ID' ;</v>
      </c>
    </row>
    <row r="307" spans="1:34" ht="20.100000000000001" customHeight="1">
      <c r="A307" s="55">
        <v>311</v>
      </c>
      <c r="B307" s="26" t="s">
        <v>7</v>
      </c>
      <c r="C307" s="26" t="s">
        <v>677</v>
      </c>
      <c r="D307" s="11" t="s">
        <v>734</v>
      </c>
      <c r="E307" s="10" t="s">
        <v>732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561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82"/>
        <v>TB_QESTNAR_ANSWER</v>
      </c>
      <c r="Z307" s="50" t="str">
        <f t="shared" si="64"/>
        <v>UPDUSR_IP VARCHAR(100),</v>
      </c>
      <c r="AA307" s="50" t="str">
        <f t="shared" si="61"/>
        <v/>
      </c>
      <c r="AB307" s="50" t="str">
        <f t="shared" si="62"/>
        <v/>
      </c>
      <c r="AC307" s="50" t="str">
        <f t="shared" si="73"/>
        <v/>
      </c>
      <c r="AD307" s="50" t="str">
        <f t="shared" si="74"/>
        <v>ALTER TABLE TB_QESTNAR_ANSWER ALTER COLUMN UPDUSR_IP TYPE VARCHAR(100);</v>
      </c>
      <c r="AE307" s="50" t="str">
        <f t="shared" si="75"/>
        <v>ALTER TABLE TB_QESTNAR_ANSWER ADD COLUMN UPDUSR_IP VARCHAR(100);</v>
      </c>
      <c r="AF307" s="50" t="str">
        <f t="shared" si="76"/>
        <v>ALTER TABLE TB_QESTNAR_ANSWER DROP COLUMN UPDUSR_IP;</v>
      </c>
      <c r="AG307" s="50" t="str">
        <f t="shared" si="77"/>
        <v/>
      </c>
      <c r="AH307" s="50" t="str">
        <f t="shared" si="83"/>
        <v>COMMENT ON COLUMN TB_QESTNAR_ANSWER.UPDUSR_IP IS '수정자 IP' ;</v>
      </c>
    </row>
    <row r="308" spans="1:34" ht="20.100000000000001" customHeight="1">
      <c r="A308" s="55">
        <v>312</v>
      </c>
      <c r="B308" s="26" t="s">
        <v>7</v>
      </c>
      <c r="C308" s="26" t="s">
        <v>677</v>
      </c>
      <c r="D308" s="11" t="s">
        <v>734</v>
      </c>
      <c r="E308" s="10" t="s">
        <v>732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749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82"/>
        <v>TB_QESTNAR_ANSWER</v>
      </c>
      <c r="Z308" s="50" t="str">
        <f t="shared" si="64"/>
        <v>UPDT_DT TIMESTAMP,</v>
      </c>
      <c r="AA308" s="50" t="str">
        <f t="shared" si="61"/>
        <v/>
      </c>
      <c r="AB308" s="50" t="str">
        <f t="shared" si="62"/>
        <v/>
      </c>
      <c r="AC308" s="50" t="str">
        <f t="shared" si="73"/>
        <v/>
      </c>
      <c r="AD308" s="50" t="str">
        <f t="shared" si="74"/>
        <v>ALTER TABLE TB_QESTNAR_ANSWER ALTER COLUMN UPDT_DT TYPE TIMESTAMP;</v>
      </c>
      <c r="AE308" s="50" t="str">
        <f t="shared" si="75"/>
        <v>ALTER TABLE TB_QESTNAR_ANSWER ADD COLUMN UPDT_DT TIMESTAMP;</v>
      </c>
      <c r="AF308" s="50" t="str">
        <f t="shared" si="76"/>
        <v>ALTER TABLE TB_QESTNAR_ANSWER DROP COLUMN UPDT_DT;</v>
      </c>
      <c r="AG308" s="50" t="str">
        <f t="shared" si="77"/>
        <v/>
      </c>
      <c r="AH308" s="50" t="str">
        <f t="shared" si="83"/>
        <v>COMMENT ON COLUMN TB_QESTNAR_ANSWER.UPDT_DT IS '수정 일시' ;</v>
      </c>
    </row>
    <row r="309" spans="1:34" ht="20.100000000000001" customHeight="1">
      <c r="A309" s="55">
        <v>313</v>
      </c>
      <c r="B309" s="26" t="s">
        <v>7</v>
      </c>
      <c r="C309" s="26" t="s">
        <v>677</v>
      </c>
      <c r="D309" s="11" t="s">
        <v>734</v>
      </c>
      <c r="E309" s="10" t="s">
        <v>732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556</v>
      </c>
      <c r="R309" s="87" t="s">
        <v>604</v>
      </c>
      <c r="S309" s="112" t="s">
        <v>220</v>
      </c>
      <c r="T309" s="83"/>
      <c r="U309" s="83"/>
      <c r="V309" s="106"/>
      <c r="W309" s="45"/>
      <c r="X309" s="83"/>
      <c r="Y309" s="129" t="str">
        <f t="shared" si="82"/>
        <v>TB_QESTNAR_ANSWER</v>
      </c>
      <c r="Z309" s="50" t="str">
        <f t="shared" si="64"/>
        <v>DEL_YN VARCHAR(1) NOT NULL,</v>
      </c>
      <c r="AA309" s="50" t="str">
        <f t="shared" si="61"/>
        <v/>
      </c>
      <c r="AB309" s="50" t="str">
        <f t="shared" si="62"/>
        <v/>
      </c>
      <c r="AC309" s="50" t="str">
        <f t="shared" si="73"/>
        <v/>
      </c>
      <c r="AD309" s="50" t="str">
        <f t="shared" si="74"/>
        <v>ALTER TABLE TB_QESTNAR_ANSWER ALTER COLUMN DEL_YN TYPE VARCHAR(1);</v>
      </c>
      <c r="AE309" s="50" t="str">
        <f t="shared" si="75"/>
        <v>ALTER TABLE TB_QESTNAR_ANSWER ADD COLUMN DEL_YN VARCHAR(1) NOT NULL DEFAULT 'N';</v>
      </c>
      <c r="AF309" s="50" t="str">
        <f t="shared" si="76"/>
        <v>ALTER TABLE TB_QESTNAR_ANSWER DROP COLUMN DEL_YN;</v>
      </c>
      <c r="AG309" s="50" t="str">
        <f t="shared" si="77"/>
        <v>ALTER TABLE TB_QESTNAR_ANSWER ALTER COLUMN DEL_YN SET DEFAULT 'N';</v>
      </c>
      <c r="AH309" s="50" t="str">
        <f t="shared" si="83"/>
        <v>COMMENT ON COLUMN TB_QESTNAR_ANSWER.DEL_YN IS '삭제 여부' ;</v>
      </c>
    </row>
    <row r="310" spans="1:34" ht="20.100000000000001" customHeight="1">
      <c r="A310" s="55">
        <v>314</v>
      </c>
      <c r="B310" s="26" t="s">
        <v>7</v>
      </c>
      <c r="C310" s="26" t="s">
        <v>677</v>
      </c>
      <c r="D310" s="11" t="s">
        <v>737</v>
      </c>
      <c r="E310" s="10" t="s">
        <v>738</v>
      </c>
      <c r="F310" s="92">
        <v>1</v>
      </c>
      <c r="G310" s="102" t="s">
        <v>739</v>
      </c>
      <c r="H310" s="102" t="s">
        <v>740</v>
      </c>
      <c r="I310" s="75" t="s">
        <v>716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747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82"/>
        <v>TB_QESTNAR_ANSWER_DETAIL</v>
      </c>
      <c r="Z310" s="50" t="str">
        <f t="shared" si="64"/>
        <v>QESTNAR_ANSWER_DETAIL_SN INTEGER PRIMARY KEY,</v>
      </c>
      <c r="AA310" s="50" t="str">
        <f t="shared" si="61"/>
        <v/>
      </c>
      <c r="AB310" s="50" t="str">
        <f t="shared" si="62"/>
        <v>CREATE SEQUENCE SEQ_TB_QESTNAR_ANSWER_DETAIL_SN START 100000;</v>
      </c>
      <c r="AC310" s="50" t="str">
        <f t="shared" si="73"/>
        <v>ALTER TABLE TB_QESTNAR_ANSWER_DETAIL ALTER COLUMN QESTNAR_ANSWER_DETAIL_SN SET DEFAULT NEXTVAL('SEQ_TB_QESTNAR_ANSWER_DETAIL_SN');</v>
      </c>
      <c r="AD310" s="50" t="str">
        <f t="shared" si="74"/>
        <v>ALTER TABLE TB_QESTNAR_ANSWER_DETAIL ALTER COLUMN QESTNAR_ANSWER_DETAIL_SN TYPE INTEGER;</v>
      </c>
      <c r="AE310" s="50" t="str">
        <f t="shared" si="75"/>
        <v>ALTER TABLE TB_QESTNAR_ANSWER_DETAIL ADD COLUMN QESTNAR_ANSWER_DETAIL_SN INTEGER NOT NULL;</v>
      </c>
      <c r="AF310" s="50" t="str">
        <f t="shared" si="76"/>
        <v>ALTER TABLE TB_QESTNAR_ANSWER_DETAIL DROP COLUMN QESTNAR_ANSWER_DETAIL_SN;</v>
      </c>
      <c r="AG310" s="50" t="str">
        <f t="shared" si="77"/>
        <v/>
      </c>
      <c r="AH310" s="50" t="str">
        <f t="shared" si="83"/>
        <v>COMMENT ON COLUMN TB_QESTNAR_ANSWER_DETAIL.QESTNAR_ANSWER_DETAIL_SN IS '설문조사 답변 상세 일련번호' ;</v>
      </c>
    </row>
    <row r="311" spans="1:34" ht="20.100000000000001" customHeight="1">
      <c r="A311" s="55">
        <v>315</v>
      </c>
      <c r="B311" s="26" t="s">
        <v>7</v>
      </c>
      <c r="C311" s="26" t="s">
        <v>677</v>
      </c>
      <c r="D311" s="11" t="s">
        <v>737</v>
      </c>
      <c r="E311" s="10" t="s">
        <v>738</v>
      </c>
      <c r="F311" s="92">
        <v>2</v>
      </c>
      <c r="G311" s="102" t="s">
        <v>735</v>
      </c>
      <c r="H311" s="102" t="s">
        <v>733</v>
      </c>
      <c r="I311" s="75" t="s">
        <v>716</v>
      </c>
      <c r="J311" s="69"/>
      <c r="K311" s="69">
        <v>1</v>
      </c>
      <c r="L311" s="11" t="s">
        <v>734</v>
      </c>
      <c r="M311" s="102" t="s">
        <v>735</v>
      </c>
      <c r="N311" s="101" t="s">
        <v>574</v>
      </c>
      <c r="O311" s="101" t="s">
        <v>575</v>
      </c>
      <c r="P311" s="62" t="s">
        <v>236</v>
      </c>
      <c r="Q311" s="126"/>
      <c r="R311" s="87"/>
      <c r="S311" s="102" t="s">
        <v>736</v>
      </c>
      <c r="T311" s="130"/>
      <c r="U311" s="130"/>
      <c r="V311" s="109"/>
      <c r="W311" s="90"/>
      <c r="X311" s="130"/>
      <c r="Y311" s="129" t="str">
        <f t="shared" si="82"/>
        <v>TB_QESTNAR_ANSWER_DETAIL</v>
      </c>
      <c r="Z311" s="50" t="str">
        <f t="shared" si="64"/>
        <v>QESTNAR_ANSWER_SN INTEGER NOT NULL,</v>
      </c>
      <c r="AA311" s="50" t="str">
        <f t="shared" si="61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62"/>
        <v/>
      </c>
      <c r="AC311" s="50" t="str">
        <f t="shared" si="73"/>
        <v/>
      </c>
      <c r="AD311" s="50" t="str">
        <f t="shared" si="74"/>
        <v>ALTER TABLE TB_QESTNAR_ANSWER_DETAIL ALTER COLUMN QESTNAR_ANSWER_SN TYPE INTEGER;</v>
      </c>
      <c r="AE311" s="50" t="str">
        <f t="shared" si="75"/>
        <v>ALTER TABLE TB_QESTNAR_ANSWER_DETAIL ADD COLUMN QESTNAR_ANSWER_SN INTEGER NOT NULL;</v>
      </c>
      <c r="AF311" s="50" t="str">
        <f t="shared" si="76"/>
        <v>ALTER TABLE TB_QESTNAR_ANSWER_DETAIL DROP COLUMN QESTNAR_ANSWER_SN;</v>
      </c>
      <c r="AG311" s="50" t="str">
        <f t="shared" si="77"/>
        <v/>
      </c>
      <c r="AH311" s="50" t="str">
        <f t="shared" si="83"/>
        <v>COMMENT ON COLUMN TB_QESTNAR_ANSWER_DETAIL.QESTNAR_ANSWER_SN IS '설문조사 답변 일련번호' ;</v>
      </c>
    </row>
    <row r="312" spans="1:34" ht="20.100000000000001" customHeight="1">
      <c r="A312" s="55">
        <v>316</v>
      </c>
      <c r="B312" s="26" t="s">
        <v>7</v>
      </c>
      <c r="C312" s="26" t="s">
        <v>677</v>
      </c>
      <c r="D312" s="11" t="s">
        <v>737</v>
      </c>
      <c r="E312" s="10" t="s">
        <v>738</v>
      </c>
      <c r="F312" s="92">
        <v>3</v>
      </c>
      <c r="G312" s="102" t="s">
        <v>703</v>
      </c>
      <c r="H312" s="102" t="s">
        <v>701</v>
      </c>
      <c r="I312" s="75" t="s">
        <v>716</v>
      </c>
      <c r="J312" s="69"/>
      <c r="K312" s="69">
        <v>2</v>
      </c>
      <c r="L312" s="11" t="s">
        <v>702</v>
      </c>
      <c r="M312" s="102" t="s">
        <v>703</v>
      </c>
      <c r="N312" s="101" t="s">
        <v>574</v>
      </c>
      <c r="O312" s="101" t="s">
        <v>575</v>
      </c>
      <c r="P312" s="62" t="s">
        <v>236</v>
      </c>
      <c r="Q312" s="126"/>
      <c r="R312" s="87"/>
      <c r="S312" s="102" t="s">
        <v>746</v>
      </c>
      <c r="T312" s="130"/>
      <c r="U312" s="130"/>
      <c r="V312" s="109"/>
      <c r="W312" s="90"/>
      <c r="X312" s="130"/>
      <c r="Y312" s="129" t="str">
        <f t="shared" si="82"/>
        <v>TB_QESTNAR_ANSWER_DETAIL</v>
      </c>
      <c r="Z312" s="50" t="str">
        <f t="shared" si="64"/>
        <v>QESTNAR_QESTN_SN INTEGER NOT NULL,</v>
      </c>
      <c r="AA312" s="50" t="str">
        <f t="shared" si="61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62"/>
        <v/>
      </c>
      <c r="AC312" s="50" t="str">
        <f t="shared" si="73"/>
        <v/>
      </c>
      <c r="AD312" s="50" t="str">
        <f t="shared" si="74"/>
        <v>ALTER TABLE TB_QESTNAR_ANSWER_DETAIL ALTER COLUMN QESTNAR_QESTN_SN TYPE INTEGER;</v>
      </c>
      <c r="AE312" s="50" t="str">
        <f t="shared" si="75"/>
        <v>ALTER TABLE TB_QESTNAR_ANSWER_DETAIL ADD COLUMN QESTNAR_QESTN_SN INTEGER NOT NULL;</v>
      </c>
      <c r="AF312" s="50" t="str">
        <f t="shared" si="76"/>
        <v>ALTER TABLE TB_QESTNAR_ANSWER_DETAIL DROP COLUMN QESTNAR_QESTN_SN;</v>
      </c>
      <c r="AG312" s="50" t="str">
        <f t="shared" si="77"/>
        <v/>
      </c>
      <c r="AH312" s="50" t="str">
        <f t="shared" si="83"/>
        <v>COMMENT ON COLUMN TB_QESTNAR_ANSWER_DETAIL.QESTNAR_QESTN_SN IS '설문조사 질문 일련번호' ;</v>
      </c>
    </row>
    <row r="313" spans="1:34" ht="20.100000000000001" customHeight="1">
      <c r="A313" s="55">
        <v>317</v>
      </c>
      <c r="B313" s="26" t="s">
        <v>7</v>
      </c>
      <c r="C313" s="26" t="s">
        <v>677</v>
      </c>
      <c r="D313" s="11" t="s">
        <v>737</v>
      </c>
      <c r="E313" s="10" t="s">
        <v>738</v>
      </c>
      <c r="F313" s="92">
        <v>4</v>
      </c>
      <c r="G313" s="102" t="s">
        <v>741</v>
      </c>
      <c r="H313" s="102" t="s">
        <v>742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564</v>
      </c>
      <c r="R313" s="87"/>
      <c r="S313" s="102" t="s">
        <v>748</v>
      </c>
      <c r="T313" s="130"/>
      <c r="U313" s="130" t="s">
        <v>744</v>
      </c>
      <c r="V313" s="109"/>
      <c r="W313" s="90"/>
      <c r="X313" s="130"/>
      <c r="Y313" s="129" t="str">
        <f t="shared" si="82"/>
        <v>TB_QESTNAR_ANSWER_DETAIL</v>
      </c>
      <c r="Z313" s="50" t="str">
        <f t="shared" si="64"/>
        <v>QESTNAR_ANSWER VARCHAR(2000),</v>
      </c>
      <c r="AA313" s="50" t="str">
        <f t="shared" si="61"/>
        <v/>
      </c>
      <c r="AB313" s="50" t="str">
        <f t="shared" si="62"/>
        <v/>
      </c>
      <c r="AC313" s="50" t="str">
        <f t="shared" si="73"/>
        <v/>
      </c>
      <c r="AD313" s="50" t="str">
        <f t="shared" si="74"/>
        <v>ALTER TABLE TB_QESTNAR_ANSWER_DETAIL ALTER COLUMN QESTNAR_ANSWER TYPE VARCHAR(2000);</v>
      </c>
      <c r="AE313" s="50" t="str">
        <f t="shared" si="75"/>
        <v>ALTER TABLE TB_QESTNAR_ANSWER_DETAIL ADD COLUMN QESTNAR_ANSWER VARCHAR(2000);</v>
      </c>
      <c r="AF313" s="50" t="str">
        <f t="shared" si="76"/>
        <v>ALTER TABLE TB_QESTNAR_ANSWER_DETAIL DROP COLUMN QESTNAR_ANSWER;</v>
      </c>
      <c r="AG313" s="50" t="str">
        <f t="shared" si="77"/>
        <v/>
      </c>
      <c r="AH313" s="50" t="str">
        <f t="shared" si="83"/>
        <v>COMMENT ON COLUMN TB_QESTNAR_ANSWER_DETAIL.QESTNAR_ANSWER IS '설문조사 답변' ;</v>
      </c>
    </row>
    <row r="314" spans="1:34" ht="20.100000000000001" customHeight="1">
      <c r="A314" s="55">
        <v>318</v>
      </c>
      <c r="B314" s="26" t="s">
        <v>7</v>
      </c>
      <c r="C314" s="26" t="s">
        <v>677</v>
      </c>
      <c r="D314" s="11" t="s">
        <v>737</v>
      </c>
      <c r="E314" s="10" t="s">
        <v>738</v>
      </c>
      <c r="F314" s="92">
        <v>5</v>
      </c>
      <c r="G314" s="102" t="s">
        <v>720</v>
      </c>
      <c r="H314" s="102" t="s">
        <v>724</v>
      </c>
      <c r="I314" s="75"/>
      <c r="J314" s="69"/>
      <c r="K314" s="69">
        <v>3</v>
      </c>
      <c r="L314" s="11" t="s">
        <v>719</v>
      </c>
      <c r="M314" s="102" t="s">
        <v>720</v>
      </c>
      <c r="N314" s="101" t="s">
        <v>574</v>
      </c>
      <c r="O314" s="101" t="s">
        <v>575</v>
      </c>
      <c r="P314" s="106" t="s">
        <v>177</v>
      </c>
      <c r="Q314" s="88"/>
      <c r="R314" s="86"/>
      <c r="S314" s="102" t="s">
        <v>728</v>
      </c>
      <c r="T314" s="130"/>
      <c r="U314" s="130" t="s">
        <v>743</v>
      </c>
      <c r="V314" s="109"/>
      <c r="W314" s="90"/>
      <c r="X314" s="130"/>
      <c r="Y314" s="129" t="str">
        <f t="shared" ref="Y314" si="84">D314</f>
        <v>TB_QESTNAR_ANSWER_DETAIL</v>
      </c>
      <c r="Z314" s="50" t="str">
        <f t="shared" si="64"/>
        <v>QESTNAR_QESTN_DETAIL_SN INTEGER,</v>
      </c>
      <c r="AA314" s="50" t="str">
        <f t="shared" si="61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62"/>
        <v/>
      </c>
      <c r="AC314" s="50" t="str">
        <f t="shared" si="73"/>
        <v/>
      </c>
      <c r="AD314" s="50" t="str">
        <f t="shared" si="74"/>
        <v>ALTER TABLE TB_QESTNAR_ANSWER_DETAIL ALTER COLUMN QESTNAR_QESTN_DETAIL_SN TYPE INTEGER;</v>
      </c>
      <c r="AE314" s="50" t="str">
        <f t="shared" si="75"/>
        <v>ALTER TABLE TB_QESTNAR_ANSWER_DETAIL ADD COLUMN QESTNAR_QESTN_DETAIL_SN INTEGER;</v>
      </c>
      <c r="AF314" s="50" t="str">
        <f t="shared" si="76"/>
        <v>ALTER TABLE TB_QESTNAR_ANSWER_DETAIL DROP COLUMN QESTNAR_QESTN_DETAIL_SN;</v>
      </c>
      <c r="AG314" s="50" t="str">
        <f t="shared" si="77"/>
        <v/>
      </c>
      <c r="AH314" s="50" t="str">
        <f t="shared" ref="AH314" si="85">"COMMENT ON COLUMN "&amp;D314&amp;"."&amp;G314&amp;" IS '"&amp;S314&amp;"' ;"</f>
        <v>COMMENT ON COLUMN TB_QESTNAR_ANSWER_DETAIL.QESTNAR_QESTN_DETAIL_SN IS '설문조사 질문 상세 일련번호' ;</v>
      </c>
    </row>
    <row r="315" spans="1:34" ht="20.100000000000001" customHeight="1">
      <c r="A315" s="55">
        <v>319</v>
      </c>
      <c r="B315" s="26" t="s">
        <v>7</v>
      </c>
      <c r="C315" s="26" t="s">
        <v>677</v>
      </c>
      <c r="D315" s="11" t="s">
        <v>737</v>
      </c>
      <c r="E315" s="10" t="s">
        <v>738</v>
      </c>
      <c r="F315" s="92">
        <v>6</v>
      </c>
      <c r="G315" s="109" t="s">
        <v>525</v>
      </c>
      <c r="H315" s="109" t="s">
        <v>524</v>
      </c>
      <c r="I315" s="90"/>
      <c r="J315" s="90"/>
      <c r="K315" s="90">
        <v>4</v>
      </c>
      <c r="L315" s="10" t="s">
        <v>382</v>
      </c>
      <c r="M315" s="101" t="s">
        <v>383</v>
      </c>
      <c r="N315" s="101" t="s">
        <v>574</v>
      </c>
      <c r="O315" s="101" t="s">
        <v>575</v>
      </c>
      <c r="P315" s="109" t="s">
        <v>236</v>
      </c>
      <c r="Q315" s="92"/>
      <c r="R315" s="90"/>
      <c r="S315" s="109" t="s">
        <v>544</v>
      </c>
      <c r="T315" s="130"/>
      <c r="U315" s="130" t="s">
        <v>745</v>
      </c>
      <c r="V315" s="109" t="s">
        <v>603</v>
      </c>
      <c r="W315" s="90"/>
      <c r="X315" s="130"/>
      <c r="Y315" s="129" t="str">
        <f t="shared" si="82"/>
        <v>TB_QESTNAR_ANSWER_DETAIL</v>
      </c>
      <c r="Z315" s="50" t="str">
        <f t="shared" si="64"/>
        <v>ATCH_FILE_SN INTEGER,</v>
      </c>
      <c r="AA315" s="50" t="str">
        <f t="shared" si="61"/>
        <v>ALTER TABLE TB_QESTNAR_ANSWER_DETAIL ADD CONSTRAINT TB_QESTNAR_ANSWER_DETAIL_FKEY4 FOREIGN KEY(ATCH_FILE_SN) REFERENCES TB_ATCH_FILE(ATCH_FILE_SN) ON UPDATE CASCADE ON DELETE SET NULL;</v>
      </c>
      <c r="AB315" s="50" t="str">
        <f t="shared" si="62"/>
        <v/>
      </c>
      <c r="AC315" s="50" t="str">
        <f t="shared" si="73"/>
        <v/>
      </c>
      <c r="AD315" s="50" t="str">
        <f t="shared" si="74"/>
        <v>ALTER TABLE TB_QESTNAR_ANSWER_DETAIL ALTER COLUMN ATCH_FILE_SN TYPE INTEGER;</v>
      </c>
      <c r="AE315" s="50" t="str">
        <f t="shared" si="75"/>
        <v>ALTER TABLE TB_QESTNAR_ANSWER_DETAIL ADD COLUMN ATCH_FILE_SN INTEGER;</v>
      </c>
      <c r="AF315" s="50" t="str">
        <f t="shared" si="76"/>
        <v>ALTER TABLE TB_QESTNAR_ANSWER_DETAIL DROP COLUMN ATCH_FILE_SN;</v>
      </c>
      <c r="AG315" s="50" t="str">
        <f t="shared" si="77"/>
        <v/>
      </c>
      <c r="AH315" s="50" t="str">
        <f t="shared" si="83"/>
        <v>COMMENT ON COLUMN TB_QESTNAR_ANSWER_DETAIL.ATCH_FILE_SN IS '첨부 파일 일련번호' ;</v>
      </c>
    </row>
    <row r="316" spans="1:34" ht="20.100000000000001" customHeight="1">
      <c r="A316" s="55">
        <v>320</v>
      </c>
      <c r="B316" s="26" t="s">
        <v>7</v>
      </c>
      <c r="C316" s="26" t="s">
        <v>677</v>
      </c>
      <c r="D316" s="11" t="s">
        <v>737</v>
      </c>
      <c r="E316" s="10" t="s">
        <v>738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555</v>
      </c>
      <c r="Q316" s="126" t="s">
        <v>560</v>
      </c>
      <c r="R316" s="85"/>
      <c r="S316" s="112" t="s">
        <v>226</v>
      </c>
      <c r="T316" s="83"/>
      <c r="U316" s="83"/>
      <c r="V316" s="123" t="s">
        <v>529</v>
      </c>
      <c r="W316" s="45"/>
      <c r="X316" s="83"/>
      <c r="Y316" s="129" t="str">
        <f t="shared" si="82"/>
        <v>TB_QESTNAR_ANSWER_DETAIL</v>
      </c>
      <c r="Z316" s="50" t="str">
        <f t="shared" si="64"/>
        <v>REGISTER_ID VARCHAR(50) NOT NULL,</v>
      </c>
      <c r="AA316" s="50" t="str">
        <f t="shared" si="61"/>
        <v/>
      </c>
      <c r="AB316" s="50" t="str">
        <f t="shared" si="62"/>
        <v/>
      </c>
      <c r="AC316" s="50" t="str">
        <f t="shared" si="73"/>
        <v/>
      </c>
      <c r="AD316" s="50" t="str">
        <f t="shared" si="74"/>
        <v>ALTER TABLE TB_QESTNAR_ANSWER_DETAIL ALTER COLUMN REGISTER_ID TYPE VARCHAR(50);</v>
      </c>
      <c r="AE316" s="50" t="str">
        <f t="shared" si="75"/>
        <v>ALTER TABLE TB_QESTNAR_ANSWER_DETAIL ADD COLUMN REGISTER_ID VARCHAR(50) NOT NULL;</v>
      </c>
      <c r="AF316" s="50" t="str">
        <f t="shared" si="76"/>
        <v>ALTER TABLE TB_QESTNAR_ANSWER_DETAIL DROP COLUMN REGISTER_ID;</v>
      </c>
      <c r="AG316" s="50" t="str">
        <f t="shared" si="77"/>
        <v/>
      </c>
      <c r="AH316" s="50" t="str">
        <f t="shared" si="83"/>
        <v>COMMENT ON COLUMN TB_QESTNAR_ANSWER_DETAIL.REGISTER_ID IS '등록자 ID' ;</v>
      </c>
    </row>
    <row r="317" spans="1:34" ht="20.100000000000001" customHeight="1">
      <c r="A317" s="55">
        <v>321</v>
      </c>
      <c r="B317" s="26" t="s">
        <v>7</v>
      </c>
      <c r="C317" s="26" t="s">
        <v>677</v>
      </c>
      <c r="D317" s="11" t="s">
        <v>737</v>
      </c>
      <c r="E317" s="10" t="s">
        <v>738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561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82"/>
        <v>TB_QESTNAR_ANSWER_DETAIL</v>
      </c>
      <c r="Z317" s="50" t="str">
        <f t="shared" si="64"/>
        <v>REGISTER_IP VARCHAR(100) NOT NULL,</v>
      </c>
      <c r="AA317" s="50" t="str">
        <f t="shared" si="61"/>
        <v/>
      </c>
      <c r="AB317" s="50" t="str">
        <f t="shared" si="62"/>
        <v/>
      </c>
      <c r="AC317" s="50" t="str">
        <f t="shared" si="73"/>
        <v/>
      </c>
      <c r="AD317" s="50" t="str">
        <f t="shared" si="74"/>
        <v>ALTER TABLE TB_QESTNAR_ANSWER_DETAIL ALTER COLUMN REGISTER_IP TYPE VARCHAR(100);</v>
      </c>
      <c r="AE317" s="50" t="str">
        <f t="shared" si="75"/>
        <v>ALTER TABLE TB_QESTNAR_ANSWER_DETAIL ADD COLUMN REGISTER_IP VARCHAR(100) NOT NULL;</v>
      </c>
      <c r="AF317" s="50" t="str">
        <f t="shared" si="76"/>
        <v>ALTER TABLE TB_QESTNAR_ANSWER_DETAIL DROP COLUMN REGISTER_IP;</v>
      </c>
      <c r="AG317" s="50" t="str">
        <f t="shared" si="77"/>
        <v/>
      </c>
      <c r="AH317" s="50" t="str">
        <f t="shared" si="83"/>
        <v>COMMENT ON COLUMN TB_QESTNAR_ANSWER_DETAIL.REGISTER_IP IS '등록자 IP' ;</v>
      </c>
    </row>
    <row r="318" spans="1:34" ht="20.100000000000001" customHeight="1">
      <c r="A318" s="55">
        <v>322</v>
      </c>
      <c r="B318" s="26" t="s">
        <v>7</v>
      </c>
      <c r="C318" s="26" t="s">
        <v>677</v>
      </c>
      <c r="D318" s="11" t="s">
        <v>737</v>
      </c>
      <c r="E318" s="10" t="s">
        <v>738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749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82"/>
        <v>TB_QESTNAR_ANSWER_DETAIL</v>
      </c>
      <c r="Z318" s="50" t="str">
        <f t="shared" si="64"/>
        <v>REG_DT TIMESTAMP NOT NULL,</v>
      </c>
      <c r="AA318" s="50" t="str">
        <f t="shared" si="61"/>
        <v/>
      </c>
      <c r="AB318" s="50" t="str">
        <f t="shared" si="62"/>
        <v/>
      </c>
      <c r="AC318" s="50" t="str">
        <f t="shared" ref="AC318:AC381" si="86">IF(ISBLANK(T318),"","ALTER TABLE "&amp;D318&amp;" ALTER COLUMN "&amp;G318&amp;" SET DEFAULT NEXTVAL('"&amp;T318&amp;"');")</f>
        <v/>
      </c>
      <c r="AD318" s="50" t="str">
        <f t="shared" si="74"/>
        <v>ALTER TABLE TB_QESTNAR_ANSWER_DETAIL ALTER COLUMN REG_DT TYPE TIMESTAMP;</v>
      </c>
      <c r="AE318" s="50" t="str">
        <f t="shared" si="75"/>
        <v>ALTER TABLE TB_QESTNAR_ANSWER_DETAIL ADD COLUMN REG_DT TIMESTAMP NOT NULL;</v>
      </c>
      <c r="AF318" s="50" t="str">
        <f t="shared" si="76"/>
        <v>ALTER TABLE TB_QESTNAR_ANSWER_DETAIL DROP COLUMN REG_DT;</v>
      </c>
      <c r="AG318" s="50" t="str">
        <f t="shared" si="77"/>
        <v/>
      </c>
      <c r="AH318" s="50" t="str">
        <f t="shared" si="83"/>
        <v>COMMENT ON COLUMN TB_QESTNAR_ANSWER_DETAIL.REG_DT IS '등록 일시' ;</v>
      </c>
    </row>
    <row r="319" spans="1:34" ht="20.100000000000001" customHeight="1">
      <c r="A319" s="55">
        <v>323</v>
      </c>
      <c r="B319" s="26" t="s">
        <v>7</v>
      </c>
      <c r="C319" s="26" t="s">
        <v>677</v>
      </c>
      <c r="D319" s="11" t="s">
        <v>737</v>
      </c>
      <c r="E319" s="10" t="s">
        <v>738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555</v>
      </c>
      <c r="Q319" s="126" t="s">
        <v>560</v>
      </c>
      <c r="R319" s="85"/>
      <c r="S319" s="112" t="s">
        <v>223</v>
      </c>
      <c r="T319" s="83"/>
      <c r="U319" s="83"/>
      <c r="V319" s="123" t="s">
        <v>529</v>
      </c>
      <c r="W319" s="45"/>
      <c r="X319" s="83"/>
      <c r="Y319" s="129" t="str">
        <f t="shared" si="82"/>
        <v>TB_QESTNAR_ANSWER_DETAIL</v>
      </c>
      <c r="Z319" s="50" t="str">
        <f t="shared" ref="Z319:Z382" si="87">G319&amp;" "&amp;P319&amp;Q319&amp;IF(ISBLANK(J319),""," PRIMARY KEY")&amp;IF(AND(ISBLANK(J319),I319="Y")," NOT NULL","")&amp;","</f>
        <v>UPDUSR_ID VARCHAR(50),</v>
      </c>
      <c r="AA319" s="50" t="str">
        <f t="shared" si="61"/>
        <v/>
      </c>
      <c r="AB319" s="50" t="str">
        <f t="shared" si="62"/>
        <v/>
      </c>
      <c r="AC319" s="50" t="str">
        <f t="shared" si="86"/>
        <v/>
      </c>
      <c r="AD319" s="50" t="str">
        <f t="shared" si="74"/>
        <v>ALTER TABLE TB_QESTNAR_ANSWER_DETAIL ALTER COLUMN UPDUSR_ID TYPE VARCHAR(50);</v>
      </c>
      <c r="AE319" s="50" t="str">
        <f t="shared" si="75"/>
        <v>ALTER TABLE TB_QESTNAR_ANSWER_DETAIL ADD COLUMN UPDUSR_ID VARCHAR(50);</v>
      </c>
      <c r="AF319" s="50" t="str">
        <f t="shared" si="76"/>
        <v>ALTER TABLE TB_QESTNAR_ANSWER_DETAIL DROP COLUMN UPDUSR_ID;</v>
      </c>
      <c r="AG319" s="50" t="str">
        <f t="shared" si="77"/>
        <v/>
      </c>
      <c r="AH319" s="50" t="str">
        <f t="shared" si="83"/>
        <v>COMMENT ON COLUMN TB_QESTNAR_ANSWER_DETAIL.UPDUSR_ID IS '수정자 ID' ;</v>
      </c>
    </row>
    <row r="320" spans="1:34" ht="20.100000000000001" customHeight="1">
      <c r="A320" s="55">
        <v>324</v>
      </c>
      <c r="B320" s="26" t="s">
        <v>7</v>
      </c>
      <c r="C320" s="26" t="s">
        <v>677</v>
      </c>
      <c r="D320" s="11" t="s">
        <v>737</v>
      </c>
      <c r="E320" s="10" t="s">
        <v>738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561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82"/>
        <v>TB_QESTNAR_ANSWER_DETAIL</v>
      </c>
      <c r="Z320" s="50" t="str">
        <f t="shared" si="87"/>
        <v>UPDUSR_IP VARCHAR(100),</v>
      </c>
      <c r="AA320" s="50" t="str">
        <f t="shared" si="61"/>
        <v/>
      </c>
      <c r="AB320" s="50" t="str">
        <f t="shared" si="62"/>
        <v/>
      </c>
      <c r="AC320" s="50" t="str">
        <f t="shared" si="86"/>
        <v/>
      </c>
      <c r="AD320" s="50" t="str">
        <f t="shared" si="74"/>
        <v>ALTER TABLE TB_QESTNAR_ANSWER_DETAIL ALTER COLUMN UPDUSR_IP TYPE VARCHAR(100);</v>
      </c>
      <c r="AE320" s="50" t="str">
        <f t="shared" si="75"/>
        <v>ALTER TABLE TB_QESTNAR_ANSWER_DETAIL ADD COLUMN UPDUSR_IP VARCHAR(100);</v>
      </c>
      <c r="AF320" s="50" t="str">
        <f t="shared" si="76"/>
        <v>ALTER TABLE TB_QESTNAR_ANSWER_DETAIL DROP COLUMN UPDUSR_IP;</v>
      </c>
      <c r="AG320" s="50" t="str">
        <f t="shared" si="77"/>
        <v/>
      </c>
      <c r="AH320" s="50" t="str">
        <f t="shared" si="83"/>
        <v>COMMENT ON COLUMN TB_QESTNAR_ANSWER_DETAIL.UPDUSR_IP IS '수정자 IP' ;</v>
      </c>
    </row>
    <row r="321" spans="1:34" ht="20.100000000000001" customHeight="1">
      <c r="A321" s="55">
        <v>325</v>
      </c>
      <c r="B321" s="26" t="s">
        <v>7</v>
      </c>
      <c r="C321" s="26" t="s">
        <v>677</v>
      </c>
      <c r="D321" s="11" t="s">
        <v>737</v>
      </c>
      <c r="E321" s="10" t="s">
        <v>738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749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82"/>
        <v>TB_QESTNAR_ANSWER_DETAIL</v>
      </c>
      <c r="Z321" s="50" t="str">
        <f t="shared" si="87"/>
        <v>UPDT_DT TIMESTAMP,</v>
      </c>
      <c r="AA321" s="50" t="str">
        <f t="shared" si="61"/>
        <v/>
      </c>
      <c r="AB321" s="50" t="str">
        <f t="shared" si="62"/>
        <v/>
      </c>
      <c r="AC321" s="50" t="str">
        <f t="shared" si="86"/>
        <v/>
      </c>
      <c r="AD321" s="50" t="str">
        <f t="shared" si="74"/>
        <v>ALTER TABLE TB_QESTNAR_ANSWER_DETAIL ALTER COLUMN UPDT_DT TYPE TIMESTAMP;</v>
      </c>
      <c r="AE321" s="50" t="str">
        <f t="shared" si="75"/>
        <v>ALTER TABLE TB_QESTNAR_ANSWER_DETAIL ADD COLUMN UPDT_DT TIMESTAMP;</v>
      </c>
      <c r="AF321" s="50" t="str">
        <f t="shared" si="76"/>
        <v>ALTER TABLE TB_QESTNAR_ANSWER_DETAIL DROP COLUMN UPDT_DT;</v>
      </c>
      <c r="AG321" s="50" t="str">
        <f t="shared" si="77"/>
        <v/>
      </c>
      <c r="AH321" s="50" t="str">
        <f t="shared" si="83"/>
        <v>COMMENT ON COLUMN TB_QESTNAR_ANSWER_DETAIL.UPDT_DT IS '수정 일시' ;</v>
      </c>
    </row>
    <row r="322" spans="1:34" ht="20.100000000000001" customHeight="1">
      <c r="A322" s="55">
        <v>326</v>
      </c>
      <c r="B322" s="26" t="s">
        <v>7</v>
      </c>
      <c r="C322" s="26" t="s">
        <v>677</v>
      </c>
      <c r="D322" s="11" t="s">
        <v>737</v>
      </c>
      <c r="E322" s="10" t="s">
        <v>738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556</v>
      </c>
      <c r="R322" s="87" t="s">
        <v>604</v>
      </c>
      <c r="S322" s="112" t="s">
        <v>220</v>
      </c>
      <c r="T322" s="83"/>
      <c r="U322" s="83"/>
      <c r="V322" s="106"/>
      <c r="W322" s="45"/>
      <c r="X322" s="83"/>
      <c r="Y322" s="129" t="str">
        <f t="shared" si="82"/>
        <v>TB_QESTNAR_ANSWER_DETAIL</v>
      </c>
      <c r="Z322" s="50" t="str">
        <f t="shared" si="87"/>
        <v>DEL_YN VARCHAR(1) NOT NULL,</v>
      </c>
      <c r="AA322" s="50" t="str">
        <f t="shared" si="61"/>
        <v/>
      </c>
      <c r="AB322" s="50" t="str">
        <f t="shared" si="62"/>
        <v/>
      </c>
      <c r="AC322" s="50" t="str">
        <f t="shared" si="86"/>
        <v/>
      </c>
      <c r="AD322" s="50" t="str">
        <f t="shared" si="74"/>
        <v>ALTER TABLE TB_QESTNAR_ANSWER_DETAIL ALTER COLUMN DEL_YN TYPE VARCHAR(1);</v>
      </c>
      <c r="AE322" s="50" t="str">
        <f t="shared" si="75"/>
        <v>ALTER TABLE TB_QESTNAR_ANSWER_DETAIL ADD COLUMN DEL_YN VARCHAR(1) NOT NULL DEFAULT 'N';</v>
      </c>
      <c r="AF322" s="50" t="str">
        <f t="shared" si="76"/>
        <v>ALTER TABLE TB_QESTNAR_ANSWER_DETAIL DROP COLUMN DEL_YN;</v>
      </c>
      <c r="AG322" s="50" t="str">
        <f t="shared" si="77"/>
        <v>ALTER TABLE TB_QESTNAR_ANSWER_DETAIL ALTER COLUMN DEL_YN SET DEFAULT 'N';</v>
      </c>
      <c r="AH322" s="50" t="str">
        <f t="shared" si="83"/>
        <v>COMMENT ON COLUMN TB_QESTNAR_ANSWER_DETAIL.DEL_YN IS '삭제 여부' ;</v>
      </c>
    </row>
    <row r="323" spans="1:34" ht="20.100000000000001" customHeight="1">
      <c r="A323" s="55">
        <v>327</v>
      </c>
      <c r="B323" s="26" t="s">
        <v>7</v>
      </c>
      <c r="C323" s="26" t="s">
        <v>19</v>
      </c>
      <c r="D323" s="10" t="s">
        <v>382</v>
      </c>
      <c r="E323" s="10" t="s">
        <v>118</v>
      </c>
      <c r="F323" s="92">
        <v>1</v>
      </c>
      <c r="G323" s="109" t="s">
        <v>383</v>
      </c>
      <c r="H323" s="109" t="s">
        <v>385</v>
      </c>
      <c r="I323" s="90" t="s">
        <v>368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387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60"/>
        <v>TB_ATCH_FILE</v>
      </c>
      <c r="Z323" s="50" t="str">
        <f t="shared" si="87"/>
        <v>ATCH_FILE_SN INTEGER PRIMARY KEY,</v>
      </c>
      <c r="AA323" s="50" t="str">
        <f t="shared" si="61"/>
        <v/>
      </c>
      <c r="AB323" s="50" t="str">
        <f t="shared" si="62"/>
        <v>CREATE SEQUENCE SEQ_TB_ATCH_FILE_SN START 100000;</v>
      </c>
      <c r="AC323" s="50" t="str">
        <f t="shared" si="86"/>
        <v>ALTER TABLE TB_ATCH_FILE ALTER COLUMN ATCH_FILE_SN SET DEFAULT NEXTVAL('SEQ_TB_ATCH_FILE_SN');</v>
      </c>
      <c r="AD323" s="50" t="str">
        <f t="shared" si="74"/>
        <v>ALTER TABLE TB_ATCH_FILE ALTER COLUMN ATCH_FILE_SN TYPE INTEGER;</v>
      </c>
      <c r="AE323" s="50" t="str">
        <f t="shared" si="75"/>
        <v>ALTER TABLE TB_ATCH_FILE ADD COLUMN ATCH_FILE_SN INTEGER NOT NULL;</v>
      </c>
      <c r="AF323" s="50" t="str">
        <f t="shared" si="76"/>
        <v>ALTER TABLE TB_ATCH_FILE DROP COLUMN ATCH_FILE_SN;</v>
      </c>
      <c r="AG323" s="50" t="str">
        <f t="shared" si="77"/>
        <v/>
      </c>
      <c r="AH323" s="50" t="str">
        <f t="shared" si="63"/>
        <v>COMMENT ON COLUMN TB_ATCH_FILE.ATCH_FILE_SN IS '첨부 파일 일련번호' ;</v>
      </c>
    </row>
    <row r="324" spans="1:34" ht="20.100000000000001" customHeight="1">
      <c r="A324" s="55">
        <v>328</v>
      </c>
      <c r="B324" s="26" t="s">
        <v>7</v>
      </c>
      <c r="C324" s="26" t="s">
        <v>19</v>
      </c>
      <c r="D324" s="10" t="s">
        <v>382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749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60"/>
        <v>TB_ATCH_FILE</v>
      </c>
      <c r="Z324" s="50" t="str">
        <f t="shared" si="87"/>
        <v>REG_DT TIMESTAMP NOT NULL,</v>
      </c>
      <c r="AA324" s="50" t="str">
        <f t="shared" si="61"/>
        <v/>
      </c>
      <c r="AB324" s="50" t="str">
        <f t="shared" si="62"/>
        <v/>
      </c>
      <c r="AC324" s="50" t="str">
        <f t="shared" si="86"/>
        <v/>
      </c>
      <c r="AD324" s="50" t="str">
        <f t="shared" si="74"/>
        <v>ALTER TABLE TB_ATCH_FILE ALTER COLUMN REG_DT TYPE TIMESTAMP;</v>
      </c>
      <c r="AE324" s="50" t="str">
        <f t="shared" si="75"/>
        <v>ALTER TABLE TB_ATCH_FILE ADD COLUMN REG_DT TIMESTAMP NOT NULL;</v>
      </c>
      <c r="AF324" s="50" t="str">
        <f t="shared" si="76"/>
        <v>ALTER TABLE TB_ATCH_FILE DROP COLUMN REG_DT;</v>
      </c>
      <c r="AG324" s="50" t="str">
        <f t="shared" si="77"/>
        <v/>
      </c>
      <c r="AH324" s="50" t="str">
        <f t="shared" si="63"/>
        <v>COMMENT ON COLUMN TB_ATCH_FILE.REG_DT IS '등록 일시' ;</v>
      </c>
    </row>
    <row r="325" spans="1:34" ht="20.100000000000001" customHeight="1">
      <c r="A325" s="55">
        <v>329</v>
      </c>
      <c r="B325" s="26" t="s">
        <v>7</v>
      </c>
      <c r="C325" s="26" t="s">
        <v>19</v>
      </c>
      <c r="D325" s="10" t="s">
        <v>382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556</v>
      </c>
      <c r="R325" s="87" t="s">
        <v>604</v>
      </c>
      <c r="S325" s="112" t="s">
        <v>220</v>
      </c>
      <c r="T325" s="130"/>
      <c r="U325" s="130"/>
      <c r="V325" s="109"/>
      <c r="W325" s="90"/>
      <c r="X325" s="130"/>
      <c r="Y325" s="129" t="str">
        <f t="shared" si="60"/>
        <v>TB_ATCH_FILE</v>
      </c>
      <c r="Z325" s="50" t="str">
        <f t="shared" si="87"/>
        <v>DEL_YN VARCHAR(1) NOT NULL,</v>
      </c>
      <c r="AA325" s="50" t="str">
        <f t="shared" si="61"/>
        <v/>
      </c>
      <c r="AB325" s="50" t="str">
        <f t="shared" si="62"/>
        <v/>
      </c>
      <c r="AC325" s="50" t="str">
        <f t="shared" si="86"/>
        <v/>
      </c>
      <c r="AD325" s="50" t="str">
        <f t="shared" si="74"/>
        <v>ALTER TABLE TB_ATCH_FILE ALTER COLUMN DEL_YN TYPE VARCHAR(1);</v>
      </c>
      <c r="AE325" s="50" t="str">
        <f t="shared" si="75"/>
        <v>ALTER TABLE TB_ATCH_FILE ADD COLUMN DEL_YN VARCHAR(1) NOT NULL DEFAULT 'N';</v>
      </c>
      <c r="AF325" s="50" t="str">
        <f t="shared" si="76"/>
        <v>ALTER TABLE TB_ATCH_FILE DROP COLUMN DEL_YN;</v>
      </c>
      <c r="AG325" s="50" t="str">
        <f t="shared" si="77"/>
        <v>ALTER TABLE TB_ATCH_FILE ALTER COLUMN DEL_YN SET DEFAULT 'N';</v>
      </c>
      <c r="AH325" s="50" t="str">
        <f t="shared" si="63"/>
        <v>COMMENT ON COLUMN TB_ATCH_FILE.DEL_YN IS '삭제 여부' ;</v>
      </c>
    </row>
    <row r="326" spans="1:34" ht="20.100000000000001" customHeight="1">
      <c r="A326" s="55">
        <v>330</v>
      </c>
      <c r="B326" s="26" t="s">
        <v>7</v>
      </c>
      <c r="C326" s="26" t="s">
        <v>19</v>
      </c>
      <c r="D326" s="10" t="s">
        <v>389</v>
      </c>
      <c r="E326" s="10" t="s">
        <v>390</v>
      </c>
      <c r="F326" s="92">
        <v>1</v>
      </c>
      <c r="G326" s="109" t="s">
        <v>383</v>
      </c>
      <c r="H326" s="109" t="s">
        <v>385</v>
      </c>
      <c r="I326" s="90" t="s">
        <v>391</v>
      </c>
      <c r="J326" s="90">
        <v>1</v>
      </c>
      <c r="K326" s="90">
        <v>1</v>
      </c>
      <c r="L326" s="10" t="s">
        <v>382</v>
      </c>
      <c r="M326" s="101" t="s">
        <v>383</v>
      </c>
      <c r="N326" s="101" t="s">
        <v>574</v>
      </c>
      <c r="O326" s="101" t="s">
        <v>575</v>
      </c>
      <c r="P326" s="51" t="s">
        <v>236</v>
      </c>
      <c r="Q326" s="124"/>
      <c r="R326" s="45"/>
      <c r="S326" s="106" t="s">
        <v>387</v>
      </c>
      <c r="T326" s="132"/>
      <c r="U326" s="132"/>
      <c r="V326" s="109"/>
      <c r="W326" s="90"/>
      <c r="X326" s="130"/>
      <c r="Y326" s="129" t="str">
        <f t="shared" si="60"/>
        <v>TB_ATCH_FILE_DETAIL</v>
      </c>
      <c r="Z326" s="50" t="str">
        <f t="shared" si="87"/>
        <v>ATCH_FILE_SN INTEGER PRIMARY KEY,</v>
      </c>
      <c r="AA326" s="50" t="str">
        <f t="shared" si="61"/>
        <v>ALTER TABLE TB_ATCH_FILE_DETAIL ADD CONSTRAINT TB_ATCH_FILE_DETAIL_FKEY1 FOREIGN KEY(ATCH_FILE_SN) REFERENCES TB_ATCH_FILE(ATCH_FILE_SN) ON UPDATE CASCADE ON DELETE SET NULL;</v>
      </c>
      <c r="AB326" s="50" t="str">
        <f t="shared" si="62"/>
        <v/>
      </c>
      <c r="AC326" s="50" t="str">
        <f t="shared" si="86"/>
        <v/>
      </c>
      <c r="AD326" s="50" t="str">
        <f t="shared" ref="AD326:AD389" si="88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9">"ALTER TABLE "&amp;$D326&amp;" ADD COLUMN "&amp;$G326&amp;" "&amp;$P326&amp;IF(ISBLANK(Q326),"",$Q326)&amp;IF(ISBLANK($I326),""," NOT NULL")&amp;IF(ISBLANK($R326),""," DEFAULT "&amp;$R326)&amp;";"</f>
        <v>ALTER TABLE TB_ATCH_FILE_DETAIL ADD COLUMN ATCH_FILE_SN INTEGER NOT NULL;</v>
      </c>
      <c r="AF326" s="50" t="str">
        <f t="shared" ref="AF326:AF389" si="90">"ALTER TABLE "&amp;$D326&amp;" DROP COLUMN "&amp;$G326&amp;";"</f>
        <v>ALTER TABLE TB_ATCH_FILE_DETAIL DROP COLUMN ATCH_FILE_SN;</v>
      </c>
      <c r="AG326" s="50" t="str">
        <f t="shared" ref="AG326:AG389" si="91">IF(ISBLANK($R326),"","ALTER TABLE " &amp; $D326 &amp; " ALTER COLUMN " &amp; G326 &amp; " SET DEFAULT " &amp; $R326 &amp; ";")</f>
        <v/>
      </c>
      <c r="AH326" s="50" t="str">
        <f t="shared" si="63"/>
        <v>COMMENT ON COLUMN TB_ATCH_FILE_DETAIL.ATCH_FILE_SN IS '첨부 파일 일련번호' ;</v>
      </c>
    </row>
    <row r="327" spans="1:34" ht="20.100000000000001" customHeight="1">
      <c r="A327" s="55">
        <v>331</v>
      </c>
      <c r="B327" s="26" t="s">
        <v>7</v>
      </c>
      <c r="C327" s="26" t="s">
        <v>19</v>
      </c>
      <c r="D327" s="10" t="s">
        <v>389</v>
      </c>
      <c r="E327" s="10" t="s">
        <v>390</v>
      </c>
      <c r="F327" s="92">
        <v>2</v>
      </c>
      <c r="G327" s="109" t="s">
        <v>405</v>
      </c>
      <c r="H327" s="109" t="s">
        <v>392</v>
      </c>
      <c r="I327" s="90" t="s">
        <v>391</v>
      </c>
      <c r="J327" s="90">
        <v>2</v>
      </c>
      <c r="K327" s="90"/>
      <c r="L327" s="90"/>
      <c r="M327" s="90"/>
      <c r="N327" s="90"/>
      <c r="O327" s="90"/>
      <c r="P327" s="105" t="s">
        <v>178</v>
      </c>
      <c r="Q327" s="47" t="s">
        <v>200</v>
      </c>
      <c r="R327" s="90"/>
      <c r="S327" s="109" t="s">
        <v>406</v>
      </c>
      <c r="T327" s="132"/>
      <c r="U327" s="132"/>
      <c r="V327" s="109"/>
      <c r="W327" s="90"/>
      <c r="X327" s="130"/>
      <c r="Y327" s="129" t="str">
        <f t="shared" si="60"/>
        <v>TB_ATCH_FILE_DETAIL</v>
      </c>
      <c r="Z327" s="50" t="str">
        <f t="shared" si="87"/>
        <v>FILE_SEQ NUMERIC(10,3) PRIMARY KEY,</v>
      </c>
      <c r="AA327" s="50" t="str">
        <f t="shared" si="61"/>
        <v/>
      </c>
      <c r="AB327" s="50" t="str">
        <f t="shared" si="62"/>
        <v/>
      </c>
      <c r="AC327" s="50" t="str">
        <f t="shared" si="86"/>
        <v/>
      </c>
      <c r="AD327" s="50" t="str">
        <f t="shared" si="88"/>
        <v>ALTER TABLE TB_ATCH_FILE_DETAIL ALTER COLUMN FILE_SEQ TYPE NUMERIC(10,3);</v>
      </c>
      <c r="AE327" s="50" t="str">
        <f t="shared" si="89"/>
        <v>ALTER TABLE TB_ATCH_FILE_DETAIL ADD COLUMN FILE_SEQ NUMERIC(10,3) NOT NULL;</v>
      </c>
      <c r="AF327" s="50" t="str">
        <f t="shared" si="90"/>
        <v>ALTER TABLE TB_ATCH_FILE_DETAIL DROP COLUMN FILE_SEQ;</v>
      </c>
      <c r="AG327" s="50" t="str">
        <f t="shared" si="91"/>
        <v/>
      </c>
      <c r="AH327" s="50" t="str">
        <f t="shared" si="63"/>
        <v>COMMENT ON COLUMN TB_ATCH_FILE_DETAIL.FILE_SEQ IS '파일 순번' ;</v>
      </c>
    </row>
    <row r="328" spans="1:34" ht="20.100000000000001" customHeight="1">
      <c r="A328" s="55">
        <v>332</v>
      </c>
      <c r="B328" s="26" t="s">
        <v>7</v>
      </c>
      <c r="C328" s="26" t="s">
        <v>19</v>
      </c>
      <c r="D328" s="10" t="s">
        <v>389</v>
      </c>
      <c r="E328" s="10" t="s">
        <v>390</v>
      </c>
      <c r="F328" s="92">
        <v>3</v>
      </c>
      <c r="G328" s="109" t="s">
        <v>398</v>
      </c>
      <c r="H328" s="109" t="s">
        <v>393</v>
      </c>
      <c r="I328" s="90" t="s">
        <v>391</v>
      </c>
      <c r="J328" s="90"/>
      <c r="K328" s="90"/>
      <c r="L328" s="90"/>
      <c r="M328" s="90"/>
      <c r="N328" s="90"/>
      <c r="O328" s="90"/>
      <c r="P328" s="109" t="s">
        <v>413</v>
      </c>
      <c r="Q328" s="126" t="s">
        <v>564</v>
      </c>
      <c r="R328" s="90"/>
      <c r="S328" s="109" t="s">
        <v>407</v>
      </c>
      <c r="T328" s="130"/>
      <c r="U328" s="130"/>
      <c r="V328" s="109"/>
      <c r="W328" s="90"/>
      <c r="X328" s="130"/>
      <c r="Y328" s="129" t="str">
        <f t="shared" si="60"/>
        <v>TB_ATCH_FILE_DETAIL</v>
      </c>
      <c r="Z328" s="50" t="str">
        <f t="shared" si="87"/>
        <v>FILE_STRE_PATH VARCHAR(2000) NOT NULL,</v>
      </c>
      <c r="AA328" s="50" t="str">
        <f t="shared" si="61"/>
        <v/>
      </c>
      <c r="AB328" s="50" t="str">
        <f t="shared" si="62"/>
        <v/>
      </c>
      <c r="AC328" s="50" t="str">
        <f t="shared" si="86"/>
        <v/>
      </c>
      <c r="AD328" s="50" t="str">
        <f t="shared" si="88"/>
        <v>ALTER TABLE TB_ATCH_FILE_DETAIL ALTER COLUMN FILE_STRE_PATH TYPE VARCHAR(2000);</v>
      </c>
      <c r="AE328" s="50" t="str">
        <f t="shared" si="89"/>
        <v>ALTER TABLE TB_ATCH_FILE_DETAIL ADD COLUMN FILE_STRE_PATH VARCHAR(2000) NOT NULL;</v>
      </c>
      <c r="AF328" s="50" t="str">
        <f t="shared" si="90"/>
        <v>ALTER TABLE TB_ATCH_FILE_DETAIL DROP COLUMN FILE_STRE_PATH;</v>
      </c>
      <c r="AG328" s="50" t="str">
        <f t="shared" si="91"/>
        <v/>
      </c>
      <c r="AH328" s="50" t="str">
        <f t="shared" si="63"/>
        <v>COMMENT ON COLUMN TB_ATCH_FILE_DETAIL.FILE_STRE_PATH IS '파일 저장 경로' ;</v>
      </c>
    </row>
    <row r="329" spans="1:34" ht="20.100000000000001" customHeight="1">
      <c r="A329" s="55">
        <v>333</v>
      </c>
      <c r="B329" s="26" t="s">
        <v>7</v>
      </c>
      <c r="C329" s="26" t="s">
        <v>19</v>
      </c>
      <c r="D329" s="10" t="s">
        <v>389</v>
      </c>
      <c r="E329" s="10" t="s">
        <v>390</v>
      </c>
      <c r="F329" s="92">
        <v>4</v>
      </c>
      <c r="G329" s="109" t="s">
        <v>399</v>
      </c>
      <c r="H329" s="109" t="s">
        <v>400</v>
      </c>
      <c r="I329" s="90" t="s">
        <v>391</v>
      </c>
      <c r="J329" s="90"/>
      <c r="K329" s="90"/>
      <c r="L329" s="90"/>
      <c r="M329" s="90"/>
      <c r="N329" s="90"/>
      <c r="O329" s="90"/>
      <c r="P329" s="109" t="s">
        <v>413</v>
      </c>
      <c r="Q329" s="126" t="s">
        <v>562</v>
      </c>
      <c r="R329" s="90"/>
      <c r="S329" s="109" t="s">
        <v>408</v>
      </c>
      <c r="T329" s="130"/>
      <c r="U329" s="130"/>
      <c r="V329" s="109"/>
      <c r="W329" s="90"/>
      <c r="X329" s="130"/>
      <c r="Y329" s="129" t="str">
        <f t="shared" si="60"/>
        <v>TB_ATCH_FILE_DETAIL</v>
      </c>
      <c r="Z329" s="50" t="str">
        <f t="shared" si="87"/>
        <v>STRE_FILE_NM VARCHAR(255) NOT NULL,</v>
      </c>
      <c r="AA329" s="50" t="str">
        <f t="shared" si="61"/>
        <v/>
      </c>
      <c r="AB329" s="50" t="str">
        <f t="shared" si="62"/>
        <v/>
      </c>
      <c r="AC329" s="50" t="str">
        <f t="shared" si="86"/>
        <v/>
      </c>
      <c r="AD329" s="50" t="str">
        <f t="shared" si="88"/>
        <v>ALTER TABLE TB_ATCH_FILE_DETAIL ALTER COLUMN STRE_FILE_NM TYPE VARCHAR(255);</v>
      </c>
      <c r="AE329" s="50" t="str">
        <f t="shared" si="89"/>
        <v>ALTER TABLE TB_ATCH_FILE_DETAIL ADD COLUMN STRE_FILE_NM VARCHAR(255) NOT NULL;</v>
      </c>
      <c r="AF329" s="50" t="str">
        <f t="shared" si="90"/>
        <v>ALTER TABLE TB_ATCH_FILE_DETAIL DROP COLUMN STRE_FILE_NM;</v>
      </c>
      <c r="AG329" s="50" t="str">
        <f t="shared" si="91"/>
        <v/>
      </c>
      <c r="AH329" s="50" t="str">
        <f t="shared" si="63"/>
        <v>COMMENT ON COLUMN TB_ATCH_FILE_DETAIL.STRE_FILE_NM IS '저장 파일 이름' ;</v>
      </c>
    </row>
    <row r="330" spans="1:34" ht="20.100000000000001" customHeight="1">
      <c r="A330" s="55">
        <v>334</v>
      </c>
      <c r="B330" s="26" t="s">
        <v>7</v>
      </c>
      <c r="C330" s="26" t="s">
        <v>19</v>
      </c>
      <c r="D330" s="10" t="s">
        <v>389</v>
      </c>
      <c r="E330" s="10" t="s">
        <v>390</v>
      </c>
      <c r="F330" s="92">
        <v>5</v>
      </c>
      <c r="G330" s="109" t="s">
        <v>401</v>
      </c>
      <c r="H330" s="109" t="s">
        <v>394</v>
      </c>
      <c r="I330" s="90" t="s">
        <v>391</v>
      </c>
      <c r="J330" s="90"/>
      <c r="K330" s="90"/>
      <c r="L330" s="90"/>
      <c r="M330" s="90"/>
      <c r="N330" s="90"/>
      <c r="O330" s="90"/>
      <c r="P330" s="109" t="s">
        <v>413</v>
      </c>
      <c r="Q330" s="126" t="s">
        <v>562</v>
      </c>
      <c r="R330" s="90"/>
      <c r="S330" s="109" t="s">
        <v>409</v>
      </c>
      <c r="T330" s="130"/>
      <c r="U330" s="130"/>
      <c r="V330" s="109"/>
      <c r="W330" s="90"/>
      <c r="X330" s="130"/>
      <c r="Y330" s="129" t="str">
        <f t="shared" si="60"/>
        <v>TB_ATCH_FILE_DETAIL</v>
      </c>
      <c r="Z330" s="50" t="str">
        <f t="shared" si="87"/>
        <v>ORIGNL_FILE_NM VARCHAR(255) NOT NULL,</v>
      </c>
      <c r="AA330" s="50" t="str">
        <f t="shared" si="61"/>
        <v/>
      </c>
      <c r="AB330" s="50" t="str">
        <f t="shared" si="62"/>
        <v/>
      </c>
      <c r="AC330" s="50" t="str">
        <f t="shared" si="86"/>
        <v/>
      </c>
      <c r="AD330" s="50" t="str">
        <f t="shared" si="88"/>
        <v>ALTER TABLE TB_ATCH_FILE_DETAIL ALTER COLUMN ORIGNL_FILE_NM TYPE VARCHAR(255);</v>
      </c>
      <c r="AE330" s="50" t="str">
        <f t="shared" si="89"/>
        <v>ALTER TABLE TB_ATCH_FILE_DETAIL ADD COLUMN ORIGNL_FILE_NM VARCHAR(255) NOT NULL;</v>
      </c>
      <c r="AF330" s="50" t="str">
        <f t="shared" si="90"/>
        <v>ALTER TABLE TB_ATCH_FILE_DETAIL DROP COLUMN ORIGNL_FILE_NM;</v>
      </c>
      <c r="AG330" s="50" t="str">
        <f t="shared" si="91"/>
        <v/>
      </c>
      <c r="AH330" s="50" t="str">
        <f t="shared" si="63"/>
        <v>COMMENT ON COLUMN TB_ATCH_FILE_DETAIL.ORIGNL_FILE_NM IS '원 파일 이름' ;</v>
      </c>
    </row>
    <row r="331" spans="1:34" ht="20.100000000000001" customHeight="1">
      <c r="A331" s="55">
        <v>335</v>
      </c>
      <c r="B331" s="26" t="s">
        <v>7</v>
      </c>
      <c r="C331" s="26" t="s">
        <v>19</v>
      </c>
      <c r="D331" s="10" t="s">
        <v>389</v>
      </c>
      <c r="E331" s="10" t="s">
        <v>390</v>
      </c>
      <c r="F331" s="92">
        <v>6</v>
      </c>
      <c r="G331" s="109" t="s">
        <v>402</v>
      </c>
      <c r="H331" s="109" t="s">
        <v>395</v>
      </c>
      <c r="I331" s="90" t="s">
        <v>391</v>
      </c>
      <c r="J331" s="90"/>
      <c r="K331" s="90"/>
      <c r="L331" s="90"/>
      <c r="M331" s="90"/>
      <c r="N331" s="90"/>
      <c r="O331" s="90"/>
      <c r="P331" s="109" t="s">
        <v>413</v>
      </c>
      <c r="Q331" s="126" t="s">
        <v>559</v>
      </c>
      <c r="R331" s="90"/>
      <c r="S331" s="109" t="s">
        <v>410</v>
      </c>
      <c r="T331" s="130"/>
      <c r="U331" s="130"/>
      <c r="V331" s="109"/>
      <c r="W331" s="90"/>
      <c r="X331" s="130"/>
      <c r="Y331" s="129" t="str">
        <f t="shared" ref="Y331:Y401" si="92">D331</f>
        <v>TB_ATCH_FILE_DETAIL</v>
      </c>
      <c r="Z331" s="50" t="str">
        <f t="shared" si="87"/>
        <v>FILE_EXTSN VARCHAR(20) NOT NULL,</v>
      </c>
      <c r="AA331" s="50" t="str">
        <f t="shared" ref="AA331:AA394" si="93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4" si="94">IF(ISBLANK(T331),"","CREATE SEQUENCE "&amp;T331&amp;" START 100000;")</f>
        <v/>
      </c>
      <c r="AC331" s="50" t="str">
        <f t="shared" si="86"/>
        <v/>
      </c>
      <c r="AD331" s="50" t="str">
        <f t="shared" si="88"/>
        <v>ALTER TABLE TB_ATCH_FILE_DETAIL ALTER COLUMN FILE_EXTSN TYPE VARCHAR(20);</v>
      </c>
      <c r="AE331" s="50" t="str">
        <f t="shared" si="89"/>
        <v>ALTER TABLE TB_ATCH_FILE_DETAIL ADD COLUMN FILE_EXTSN VARCHAR(20) NOT NULL;</v>
      </c>
      <c r="AF331" s="50" t="str">
        <f t="shared" si="90"/>
        <v>ALTER TABLE TB_ATCH_FILE_DETAIL DROP COLUMN FILE_EXTSN;</v>
      </c>
      <c r="AG331" s="50" t="str">
        <f t="shared" si="91"/>
        <v/>
      </c>
      <c r="AH331" s="50" t="str">
        <f t="shared" ref="AH331:AH401" si="95">"COMMENT ON COLUMN "&amp;D331&amp;"."&amp;G331&amp;" IS '"&amp;S331&amp;"' ;"</f>
        <v>COMMENT ON COLUMN TB_ATCH_FILE_DETAIL.FILE_EXTSN IS '파일 확장자' ;</v>
      </c>
    </row>
    <row r="332" spans="1:34" ht="20.100000000000001" customHeight="1">
      <c r="A332" s="55">
        <v>336</v>
      </c>
      <c r="B332" s="26" t="s">
        <v>7</v>
      </c>
      <c r="C332" s="26" t="s">
        <v>19</v>
      </c>
      <c r="D332" s="10" t="s">
        <v>389</v>
      </c>
      <c r="E332" s="10" t="s">
        <v>390</v>
      </c>
      <c r="F332" s="92">
        <v>7</v>
      </c>
      <c r="G332" s="109" t="s">
        <v>403</v>
      </c>
      <c r="H332" s="109" t="s">
        <v>396</v>
      </c>
      <c r="I332" s="90"/>
      <c r="J332" s="90"/>
      <c r="K332" s="90"/>
      <c r="L332" s="90"/>
      <c r="M332" s="90"/>
      <c r="N332" s="90"/>
      <c r="O332" s="90"/>
      <c r="P332" s="109" t="s">
        <v>414</v>
      </c>
      <c r="Q332" s="92"/>
      <c r="R332" s="90"/>
      <c r="S332" s="109" t="s">
        <v>411</v>
      </c>
      <c r="T332" s="130"/>
      <c r="U332" s="130"/>
      <c r="V332" s="109"/>
      <c r="W332" s="90"/>
      <c r="X332" s="130"/>
      <c r="Y332" s="129" t="str">
        <f t="shared" si="92"/>
        <v>TB_ATCH_FILE_DETAIL</v>
      </c>
      <c r="Z332" s="50" t="str">
        <f t="shared" si="87"/>
        <v>FILE_CN TEXT,</v>
      </c>
      <c r="AA332" s="50" t="str">
        <f t="shared" si="93"/>
        <v/>
      </c>
      <c r="AB332" s="50" t="str">
        <f t="shared" si="94"/>
        <v/>
      </c>
      <c r="AC332" s="50" t="str">
        <f t="shared" si="86"/>
        <v/>
      </c>
      <c r="AD332" s="50" t="str">
        <f t="shared" si="88"/>
        <v>ALTER TABLE TB_ATCH_FILE_DETAIL ALTER COLUMN FILE_CN TYPE TEXT;</v>
      </c>
      <c r="AE332" s="50" t="str">
        <f t="shared" si="89"/>
        <v>ALTER TABLE TB_ATCH_FILE_DETAIL ADD COLUMN FILE_CN TEXT;</v>
      </c>
      <c r="AF332" s="50" t="str">
        <f t="shared" si="90"/>
        <v>ALTER TABLE TB_ATCH_FILE_DETAIL DROP COLUMN FILE_CN;</v>
      </c>
      <c r="AG332" s="50" t="str">
        <f t="shared" si="91"/>
        <v/>
      </c>
      <c r="AH332" s="50" t="str">
        <f t="shared" si="95"/>
        <v>COMMENT ON COLUMN TB_ATCH_FILE_DETAIL.FILE_CN IS '파일 내용' ;</v>
      </c>
    </row>
    <row r="333" spans="1:34" ht="20.100000000000001" customHeight="1">
      <c r="A333" s="55">
        <v>337</v>
      </c>
      <c r="B333" s="26" t="s">
        <v>7</v>
      </c>
      <c r="C333" s="26" t="s">
        <v>19</v>
      </c>
      <c r="D333" s="10" t="s">
        <v>389</v>
      </c>
      <c r="E333" s="10" t="s">
        <v>390</v>
      </c>
      <c r="F333" s="92">
        <v>8</v>
      </c>
      <c r="G333" s="109" t="s">
        <v>404</v>
      </c>
      <c r="H333" s="109" t="s">
        <v>397</v>
      </c>
      <c r="I333" s="90" t="s">
        <v>391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412</v>
      </c>
      <c r="T333" s="130"/>
      <c r="U333" s="130"/>
      <c r="V333" s="109"/>
      <c r="W333" s="90"/>
      <c r="X333" s="130"/>
      <c r="Y333" s="129" t="str">
        <f t="shared" si="92"/>
        <v>TB_ATCH_FILE_DETAIL</v>
      </c>
      <c r="Z333" s="50" t="str">
        <f t="shared" si="87"/>
        <v>FILE_SIZE NUMERIC(10,3) NOT NULL,</v>
      </c>
      <c r="AA333" s="50" t="str">
        <f t="shared" si="93"/>
        <v/>
      </c>
      <c r="AB333" s="50" t="str">
        <f t="shared" si="94"/>
        <v/>
      </c>
      <c r="AC333" s="50" t="str">
        <f t="shared" si="86"/>
        <v/>
      </c>
      <c r="AD333" s="50" t="str">
        <f t="shared" si="88"/>
        <v>ALTER TABLE TB_ATCH_FILE_DETAIL ALTER COLUMN FILE_SIZE TYPE NUMERIC(10,3);</v>
      </c>
      <c r="AE333" s="50" t="str">
        <f t="shared" si="89"/>
        <v>ALTER TABLE TB_ATCH_FILE_DETAIL ADD COLUMN FILE_SIZE NUMERIC(10,3) NOT NULL;</v>
      </c>
      <c r="AF333" s="50" t="str">
        <f t="shared" si="90"/>
        <v>ALTER TABLE TB_ATCH_FILE_DETAIL DROP COLUMN FILE_SIZE;</v>
      </c>
      <c r="AG333" s="50" t="str">
        <f t="shared" si="91"/>
        <v/>
      </c>
      <c r="AH333" s="50" t="str">
        <f t="shared" si="95"/>
        <v>COMMENT ON COLUMN TB_ATCH_FILE_DETAIL.FILE_SIZE IS '파일 크기' ;</v>
      </c>
    </row>
    <row r="334" spans="1:34" ht="20.100000000000001" customHeight="1">
      <c r="A334" s="55">
        <v>338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419</v>
      </c>
      <c r="H334" s="109" t="s">
        <v>415</v>
      </c>
      <c r="I334" s="90" t="s">
        <v>436</v>
      </c>
      <c r="J334" s="90">
        <v>1</v>
      </c>
      <c r="K334" s="90"/>
      <c r="L334" s="90"/>
      <c r="M334" s="90"/>
      <c r="N334" s="90"/>
      <c r="O334" s="90"/>
      <c r="P334" s="109" t="s">
        <v>437</v>
      </c>
      <c r="Q334" s="92"/>
      <c r="R334" s="90"/>
      <c r="S334" s="109" t="s">
        <v>494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92"/>
        <v>TB_MENU</v>
      </c>
      <c r="Z334" s="50" t="str">
        <f t="shared" si="87"/>
        <v>MENU_SN INTEGER PRIMARY KEY,</v>
      </c>
      <c r="AA334" s="50" t="str">
        <f t="shared" si="93"/>
        <v/>
      </c>
      <c r="AB334" s="50" t="str">
        <f t="shared" si="94"/>
        <v>CREATE SEQUENCE SEQ_TB_MENU_SN START 100000;</v>
      </c>
      <c r="AC334" s="50" t="str">
        <f t="shared" si="86"/>
        <v>ALTER TABLE TB_MENU ALTER COLUMN MENU_SN SET DEFAULT NEXTVAL('SEQ_TB_MENU_SN');</v>
      </c>
      <c r="AD334" s="50" t="str">
        <f t="shared" si="88"/>
        <v>ALTER TABLE TB_MENU ALTER COLUMN MENU_SN TYPE INTEGER;</v>
      </c>
      <c r="AE334" s="50" t="str">
        <f t="shared" si="89"/>
        <v>ALTER TABLE TB_MENU ADD COLUMN MENU_SN INTEGER NOT NULL;</v>
      </c>
      <c r="AF334" s="50" t="str">
        <f t="shared" si="90"/>
        <v>ALTER TABLE TB_MENU DROP COLUMN MENU_SN;</v>
      </c>
      <c r="AG334" s="50" t="str">
        <f t="shared" si="91"/>
        <v/>
      </c>
      <c r="AH334" s="50" t="str">
        <f t="shared" si="95"/>
        <v>COMMENT ON COLUMN TB_MENU.MENU_SN IS '메뉴 일련번호' ;</v>
      </c>
    </row>
    <row r="335" spans="1:34" ht="20.100000000000001" customHeight="1">
      <c r="A335" s="55">
        <v>339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420</v>
      </c>
      <c r="H335" s="109" t="s">
        <v>416</v>
      </c>
      <c r="I335" s="90"/>
      <c r="J335" s="90"/>
      <c r="K335" s="90"/>
      <c r="L335" s="90"/>
      <c r="M335" s="90"/>
      <c r="N335" s="90"/>
      <c r="O335" s="90"/>
      <c r="P335" s="109" t="s">
        <v>437</v>
      </c>
      <c r="Q335" s="92"/>
      <c r="R335" s="90"/>
      <c r="S335" s="109" t="s">
        <v>489</v>
      </c>
      <c r="T335" s="132" t="str">
        <f>"SEQ_"&amp;D335&amp;"_SN2"</f>
        <v>SEQ_TB_MENU_SN2</v>
      </c>
      <c r="U335" s="130"/>
      <c r="V335" s="109"/>
      <c r="W335" s="90"/>
      <c r="X335" s="130"/>
      <c r="Y335" s="129" t="str">
        <f t="shared" si="92"/>
        <v>TB_MENU</v>
      </c>
      <c r="Z335" s="50" t="str">
        <f t="shared" si="87"/>
        <v>UPPER_MENU_SN INTEGER,</v>
      </c>
      <c r="AA335" s="50" t="str">
        <f t="shared" si="93"/>
        <v/>
      </c>
      <c r="AB335" s="50" t="str">
        <f t="shared" si="94"/>
        <v>CREATE SEQUENCE SEQ_TB_MENU_SN2 START 100000;</v>
      </c>
      <c r="AC335" s="50" t="str">
        <f t="shared" si="86"/>
        <v>ALTER TABLE TB_MENU ALTER COLUMN UPPER_MENU_SN SET DEFAULT NEXTVAL('SEQ_TB_MENU_SN2');</v>
      </c>
      <c r="AD335" s="50" t="str">
        <f t="shared" si="88"/>
        <v>ALTER TABLE TB_MENU ALTER COLUMN UPPER_MENU_SN TYPE INTEGER;</v>
      </c>
      <c r="AE335" s="50" t="str">
        <f t="shared" si="89"/>
        <v>ALTER TABLE TB_MENU ADD COLUMN UPPER_MENU_SN INTEGER;</v>
      </c>
      <c r="AF335" s="50" t="str">
        <f t="shared" si="90"/>
        <v>ALTER TABLE TB_MENU DROP COLUMN UPPER_MENU_SN;</v>
      </c>
      <c r="AG335" s="50" t="str">
        <f t="shared" si="91"/>
        <v/>
      </c>
      <c r="AH335" s="50" t="str">
        <f t="shared" si="95"/>
        <v>COMMENT ON COLUMN TB_MENU.UPPER_MENU_SN IS '상위 메뉴 일련번호' ;</v>
      </c>
    </row>
    <row r="336" spans="1:34" ht="20.100000000000001" customHeight="1">
      <c r="A336" s="55">
        <v>340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421</v>
      </c>
      <c r="H336" s="109" t="s">
        <v>422</v>
      </c>
      <c r="I336" s="90" t="s">
        <v>436</v>
      </c>
      <c r="J336" s="90"/>
      <c r="K336" s="90"/>
      <c r="L336" s="90"/>
      <c r="M336" s="90"/>
      <c r="N336" s="90"/>
      <c r="O336" s="90"/>
      <c r="P336" s="109" t="s">
        <v>438</v>
      </c>
      <c r="Q336" s="126" t="s">
        <v>562</v>
      </c>
      <c r="R336" s="90"/>
      <c r="S336" s="109" t="s">
        <v>490</v>
      </c>
      <c r="T336" s="130"/>
      <c r="U336" s="130" t="s">
        <v>581</v>
      </c>
      <c r="V336" s="109"/>
      <c r="W336" s="90"/>
      <c r="X336" s="130"/>
      <c r="Y336" s="129" t="str">
        <f t="shared" si="92"/>
        <v>TB_MENU</v>
      </c>
      <c r="Z336" s="50" t="str">
        <f t="shared" si="87"/>
        <v>MENU_NM VARCHAR(255) NOT NULL,</v>
      </c>
      <c r="AA336" s="50" t="str">
        <f t="shared" si="93"/>
        <v/>
      </c>
      <c r="AB336" s="50" t="str">
        <f t="shared" si="94"/>
        <v/>
      </c>
      <c r="AC336" s="50" t="str">
        <f t="shared" si="86"/>
        <v/>
      </c>
      <c r="AD336" s="50" t="str">
        <f t="shared" si="88"/>
        <v>ALTER TABLE TB_MENU ALTER COLUMN MENU_NM TYPE VARCHAR(255);</v>
      </c>
      <c r="AE336" s="50" t="str">
        <f t="shared" si="89"/>
        <v>ALTER TABLE TB_MENU ADD COLUMN MENU_NM VARCHAR(255) NOT NULL;</v>
      </c>
      <c r="AF336" s="50" t="str">
        <f t="shared" si="90"/>
        <v>ALTER TABLE TB_MENU DROP COLUMN MENU_NM;</v>
      </c>
      <c r="AG336" s="50" t="str">
        <f t="shared" si="91"/>
        <v/>
      </c>
      <c r="AH336" s="50" t="str">
        <f t="shared" si="95"/>
        <v>COMMENT ON COLUMN TB_MENU.MENU_NM IS '메뉴 이름' ;</v>
      </c>
    </row>
    <row r="337" spans="1:34" ht="20.100000000000001" customHeight="1">
      <c r="A337" s="55">
        <v>341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662</v>
      </c>
      <c r="H337" s="109" t="s">
        <v>663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562</v>
      </c>
      <c r="R337" s="90"/>
      <c r="S337" s="109" t="s">
        <v>664</v>
      </c>
      <c r="T337" s="130"/>
      <c r="U337" s="130"/>
      <c r="V337" s="109"/>
      <c r="W337" s="90"/>
      <c r="X337" s="130"/>
      <c r="Y337" s="129" t="str">
        <f t="shared" ref="Y337" si="96">D337</f>
        <v>TB_MENU</v>
      </c>
      <c r="Z337" s="50" t="str">
        <f t="shared" si="87"/>
        <v>MENU_CD VARCHAR(255) NOT NULL,</v>
      </c>
      <c r="AA337" s="50" t="str">
        <f t="shared" si="93"/>
        <v/>
      </c>
      <c r="AB337" s="50" t="str">
        <f t="shared" si="94"/>
        <v/>
      </c>
      <c r="AC337" s="50" t="str">
        <f t="shared" si="86"/>
        <v/>
      </c>
      <c r="AD337" s="50" t="str">
        <f t="shared" si="88"/>
        <v>ALTER TABLE TB_MENU ALTER COLUMN MENU_CD TYPE VARCHAR(255);</v>
      </c>
      <c r="AE337" s="50" t="str">
        <f t="shared" si="89"/>
        <v>ALTER TABLE TB_MENU ADD COLUMN MENU_CD VARCHAR(255) NOT NULL;</v>
      </c>
      <c r="AF337" s="50" t="str">
        <f t="shared" si="90"/>
        <v>ALTER TABLE TB_MENU DROP COLUMN MENU_CD;</v>
      </c>
      <c r="AG337" s="50" t="str">
        <f t="shared" si="91"/>
        <v/>
      </c>
      <c r="AH337" s="50" t="str">
        <f t="shared" ref="AH337" si="97">"COMMENT ON COLUMN "&amp;D337&amp;"."&amp;G337&amp;" IS '"&amp;S337&amp;"' ;"</f>
        <v>COMMENT ON COLUMN TB_MENU.MENU_CD IS '메뉴 코드' ;</v>
      </c>
    </row>
    <row r="338" spans="1:34" ht="20.100000000000001" customHeight="1">
      <c r="A338" s="55">
        <v>342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441</v>
      </c>
      <c r="H338" s="109" t="s">
        <v>440</v>
      </c>
      <c r="I338" s="90"/>
      <c r="J338" s="90"/>
      <c r="K338" s="90"/>
      <c r="L338" s="90"/>
      <c r="M338" s="90"/>
      <c r="N338" s="90"/>
      <c r="O338" s="90"/>
      <c r="P338" s="109" t="s">
        <v>438</v>
      </c>
      <c r="Q338" s="126" t="s">
        <v>564</v>
      </c>
      <c r="R338" s="90"/>
      <c r="S338" s="109" t="s">
        <v>491</v>
      </c>
      <c r="T338" s="130"/>
      <c r="U338" s="130"/>
      <c r="V338" s="109"/>
      <c r="W338" s="90"/>
      <c r="X338" s="130"/>
      <c r="Y338" s="129" t="str">
        <f t="shared" si="92"/>
        <v>TB_MENU</v>
      </c>
      <c r="Z338" s="50" t="str">
        <f t="shared" si="87"/>
        <v>MENU_URL VARCHAR(2000),</v>
      </c>
      <c r="AA338" s="50" t="str">
        <f t="shared" si="93"/>
        <v/>
      </c>
      <c r="AB338" s="50" t="str">
        <f t="shared" si="94"/>
        <v/>
      </c>
      <c r="AC338" s="50" t="str">
        <f t="shared" si="86"/>
        <v/>
      </c>
      <c r="AD338" s="50" t="str">
        <f t="shared" si="88"/>
        <v>ALTER TABLE TB_MENU ALTER COLUMN MENU_URL TYPE VARCHAR(2000);</v>
      </c>
      <c r="AE338" s="50" t="str">
        <f t="shared" si="89"/>
        <v>ALTER TABLE TB_MENU ADD COLUMN MENU_URL VARCHAR(2000);</v>
      </c>
      <c r="AF338" s="50" t="str">
        <f t="shared" si="90"/>
        <v>ALTER TABLE TB_MENU DROP COLUMN MENU_URL;</v>
      </c>
      <c r="AG338" s="50" t="str">
        <f t="shared" si="91"/>
        <v/>
      </c>
      <c r="AH338" s="50" t="str">
        <f t="shared" si="95"/>
        <v>COMMENT ON COLUMN TB_MENU.MENU_URL IS '메뉴 URL' ;</v>
      </c>
    </row>
    <row r="339" spans="1:34" ht="20.100000000000001" customHeight="1">
      <c r="A339" s="55">
        <v>343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583</v>
      </c>
      <c r="H339" s="109" t="s">
        <v>582</v>
      </c>
      <c r="I339" s="90" t="s">
        <v>584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556</v>
      </c>
      <c r="R339" s="90"/>
      <c r="S339" s="109" t="s">
        <v>585</v>
      </c>
      <c r="T339" s="130"/>
      <c r="U339" s="130"/>
      <c r="V339" s="109" t="s">
        <v>586</v>
      </c>
      <c r="W339" s="90"/>
      <c r="X339" s="130"/>
      <c r="Y339" s="129" t="str">
        <f t="shared" si="92"/>
        <v>TB_MENU</v>
      </c>
      <c r="Z339" s="50" t="str">
        <f t="shared" si="87"/>
        <v>PARNTS_MENU_YN VARCHAR(1) NOT NULL,</v>
      </c>
      <c r="AA339" s="50" t="str">
        <f t="shared" si="93"/>
        <v/>
      </c>
      <c r="AB339" s="50" t="str">
        <f t="shared" si="94"/>
        <v/>
      </c>
      <c r="AC339" s="50" t="str">
        <f t="shared" si="86"/>
        <v/>
      </c>
      <c r="AD339" s="50" t="str">
        <f t="shared" si="88"/>
        <v>ALTER TABLE TB_MENU ALTER COLUMN PARNTS_MENU_YN TYPE VARCHAR(1);</v>
      </c>
      <c r="AE339" s="50" t="str">
        <f t="shared" si="89"/>
        <v>ALTER TABLE TB_MENU ADD COLUMN PARNTS_MENU_YN VARCHAR(1) NOT NULL;</v>
      </c>
      <c r="AF339" s="50" t="str">
        <f t="shared" si="90"/>
        <v>ALTER TABLE TB_MENU DROP COLUMN PARNTS_MENU_YN;</v>
      </c>
      <c r="AG339" s="50" t="str">
        <f t="shared" si="91"/>
        <v/>
      </c>
      <c r="AH339" s="50" t="str">
        <f t="shared" si="95"/>
        <v>COMMENT ON COLUMN TB_MENU.PARNTS_MENU_YN IS '부모 메뉴 여부' ;</v>
      </c>
    </row>
    <row r="340" spans="1:34" ht="20.100000000000001" customHeight="1">
      <c r="A340" s="55">
        <v>344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423</v>
      </c>
      <c r="H340" s="109" t="s">
        <v>417</v>
      </c>
      <c r="I340" s="90" t="s">
        <v>436</v>
      </c>
      <c r="J340" s="90"/>
      <c r="K340" s="90"/>
      <c r="L340" s="90"/>
      <c r="M340" s="90"/>
      <c r="N340" s="90"/>
      <c r="O340" s="90"/>
      <c r="P340" s="105" t="s">
        <v>178</v>
      </c>
      <c r="Q340" s="47" t="s">
        <v>200</v>
      </c>
      <c r="R340" s="90"/>
      <c r="S340" s="109" t="s">
        <v>492</v>
      </c>
      <c r="T340" s="132" t="str">
        <f>"SEQ_"&amp;D340&amp;"_SEQ"</f>
        <v>SEQ_TB_MENU_SEQ</v>
      </c>
      <c r="U340" s="132"/>
      <c r="V340" s="109"/>
      <c r="W340" s="90"/>
      <c r="X340" s="130"/>
      <c r="Y340" s="129" t="str">
        <f t="shared" si="92"/>
        <v>TB_MENU</v>
      </c>
      <c r="Z340" s="50" t="str">
        <f t="shared" si="87"/>
        <v>MENU_SEQ NUMERIC(10,3) NOT NULL,</v>
      </c>
      <c r="AA340" s="50" t="str">
        <f t="shared" si="93"/>
        <v/>
      </c>
      <c r="AB340" s="50" t="str">
        <f t="shared" si="94"/>
        <v>CREATE SEQUENCE SEQ_TB_MENU_SEQ START 100000;</v>
      </c>
      <c r="AC340" s="50" t="str">
        <f t="shared" si="86"/>
        <v>ALTER TABLE TB_MENU ALTER COLUMN MENU_SEQ SET DEFAULT NEXTVAL('SEQ_TB_MENU_SEQ');</v>
      </c>
      <c r="AD340" s="50" t="str">
        <f t="shared" si="88"/>
        <v>ALTER TABLE TB_MENU ALTER COLUMN MENU_SEQ TYPE NUMERIC(10,3);</v>
      </c>
      <c r="AE340" s="50" t="str">
        <f t="shared" si="89"/>
        <v>ALTER TABLE TB_MENU ADD COLUMN MENU_SEQ NUMERIC(10,3) NOT NULL;</v>
      </c>
      <c r="AF340" s="50" t="str">
        <f t="shared" si="90"/>
        <v>ALTER TABLE TB_MENU DROP COLUMN MENU_SEQ;</v>
      </c>
      <c r="AG340" s="50" t="str">
        <f t="shared" si="91"/>
        <v/>
      </c>
      <c r="AH340" s="50" t="str">
        <f t="shared" si="95"/>
        <v>COMMENT ON COLUMN TB_MENU.MENU_SEQ IS '메뉴 순번' ;</v>
      </c>
    </row>
    <row r="341" spans="1:34" ht="20.100000000000001" customHeight="1">
      <c r="A341" s="55">
        <v>345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612</v>
      </c>
      <c r="H341" s="109" t="s">
        <v>613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556</v>
      </c>
      <c r="R341" s="90"/>
      <c r="S341" s="109" t="s">
        <v>614</v>
      </c>
      <c r="T341" s="132"/>
      <c r="U341" s="132"/>
      <c r="V341" s="109"/>
      <c r="W341" s="90"/>
      <c r="X341" s="130"/>
      <c r="Y341" s="129" t="str">
        <f t="shared" ref="Y341" si="98">D341</f>
        <v>TB_MENU</v>
      </c>
      <c r="Z341" s="50" t="str">
        <f t="shared" si="87"/>
        <v>MENU_DC_SET_YN VARCHAR(1),</v>
      </c>
      <c r="AA341" s="50" t="str">
        <f t="shared" si="93"/>
        <v/>
      </c>
      <c r="AB341" s="50" t="str">
        <f t="shared" si="94"/>
        <v/>
      </c>
      <c r="AC341" s="50" t="str">
        <f t="shared" si="86"/>
        <v/>
      </c>
      <c r="AD341" s="50" t="str">
        <f t="shared" si="88"/>
        <v>ALTER TABLE TB_MENU ALTER COLUMN MENU_DC_SET_YN TYPE VARCHAR(1);</v>
      </c>
      <c r="AE341" s="50" t="str">
        <f t="shared" si="89"/>
        <v>ALTER TABLE TB_MENU ADD COLUMN MENU_DC_SET_YN VARCHAR(1);</v>
      </c>
      <c r="AF341" s="50" t="str">
        <f t="shared" si="90"/>
        <v>ALTER TABLE TB_MENU DROP COLUMN MENU_DC_SET_YN;</v>
      </c>
      <c r="AG341" s="50" t="str">
        <f t="shared" si="91"/>
        <v/>
      </c>
      <c r="AH341" s="50" t="str">
        <f t="shared" ref="AH341" si="99">"COMMENT ON COLUMN "&amp;D341&amp;"."&amp;G341&amp;" IS '"&amp;S341&amp;"' ;"</f>
        <v>COMMENT ON COLUMN TB_MENU.MENU_DC_SET_YN IS '메뉴 설명 설정 여부' ;</v>
      </c>
    </row>
    <row r="342" spans="1:34" ht="20.100000000000001" customHeight="1">
      <c r="A342" s="55">
        <v>346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424</v>
      </c>
      <c r="H342" s="109" t="s">
        <v>418</v>
      </c>
      <c r="I342" s="90"/>
      <c r="J342" s="90"/>
      <c r="K342" s="90"/>
      <c r="L342" s="90"/>
      <c r="M342" s="90"/>
      <c r="N342" s="90"/>
      <c r="O342" s="90"/>
      <c r="P342" s="105" t="s">
        <v>598</v>
      </c>
      <c r="Q342" s="126" t="s">
        <v>562</v>
      </c>
      <c r="R342" s="90"/>
      <c r="S342" s="109" t="s">
        <v>599</v>
      </c>
      <c r="T342" s="132"/>
      <c r="U342" s="132"/>
      <c r="V342" s="109" t="s">
        <v>601</v>
      </c>
      <c r="W342" s="90"/>
      <c r="X342" s="130"/>
      <c r="Y342" s="129" t="str">
        <f t="shared" si="92"/>
        <v>TB_MENU</v>
      </c>
      <c r="Z342" s="50" t="str">
        <f t="shared" si="87"/>
        <v>MENU_DC VARCHAR(255),</v>
      </c>
      <c r="AA342" s="50" t="str">
        <f t="shared" si="93"/>
        <v/>
      </c>
      <c r="AB342" s="50" t="str">
        <f t="shared" si="94"/>
        <v/>
      </c>
      <c r="AC342" s="50" t="str">
        <f t="shared" si="86"/>
        <v/>
      </c>
      <c r="AD342" s="50" t="str">
        <f t="shared" si="88"/>
        <v>ALTER TABLE TB_MENU ALTER COLUMN MENU_DC TYPE VARCHAR(255);</v>
      </c>
      <c r="AE342" s="50" t="str">
        <f t="shared" si="89"/>
        <v>ALTER TABLE TB_MENU ADD COLUMN MENU_DC VARCHAR(255);</v>
      </c>
      <c r="AF342" s="50" t="str">
        <f t="shared" si="90"/>
        <v>ALTER TABLE TB_MENU DROP COLUMN MENU_DC;</v>
      </c>
      <c r="AG342" s="50" t="str">
        <f t="shared" si="91"/>
        <v/>
      </c>
      <c r="AH342" s="50" t="str">
        <f t="shared" si="95"/>
        <v>COMMENT ON COLUMN TB_MENU.MENU_DC IS '메뉴 설명' ;</v>
      </c>
    </row>
    <row r="343" spans="1:34" ht="20.100000000000001" customHeight="1">
      <c r="A343" s="55">
        <v>347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597</v>
      </c>
      <c r="H343" s="109" t="s">
        <v>596</v>
      </c>
      <c r="I343" s="90"/>
      <c r="J343" s="90"/>
      <c r="K343" s="90"/>
      <c r="L343" s="90"/>
      <c r="M343" s="90"/>
      <c r="N343" s="90"/>
      <c r="O343" s="90"/>
      <c r="P343" s="109" t="s">
        <v>439</v>
      </c>
      <c r="Q343" s="92"/>
      <c r="R343" s="90"/>
      <c r="S343" s="109" t="s">
        <v>600</v>
      </c>
      <c r="T343" s="130"/>
      <c r="U343" s="130"/>
      <c r="V343" s="109" t="s">
        <v>602</v>
      </c>
      <c r="W343" s="90"/>
      <c r="X343" s="130"/>
      <c r="Y343" s="129" t="str">
        <f t="shared" si="92"/>
        <v>TB_MENU</v>
      </c>
      <c r="Z343" s="50" t="str">
        <f t="shared" si="87"/>
        <v>MENU_DETAIL_DC TEXT,</v>
      </c>
      <c r="AA343" s="50" t="str">
        <f t="shared" si="93"/>
        <v/>
      </c>
      <c r="AB343" s="50" t="str">
        <f t="shared" si="94"/>
        <v/>
      </c>
      <c r="AC343" s="50" t="str">
        <f t="shared" si="86"/>
        <v/>
      </c>
      <c r="AD343" s="50" t="str">
        <f t="shared" si="88"/>
        <v>ALTER TABLE TB_MENU ALTER COLUMN MENU_DETAIL_DC TYPE TEXT;</v>
      </c>
      <c r="AE343" s="50" t="str">
        <f t="shared" si="89"/>
        <v>ALTER TABLE TB_MENU ADD COLUMN MENU_DETAIL_DC TEXT;</v>
      </c>
      <c r="AF343" s="50" t="str">
        <f t="shared" si="90"/>
        <v>ALTER TABLE TB_MENU DROP COLUMN MENU_DETAIL_DC;</v>
      </c>
      <c r="AG343" s="50" t="str">
        <f t="shared" si="91"/>
        <v/>
      </c>
      <c r="AH343" s="50" t="str">
        <f t="shared" si="95"/>
        <v>COMMENT ON COLUMN TB_MENU.MENU_DETAIL_DC IS '메뉴 상세 설명' ;</v>
      </c>
    </row>
    <row r="344" spans="1:34" ht="20.100000000000001" customHeight="1">
      <c r="A344" s="55">
        <v>348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525</v>
      </c>
      <c r="H344" s="109" t="s">
        <v>524</v>
      </c>
      <c r="I344" s="90"/>
      <c r="J344" s="90"/>
      <c r="K344" s="90">
        <v>1</v>
      </c>
      <c r="L344" s="10" t="s">
        <v>382</v>
      </c>
      <c r="M344" s="101" t="s">
        <v>383</v>
      </c>
      <c r="N344" s="101" t="s">
        <v>574</v>
      </c>
      <c r="O344" s="101" t="s">
        <v>575</v>
      </c>
      <c r="P344" s="109" t="s">
        <v>236</v>
      </c>
      <c r="Q344" s="92"/>
      <c r="R344" s="90"/>
      <c r="S344" s="109" t="s">
        <v>544</v>
      </c>
      <c r="T344" s="130"/>
      <c r="U344" s="130"/>
      <c r="V344" s="109" t="s">
        <v>603</v>
      </c>
      <c r="W344" s="90"/>
      <c r="X344" s="130"/>
      <c r="Y344" s="129" t="str">
        <f t="shared" si="92"/>
        <v>TB_MENU</v>
      </c>
      <c r="Z344" s="50" t="str">
        <f t="shared" si="87"/>
        <v>ATCH_FILE_SN INTEGER,</v>
      </c>
      <c r="AA344" s="50" t="str">
        <f t="shared" si="93"/>
        <v>ALTER TABLE TB_MENU ADD CONSTRAINT TB_MENU_FKEY1 FOREIGN KEY(ATCH_FILE_SN) REFERENCES TB_ATCH_FILE(ATCH_FILE_SN) ON UPDATE CASCADE ON DELETE SET NULL;</v>
      </c>
      <c r="AB344" s="50" t="str">
        <f t="shared" si="94"/>
        <v/>
      </c>
      <c r="AC344" s="50" t="str">
        <f t="shared" si="86"/>
        <v/>
      </c>
      <c r="AD344" s="50" t="str">
        <f t="shared" si="88"/>
        <v>ALTER TABLE TB_MENU ALTER COLUMN ATCH_FILE_SN TYPE INTEGER;</v>
      </c>
      <c r="AE344" s="50" t="str">
        <f t="shared" si="89"/>
        <v>ALTER TABLE TB_MENU ADD COLUMN ATCH_FILE_SN INTEGER;</v>
      </c>
      <c r="AF344" s="50" t="str">
        <f t="shared" si="90"/>
        <v>ALTER TABLE TB_MENU DROP COLUMN ATCH_FILE_SN;</v>
      </c>
      <c r="AG344" s="50" t="str">
        <f t="shared" si="91"/>
        <v/>
      </c>
      <c r="AH344" s="50" t="str">
        <f t="shared" si="95"/>
        <v>COMMENT ON COLUMN TB_MENU.ATCH_FILE_SN IS '첨부 파일 일련번호' ;</v>
      </c>
    </row>
    <row r="345" spans="1:34" ht="20.100000000000001" customHeight="1">
      <c r="A345" s="55">
        <v>349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426</v>
      </c>
      <c r="H345" s="109" t="s">
        <v>425</v>
      </c>
      <c r="I345" s="90" t="s">
        <v>436</v>
      </c>
      <c r="J345" s="90"/>
      <c r="K345" s="90"/>
      <c r="L345" s="90"/>
      <c r="M345" s="90"/>
      <c r="N345" s="90"/>
      <c r="O345" s="90"/>
      <c r="P345" s="51" t="s">
        <v>106</v>
      </c>
      <c r="Q345" s="126" t="s">
        <v>556</v>
      </c>
      <c r="R345" s="90"/>
      <c r="S345" s="109" t="s">
        <v>483</v>
      </c>
      <c r="T345" s="130"/>
      <c r="U345" s="130"/>
      <c r="V345" s="109"/>
      <c r="W345" s="90"/>
      <c r="X345" s="130"/>
      <c r="Y345" s="129" t="str">
        <f t="shared" si="92"/>
        <v>TB_MENU</v>
      </c>
      <c r="Z345" s="50" t="str">
        <f t="shared" si="87"/>
        <v>USE_YN VARCHAR(1) NOT NULL,</v>
      </c>
      <c r="AA345" s="50" t="str">
        <f t="shared" si="93"/>
        <v/>
      </c>
      <c r="AB345" s="50" t="str">
        <f t="shared" si="94"/>
        <v/>
      </c>
      <c r="AC345" s="50" t="str">
        <f t="shared" si="86"/>
        <v/>
      </c>
      <c r="AD345" s="50" t="str">
        <f t="shared" si="88"/>
        <v>ALTER TABLE TB_MENU ALTER COLUMN USE_YN TYPE VARCHAR(1);</v>
      </c>
      <c r="AE345" s="50" t="str">
        <f t="shared" si="89"/>
        <v>ALTER TABLE TB_MENU ADD COLUMN USE_YN VARCHAR(1) NOT NULL;</v>
      </c>
      <c r="AF345" s="50" t="str">
        <f t="shared" si="90"/>
        <v>ALTER TABLE TB_MENU DROP COLUMN USE_YN;</v>
      </c>
      <c r="AG345" s="50" t="str">
        <f t="shared" si="91"/>
        <v/>
      </c>
      <c r="AH345" s="50" t="str">
        <f t="shared" si="95"/>
        <v>COMMENT ON COLUMN TB_MENU.USE_YN IS '사용 여부' ;</v>
      </c>
    </row>
    <row r="346" spans="1:34" ht="20.100000000000001" customHeight="1">
      <c r="A346" s="55">
        <v>350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2" t="s">
        <v>107</v>
      </c>
      <c r="H346" s="51" t="s">
        <v>76</v>
      </c>
      <c r="I346" s="75" t="s">
        <v>72</v>
      </c>
      <c r="J346" s="67"/>
      <c r="K346" s="67"/>
      <c r="L346" s="82"/>
      <c r="M346" s="82"/>
      <c r="N346" s="82"/>
      <c r="O346" s="82"/>
      <c r="P346" s="105" t="s">
        <v>555</v>
      </c>
      <c r="Q346" s="126" t="s">
        <v>560</v>
      </c>
      <c r="R346" s="85"/>
      <c r="S346" s="112" t="s">
        <v>226</v>
      </c>
      <c r="T346" s="130"/>
      <c r="U346" s="130"/>
      <c r="V346" s="123" t="s">
        <v>529</v>
      </c>
      <c r="W346" s="90"/>
      <c r="X346" s="130"/>
      <c r="Y346" s="129" t="str">
        <f t="shared" si="92"/>
        <v>TB_MENU</v>
      </c>
      <c r="Z346" s="50" t="str">
        <f t="shared" si="87"/>
        <v>REGISTER_ID VARCHAR(50) NOT NULL,</v>
      </c>
      <c r="AA346" s="50" t="str">
        <f t="shared" si="93"/>
        <v/>
      </c>
      <c r="AB346" s="50" t="str">
        <f t="shared" si="94"/>
        <v/>
      </c>
      <c r="AC346" s="50" t="str">
        <f t="shared" si="86"/>
        <v/>
      </c>
      <c r="AD346" s="50" t="str">
        <f t="shared" si="88"/>
        <v>ALTER TABLE TB_MENU ALTER COLUMN REGISTER_ID TYPE VARCHAR(50);</v>
      </c>
      <c r="AE346" s="50" t="str">
        <f t="shared" si="89"/>
        <v>ALTER TABLE TB_MENU ADD COLUMN REGISTER_ID VARCHAR(50) NOT NULL;</v>
      </c>
      <c r="AF346" s="50" t="str">
        <f t="shared" si="90"/>
        <v>ALTER TABLE TB_MENU DROP COLUMN REGISTER_ID;</v>
      </c>
      <c r="AG346" s="50" t="str">
        <f t="shared" si="91"/>
        <v/>
      </c>
      <c r="AH346" s="50" t="str">
        <f t="shared" si="95"/>
        <v>COMMENT ON COLUMN TB_MENU.REGISTER_ID IS '등록자 ID' ;</v>
      </c>
    </row>
    <row r="347" spans="1:34" ht="20.100000000000001" customHeight="1">
      <c r="A347" s="55">
        <v>351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91</v>
      </c>
      <c r="H347" s="51" t="s">
        <v>77</v>
      </c>
      <c r="I347" s="75" t="s">
        <v>72</v>
      </c>
      <c r="J347" s="52"/>
      <c r="K347" s="52"/>
      <c r="L347" s="52"/>
      <c r="M347" s="52"/>
      <c r="N347" s="52"/>
      <c r="O347" s="52"/>
      <c r="P347" s="56" t="s">
        <v>106</v>
      </c>
      <c r="Q347" s="127" t="s">
        <v>561</v>
      </c>
      <c r="R347" s="85"/>
      <c r="S347" s="112" t="s">
        <v>225</v>
      </c>
      <c r="T347" s="130"/>
      <c r="U347" s="130"/>
      <c r="V347" s="109"/>
      <c r="W347" s="90"/>
      <c r="X347" s="130"/>
      <c r="Y347" s="129" t="str">
        <f t="shared" si="92"/>
        <v>TB_MENU</v>
      </c>
      <c r="Z347" s="50" t="str">
        <f t="shared" si="87"/>
        <v>REGISTER_IP VARCHAR(100) NOT NULL,</v>
      </c>
      <c r="AA347" s="50" t="str">
        <f t="shared" si="93"/>
        <v/>
      </c>
      <c r="AB347" s="50" t="str">
        <f t="shared" si="94"/>
        <v/>
      </c>
      <c r="AC347" s="50" t="str">
        <f t="shared" si="86"/>
        <v/>
      </c>
      <c r="AD347" s="50" t="str">
        <f t="shared" si="88"/>
        <v>ALTER TABLE TB_MENU ALTER COLUMN REGISTER_IP TYPE VARCHAR(100);</v>
      </c>
      <c r="AE347" s="50" t="str">
        <f t="shared" si="89"/>
        <v>ALTER TABLE TB_MENU ADD COLUMN REGISTER_IP VARCHAR(100) NOT NULL;</v>
      </c>
      <c r="AF347" s="50" t="str">
        <f t="shared" si="90"/>
        <v>ALTER TABLE TB_MENU DROP COLUMN REGISTER_IP;</v>
      </c>
      <c r="AG347" s="50" t="str">
        <f t="shared" si="91"/>
        <v/>
      </c>
      <c r="AH347" s="50" t="str">
        <f t="shared" si="95"/>
        <v>COMMENT ON COLUMN TB_MENU.REGISTER_IP IS '등록자 IP' ;</v>
      </c>
    </row>
    <row r="348" spans="1:34" ht="20.100000000000001" customHeight="1">
      <c r="A348" s="55">
        <v>352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92</v>
      </c>
      <c r="H348" s="101" t="s">
        <v>78</v>
      </c>
      <c r="I348" s="75" t="s">
        <v>72</v>
      </c>
      <c r="J348" s="52"/>
      <c r="K348" s="52"/>
      <c r="L348" s="52"/>
      <c r="M348" s="52"/>
      <c r="N348" s="52"/>
      <c r="O348" s="52"/>
      <c r="P348" s="51" t="s">
        <v>749</v>
      </c>
      <c r="Q348" s="127"/>
      <c r="R348" s="85"/>
      <c r="S348" s="112" t="s">
        <v>224</v>
      </c>
      <c r="T348" s="130"/>
      <c r="U348" s="130"/>
      <c r="V348" s="109"/>
      <c r="W348" s="90"/>
      <c r="X348" s="130"/>
      <c r="Y348" s="129" t="str">
        <f t="shared" si="92"/>
        <v>TB_MENU</v>
      </c>
      <c r="Z348" s="50" t="str">
        <f t="shared" si="87"/>
        <v>REG_DT TIMESTAMP NOT NULL,</v>
      </c>
      <c r="AA348" s="50" t="str">
        <f t="shared" si="93"/>
        <v/>
      </c>
      <c r="AB348" s="50" t="str">
        <f t="shared" si="94"/>
        <v/>
      </c>
      <c r="AC348" s="50" t="str">
        <f t="shared" si="86"/>
        <v/>
      </c>
      <c r="AD348" s="50" t="str">
        <f t="shared" si="88"/>
        <v>ALTER TABLE TB_MENU ALTER COLUMN REG_DT TYPE TIMESTAMP;</v>
      </c>
      <c r="AE348" s="50" t="str">
        <f t="shared" si="89"/>
        <v>ALTER TABLE TB_MENU ADD COLUMN REG_DT TIMESTAMP NOT NULL;</v>
      </c>
      <c r="AF348" s="50" t="str">
        <f t="shared" si="90"/>
        <v>ALTER TABLE TB_MENU DROP COLUMN REG_DT;</v>
      </c>
      <c r="AG348" s="50" t="str">
        <f t="shared" si="91"/>
        <v/>
      </c>
      <c r="AH348" s="50" t="str">
        <f t="shared" si="95"/>
        <v>COMMENT ON COLUMN TB_MENU.REG_DT IS '등록 일시' ;</v>
      </c>
    </row>
    <row r="349" spans="1:34" ht="20.100000000000001" customHeight="1">
      <c r="A349" s="55">
        <v>353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93</v>
      </c>
      <c r="H349" s="101" t="s">
        <v>80</v>
      </c>
      <c r="I349" s="52"/>
      <c r="J349" s="52"/>
      <c r="K349" s="52"/>
      <c r="L349" s="84"/>
      <c r="M349" s="84"/>
      <c r="N349" s="84"/>
      <c r="O349" s="84"/>
      <c r="P349" s="105" t="s">
        <v>555</v>
      </c>
      <c r="Q349" s="126" t="s">
        <v>560</v>
      </c>
      <c r="R349" s="85"/>
      <c r="S349" s="112" t="s">
        <v>223</v>
      </c>
      <c r="T349" s="130"/>
      <c r="U349" s="130"/>
      <c r="V349" s="123" t="s">
        <v>529</v>
      </c>
      <c r="W349" s="90"/>
      <c r="X349" s="130"/>
      <c r="Y349" s="129" t="str">
        <f t="shared" si="92"/>
        <v>TB_MENU</v>
      </c>
      <c r="Z349" s="50" t="str">
        <f t="shared" si="87"/>
        <v>UPDUSR_ID VARCHAR(50),</v>
      </c>
      <c r="AA349" s="50" t="str">
        <f t="shared" si="93"/>
        <v/>
      </c>
      <c r="AB349" s="50" t="str">
        <f t="shared" si="94"/>
        <v/>
      </c>
      <c r="AC349" s="50" t="str">
        <f t="shared" si="86"/>
        <v/>
      </c>
      <c r="AD349" s="50" t="str">
        <f t="shared" si="88"/>
        <v>ALTER TABLE TB_MENU ALTER COLUMN UPDUSR_ID TYPE VARCHAR(50);</v>
      </c>
      <c r="AE349" s="50" t="str">
        <f t="shared" si="89"/>
        <v>ALTER TABLE TB_MENU ADD COLUMN UPDUSR_ID VARCHAR(50);</v>
      </c>
      <c r="AF349" s="50" t="str">
        <f t="shared" si="90"/>
        <v>ALTER TABLE TB_MENU DROP COLUMN UPDUSR_ID;</v>
      </c>
      <c r="AG349" s="50" t="str">
        <f t="shared" si="91"/>
        <v/>
      </c>
      <c r="AH349" s="50" t="str">
        <f t="shared" si="95"/>
        <v>COMMENT ON COLUMN TB_MENU.UPDUSR_ID IS '수정자 ID' ;</v>
      </c>
    </row>
    <row r="350" spans="1:34" ht="20.100000000000001" customHeight="1">
      <c r="A350" s="55">
        <v>354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94</v>
      </c>
      <c r="H350" s="101" t="s">
        <v>79</v>
      </c>
      <c r="I350" s="52"/>
      <c r="J350" s="52"/>
      <c r="K350" s="52"/>
      <c r="L350" s="52"/>
      <c r="M350" s="52"/>
      <c r="N350" s="52"/>
      <c r="O350" s="52"/>
      <c r="P350" s="56" t="s">
        <v>106</v>
      </c>
      <c r="Q350" s="127" t="s">
        <v>561</v>
      </c>
      <c r="R350" s="85"/>
      <c r="S350" s="112" t="s">
        <v>222</v>
      </c>
      <c r="T350" s="130"/>
      <c r="U350" s="130"/>
      <c r="V350" s="109"/>
      <c r="W350" s="90"/>
      <c r="X350" s="130"/>
      <c r="Y350" s="129" t="str">
        <f t="shared" si="92"/>
        <v>TB_MENU</v>
      </c>
      <c r="Z350" s="50" t="str">
        <f t="shared" si="87"/>
        <v>UPDUSR_IP VARCHAR(100),</v>
      </c>
      <c r="AA350" s="50" t="str">
        <f t="shared" si="93"/>
        <v/>
      </c>
      <c r="AB350" s="50" t="str">
        <f t="shared" si="94"/>
        <v/>
      </c>
      <c r="AC350" s="50" t="str">
        <f t="shared" si="86"/>
        <v/>
      </c>
      <c r="AD350" s="50" t="str">
        <f t="shared" si="88"/>
        <v>ALTER TABLE TB_MENU ALTER COLUMN UPDUSR_IP TYPE VARCHAR(100);</v>
      </c>
      <c r="AE350" s="50" t="str">
        <f t="shared" si="89"/>
        <v>ALTER TABLE TB_MENU ADD COLUMN UPDUSR_IP VARCHAR(100);</v>
      </c>
      <c r="AF350" s="50" t="str">
        <f t="shared" si="90"/>
        <v>ALTER TABLE TB_MENU DROP COLUMN UPDUSR_IP;</v>
      </c>
      <c r="AG350" s="50" t="str">
        <f t="shared" si="91"/>
        <v/>
      </c>
      <c r="AH350" s="50" t="str">
        <f t="shared" si="95"/>
        <v>COMMENT ON COLUMN TB_MENU.UPDUSR_IP IS '수정자 IP' ;</v>
      </c>
    </row>
    <row r="351" spans="1:34" ht="20.100000000000001" customHeight="1">
      <c r="A351" s="55">
        <v>355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3" t="s">
        <v>95</v>
      </c>
      <c r="H351" s="102" t="s">
        <v>81</v>
      </c>
      <c r="I351" s="61"/>
      <c r="J351" s="61"/>
      <c r="K351" s="61"/>
      <c r="L351" s="61"/>
      <c r="M351" s="61"/>
      <c r="N351" s="61"/>
      <c r="O351" s="61"/>
      <c r="P351" s="51" t="s">
        <v>749</v>
      </c>
      <c r="Q351" s="127"/>
      <c r="R351" s="82"/>
      <c r="S351" s="112" t="s">
        <v>221</v>
      </c>
      <c r="T351" s="130"/>
      <c r="U351" s="130"/>
      <c r="V351" s="109"/>
      <c r="W351" s="90"/>
      <c r="X351" s="130"/>
      <c r="Y351" s="129" t="str">
        <f t="shared" si="92"/>
        <v>TB_MENU</v>
      </c>
      <c r="Z351" s="50" t="str">
        <f t="shared" si="87"/>
        <v>UPDT_DT TIMESTAMP,</v>
      </c>
      <c r="AA351" s="50" t="str">
        <f t="shared" si="93"/>
        <v/>
      </c>
      <c r="AB351" s="50" t="str">
        <f t="shared" si="94"/>
        <v/>
      </c>
      <c r="AC351" s="50" t="str">
        <f t="shared" si="86"/>
        <v/>
      </c>
      <c r="AD351" s="50" t="str">
        <f t="shared" si="88"/>
        <v>ALTER TABLE TB_MENU ALTER COLUMN UPDT_DT TYPE TIMESTAMP;</v>
      </c>
      <c r="AE351" s="50" t="str">
        <f t="shared" si="89"/>
        <v>ALTER TABLE TB_MENU ADD COLUMN UPDT_DT TIMESTAMP;</v>
      </c>
      <c r="AF351" s="50" t="str">
        <f t="shared" si="90"/>
        <v>ALTER TABLE TB_MENU DROP COLUMN UPDT_DT;</v>
      </c>
      <c r="AG351" s="50" t="str">
        <f t="shared" si="91"/>
        <v/>
      </c>
      <c r="AH351" s="50" t="str">
        <f t="shared" si="95"/>
        <v>COMMENT ON COLUMN TB_MENU.UPDT_DT IS '수정 일시' ;</v>
      </c>
    </row>
    <row r="352" spans="1:34" ht="20.100000000000001" customHeight="1">
      <c r="A352" s="55">
        <v>356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2" t="s">
        <v>96</v>
      </c>
      <c r="H352" s="102" t="s">
        <v>82</v>
      </c>
      <c r="I352" s="75" t="s">
        <v>72</v>
      </c>
      <c r="J352" s="61"/>
      <c r="K352" s="61"/>
      <c r="L352" s="61"/>
      <c r="M352" s="61"/>
      <c r="N352" s="61"/>
      <c r="O352" s="61"/>
      <c r="P352" s="51" t="s">
        <v>106</v>
      </c>
      <c r="Q352" s="127" t="s">
        <v>556</v>
      </c>
      <c r="R352" s="87" t="s">
        <v>604</v>
      </c>
      <c r="S352" s="112" t="s">
        <v>220</v>
      </c>
      <c r="T352" s="130"/>
      <c r="U352" s="130"/>
      <c r="V352" s="109"/>
      <c r="W352" s="90"/>
      <c r="X352" s="130"/>
      <c r="Y352" s="129" t="str">
        <f t="shared" si="92"/>
        <v>TB_MENU</v>
      </c>
      <c r="Z352" s="50" t="str">
        <f t="shared" si="87"/>
        <v>DEL_YN VARCHAR(1) NOT NULL,</v>
      </c>
      <c r="AA352" s="50" t="str">
        <f t="shared" si="93"/>
        <v/>
      </c>
      <c r="AB352" s="50" t="str">
        <f t="shared" si="94"/>
        <v/>
      </c>
      <c r="AC352" s="50" t="str">
        <f t="shared" si="86"/>
        <v/>
      </c>
      <c r="AD352" s="50" t="str">
        <f t="shared" si="88"/>
        <v>ALTER TABLE TB_MENU ALTER COLUMN DEL_YN TYPE VARCHAR(1);</v>
      </c>
      <c r="AE352" s="50" t="str">
        <f t="shared" si="89"/>
        <v>ALTER TABLE TB_MENU ADD COLUMN DEL_YN VARCHAR(1) NOT NULL DEFAULT 'N';</v>
      </c>
      <c r="AF352" s="50" t="str">
        <f t="shared" si="90"/>
        <v>ALTER TABLE TB_MENU DROP COLUMN DEL_YN;</v>
      </c>
      <c r="AG352" s="50" t="str">
        <f t="shared" si="91"/>
        <v>ALTER TABLE TB_MENU ALTER COLUMN DEL_YN SET DEFAULT 'N';</v>
      </c>
      <c r="AH352" s="50" t="str">
        <f t="shared" si="95"/>
        <v>COMMENT ON COLUMN TB_MENU.DEL_YN IS '삭제 여부' ;</v>
      </c>
    </row>
    <row r="353" spans="1:34" ht="20.100000000000001" customHeight="1">
      <c r="A353" s="55">
        <v>357</v>
      </c>
      <c r="B353" s="26" t="s">
        <v>7</v>
      </c>
      <c r="C353" s="26" t="s">
        <v>19</v>
      </c>
      <c r="D353" s="10" t="s">
        <v>430</v>
      </c>
      <c r="E353" s="10" t="s">
        <v>431</v>
      </c>
      <c r="F353" s="92">
        <v>1</v>
      </c>
      <c r="G353" s="109" t="s">
        <v>432</v>
      </c>
      <c r="H353" s="109" t="s">
        <v>433</v>
      </c>
      <c r="I353" s="90" t="s">
        <v>436</v>
      </c>
      <c r="J353" s="90">
        <v>1</v>
      </c>
      <c r="K353" s="90"/>
      <c r="L353" s="90"/>
      <c r="M353" s="90"/>
      <c r="N353" s="90"/>
      <c r="O353" s="90"/>
      <c r="P353" s="109" t="s">
        <v>437</v>
      </c>
      <c r="Q353" s="92"/>
      <c r="R353" s="90"/>
      <c r="S353" s="109" t="s">
        <v>493</v>
      </c>
      <c r="T353" s="132" t="str">
        <f>"SEQ_"&amp;D353&amp;"_SN"</f>
        <v>SEQ_TB_MENU_ROLE_SN</v>
      </c>
      <c r="U353" s="132"/>
      <c r="V353" s="109"/>
      <c r="W353" s="90"/>
      <c r="X353" s="130"/>
      <c r="Y353" s="129" t="str">
        <f t="shared" si="92"/>
        <v>TB_MENU_ROLE</v>
      </c>
      <c r="Z353" s="50" t="str">
        <f t="shared" si="87"/>
        <v>MENU_ROLE_SN INTEGER PRIMARY KEY,</v>
      </c>
      <c r="AA353" s="50" t="str">
        <f t="shared" si="93"/>
        <v/>
      </c>
      <c r="AB353" s="50" t="str">
        <f t="shared" si="94"/>
        <v>CREATE SEQUENCE SEQ_TB_MENU_ROLE_SN START 100000;</v>
      </c>
      <c r="AC353" s="50" t="str">
        <f t="shared" si="86"/>
        <v>ALTER TABLE TB_MENU_ROLE ALTER COLUMN MENU_ROLE_SN SET DEFAULT NEXTVAL('SEQ_TB_MENU_ROLE_SN');</v>
      </c>
      <c r="AD353" s="50" t="str">
        <f t="shared" si="88"/>
        <v>ALTER TABLE TB_MENU_ROLE ALTER COLUMN MENU_ROLE_SN TYPE INTEGER;</v>
      </c>
      <c r="AE353" s="50" t="str">
        <f t="shared" si="89"/>
        <v>ALTER TABLE TB_MENU_ROLE ADD COLUMN MENU_ROLE_SN INTEGER NOT NULL;</v>
      </c>
      <c r="AF353" s="50" t="str">
        <f t="shared" si="90"/>
        <v>ALTER TABLE TB_MENU_ROLE DROP COLUMN MENU_ROLE_SN;</v>
      </c>
      <c r="AG353" s="50" t="str">
        <f t="shared" si="91"/>
        <v/>
      </c>
      <c r="AH353" s="50" t="str">
        <f t="shared" si="95"/>
        <v>COMMENT ON COLUMN TB_MENU_ROLE.MENU_ROLE_SN IS '메뉴 권한 일련번호' ;</v>
      </c>
    </row>
    <row r="354" spans="1:34" ht="20.100000000000001" customHeight="1">
      <c r="A354" s="55">
        <v>358</v>
      </c>
      <c r="B354" s="26" t="s">
        <v>7</v>
      </c>
      <c r="C354" s="26" t="s">
        <v>19</v>
      </c>
      <c r="D354" s="10" t="s">
        <v>430</v>
      </c>
      <c r="E354" s="10" t="s">
        <v>431</v>
      </c>
      <c r="F354" s="92">
        <v>2</v>
      </c>
      <c r="G354" s="109" t="s">
        <v>435</v>
      </c>
      <c r="H354" s="109" t="s">
        <v>434</v>
      </c>
      <c r="I354" s="90" t="s">
        <v>436</v>
      </c>
      <c r="J354" s="90"/>
      <c r="K354" s="90">
        <v>1</v>
      </c>
      <c r="L354" s="10" t="s">
        <v>40</v>
      </c>
      <c r="M354" s="109" t="s">
        <v>419</v>
      </c>
      <c r="N354" s="100" t="s">
        <v>574</v>
      </c>
      <c r="O354" s="100" t="s">
        <v>576</v>
      </c>
      <c r="P354" s="109" t="s">
        <v>437</v>
      </c>
      <c r="Q354" s="92"/>
      <c r="R354" s="90"/>
      <c r="S354" s="109" t="s">
        <v>494</v>
      </c>
      <c r="T354" s="130"/>
      <c r="U354" s="130"/>
      <c r="V354" s="109"/>
      <c r="W354" s="90"/>
      <c r="X354" s="130"/>
      <c r="Y354" s="129" t="str">
        <f t="shared" si="92"/>
        <v>TB_MENU_ROLE</v>
      </c>
      <c r="Z354" s="50" t="str">
        <f t="shared" si="87"/>
        <v>MENU_SN INTEGER NOT NULL,</v>
      </c>
      <c r="AA354" s="50" t="str">
        <f t="shared" si="93"/>
        <v>ALTER TABLE TB_MENU_ROLE ADD CONSTRAINT TB_MENU_ROLE_FKEY1 FOREIGN KEY(MENU_SN) REFERENCES TB_MENU(MENU_SN) ON UPDATE CASCADE ON DELETE CASCADE;</v>
      </c>
      <c r="AB354" s="50" t="str">
        <f t="shared" si="94"/>
        <v/>
      </c>
      <c r="AC354" s="50" t="str">
        <f t="shared" si="86"/>
        <v/>
      </c>
      <c r="AD354" s="50" t="str">
        <f t="shared" si="88"/>
        <v>ALTER TABLE TB_MENU_ROLE ALTER COLUMN MENU_SN TYPE INTEGER;</v>
      </c>
      <c r="AE354" s="50" t="str">
        <f t="shared" si="89"/>
        <v>ALTER TABLE TB_MENU_ROLE ADD COLUMN MENU_SN INTEGER NOT NULL;</v>
      </c>
      <c r="AF354" s="50" t="str">
        <f t="shared" si="90"/>
        <v>ALTER TABLE TB_MENU_ROLE DROP COLUMN MENU_SN;</v>
      </c>
      <c r="AG354" s="50" t="str">
        <f t="shared" si="91"/>
        <v/>
      </c>
      <c r="AH354" s="50" t="str">
        <f t="shared" si="95"/>
        <v>COMMENT ON COLUMN TB_MENU_ROLE.MENU_SN IS '메뉴 일련번호' ;</v>
      </c>
    </row>
    <row r="355" spans="1:34" ht="20.100000000000001" customHeight="1">
      <c r="A355" s="55">
        <v>359</v>
      </c>
      <c r="B355" s="26" t="s">
        <v>7</v>
      </c>
      <c r="C355" s="26" t="s">
        <v>19</v>
      </c>
      <c r="D355" s="10" t="s">
        <v>430</v>
      </c>
      <c r="E355" s="10" t="s">
        <v>431</v>
      </c>
      <c r="F355" s="92">
        <v>3</v>
      </c>
      <c r="G355" s="106" t="s">
        <v>136</v>
      </c>
      <c r="H355" s="106" t="s">
        <v>135</v>
      </c>
      <c r="I355" s="90" t="s">
        <v>436</v>
      </c>
      <c r="J355" s="90"/>
      <c r="K355" s="90">
        <v>2</v>
      </c>
      <c r="L355" s="10" t="s">
        <v>116</v>
      </c>
      <c r="M355" s="106" t="s">
        <v>136</v>
      </c>
      <c r="N355" s="100" t="s">
        <v>574</v>
      </c>
      <c r="O355" s="100" t="s">
        <v>576</v>
      </c>
      <c r="P355" s="109" t="s">
        <v>437</v>
      </c>
      <c r="Q355" s="92"/>
      <c r="R355" s="90"/>
      <c r="S355" s="109" t="s">
        <v>495</v>
      </c>
      <c r="T355" s="130"/>
      <c r="U355" s="130"/>
      <c r="V355" s="109"/>
      <c r="W355" s="90"/>
      <c r="X355" s="130"/>
      <c r="Y355" s="129" t="str">
        <f t="shared" si="92"/>
        <v>TB_MENU_ROLE</v>
      </c>
      <c r="Z355" s="50" t="str">
        <f t="shared" si="87"/>
        <v>ROLE_SN INTEGER NOT NULL,</v>
      </c>
      <c r="AA355" s="50" t="str">
        <f t="shared" si="93"/>
        <v>ALTER TABLE TB_MENU_ROLE ADD CONSTRAINT TB_MENU_ROLE_FKEY2 FOREIGN KEY(ROLE_SN) REFERENCES TB_ROLE(ROLE_SN) ON UPDATE CASCADE ON DELETE CASCADE;</v>
      </c>
      <c r="AB355" s="50" t="str">
        <f t="shared" si="94"/>
        <v/>
      </c>
      <c r="AC355" s="50" t="str">
        <f t="shared" si="86"/>
        <v/>
      </c>
      <c r="AD355" s="50" t="str">
        <f t="shared" si="88"/>
        <v>ALTER TABLE TB_MENU_ROLE ALTER COLUMN ROLE_SN TYPE INTEGER;</v>
      </c>
      <c r="AE355" s="50" t="str">
        <f t="shared" si="89"/>
        <v>ALTER TABLE TB_MENU_ROLE ADD COLUMN ROLE_SN INTEGER NOT NULL;</v>
      </c>
      <c r="AF355" s="50" t="str">
        <f t="shared" si="90"/>
        <v>ALTER TABLE TB_MENU_ROLE DROP COLUMN ROLE_SN;</v>
      </c>
      <c r="AG355" s="50" t="str">
        <f t="shared" si="91"/>
        <v/>
      </c>
      <c r="AH355" s="50" t="str">
        <f t="shared" si="95"/>
        <v>COMMENT ON COLUMN TB_MENU_ROLE.ROLE_SN IS '권한 일련번호' ;</v>
      </c>
    </row>
    <row r="356" spans="1:34" ht="20.100000000000001" customHeight="1">
      <c r="A356" s="55">
        <v>360</v>
      </c>
      <c r="B356" s="26" t="s">
        <v>7</v>
      </c>
      <c r="C356" s="26" t="s">
        <v>19</v>
      </c>
      <c r="D356" s="10" t="s">
        <v>430</v>
      </c>
      <c r="E356" s="10" t="s">
        <v>431</v>
      </c>
      <c r="F356" s="92">
        <v>4</v>
      </c>
      <c r="G356" s="102" t="s">
        <v>107</v>
      </c>
      <c r="H356" s="51" t="s">
        <v>76</v>
      </c>
      <c r="I356" s="75" t="s">
        <v>72</v>
      </c>
      <c r="J356" s="67"/>
      <c r="K356" s="67"/>
      <c r="L356" s="82"/>
      <c r="M356" s="82"/>
      <c r="N356" s="82"/>
      <c r="O356" s="82"/>
      <c r="P356" s="105" t="s">
        <v>555</v>
      </c>
      <c r="Q356" s="126" t="s">
        <v>560</v>
      </c>
      <c r="R356" s="85"/>
      <c r="S356" s="112" t="s">
        <v>226</v>
      </c>
      <c r="T356" s="130"/>
      <c r="U356" s="130"/>
      <c r="V356" s="123" t="s">
        <v>529</v>
      </c>
      <c r="W356" s="90"/>
      <c r="X356" s="130"/>
      <c r="Y356" s="129" t="str">
        <f t="shared" si="92"/>
        <v>TB_MENU_ROLE</v>
      </c>
      <c r="Z356" s="50" t="str">
        <f t="shared" si="87"/>
        <v>REGISTER_ID VARCHAR(50) NOT NULL,</v>
      </c>
      <c r="AA356" s="50" t="str">
        <f t="shared" si="93"/>
        <v/>
      </c>
      <c r="AB356" s="50" t="str">
        <f t="shared" si="94"/>
        <v/>
      </c>
      <c r="AC356" s="50" t="str">
        <f t="shared" si="86"/>
        <v/>
      </c>
      <c r="AD356" s="50" t="str">
        <f t="shared" si="88"/>
        <v>ALTER TABLE TB_MENU_ROLE ALTER COLUMN REGISTER_ID TYPE VARCHAR(50);</v>
      </c>
      <c r="AE356" s="50" t="str">
        <f t="shared" si="89"/>
        <v>ALTER TABLE TB_MENU_ROLE ADD COLUMN REGISTER_ID VARCHAR(50) NOT NULL;</v>
      </c>
      <c r="AF356" s="50" t="str">
        <f t="shared" si="90"/>
        <v>ALTER TABLE TB_MENU_ROLE DROP COLUMN REGISTER_ID;</v>
      </c>
      <c r="AG356" s="50" t="str">
        <f t="shared" si="91"/>
        <v/>
      </c>
      <c r="AH356" s="50" t="str">
        <f t="shared" si="95"/>
        <v>COMMENT ON COLUMN TB_MENU_ROLE.REGISTER_ID IS '등록자 ID' ;</v>
      </c>
    </row>
    <row r="357" spans="1:34" ht="20.100000000000001" customHeight="1">
      <c r="A357" s="55">
        <v>361</v>
      </c>
      <c r="B357" s="26" t="s">
        <v>7</v>
      </c>
      <c r="C357" s="26" t="s">
        <v>19</v>
      </c>
      <c r="D357" s="10" t="s">
        <v>430</v>
      </c>
      <c r="E357" s="10" t="s">
        <v>431</v>
      </c>
      <c r="F357" s="92">
        <v>5</v>
      </c>
      <c r="G357" s="102" t="s">
        <v>91</v>
      </c>
      <c r="H357" s="51" t="s">
        <v>77</v>
      </c>
      <c r="I357" s="75" t="s">
        <v>72</v>
      </c>
      <c r="J357" s="52"/>
      <c r="K357" s="52"/>
      <c r="L357" s="52"/>
      <c r="M357" s="52"/>
      <c r="N357" s="52"/>
      <c r="O357" s="52"/>
      <c r="P357" s="56" t="s">
        <v>106</v>
      </c>
      <c r="Q357" s="127" t="s">
        <v>561</v>
      </c>
      <c r="R357" s="85"/>
      <c r="S357" s="112" t="s">
        <v>225</v>
      </c>
      <c r="T357" s="130"/>
      <c r="U357" s="130"/>
      <c r="V357" s="109"/>
      <c r="W357" s="90"/>
      <c r="X357" s="130"/>
      <c r="Y357" s="129" t="str">
        <f t="shared" si="92"/>
        <v>TB_MENU_ROLE</v>
      </c>
      <c r="Z357" s="50" t="str">
        <f t="shared" si="87"/>
        <v>REGISTER_IP VARCHAR(100) NOT NULL,</v>
      </c>
      <c r="AA357" s="50" t="str">
        <f t="shared" si="93"/>
        <v/>
      </c>
      <c r="AB357" s="50" t="str">
        <f t="shared" si="94"/>
        <v/>
      </c>
      <c r="AC357" s="50" t="str">
        <f t="shared" si="86"/>
        <v/>
      </c>
      <c r="AD357" s="50" t="str">
        <f t="shared" si="88"/>
        <v>ALTER TABLE TB_MENU_ROLE ALTER COLUMN REGISTER_IP TYPE VARCHAR(100);</v>
      </c>
      <c r="AE357" s="50" t="str">
        <f t="shared" si="89"/>
        <v>ALTER TABLE TB_MENU_ROLE ADD COLUMN REGISTER_IP VARCHAR(100) NOT NULL;</v>
      </c>
      <c r="AF357" s="50" t="str">
        <f t="shared" si="90"/>
        <v>ALTER TABLE TB_MENU_ROLE DROP COLUMN REGISTER_IP;</v>
      </c>
      <c r="AG357" s="50" t="str">
        <f t="shared" si="91"/>
        <v/>
      </c>
      <c r="AH357" s="50" t="str">
        <f t="shared" si="95"/>
        <v>COMMENT ON COLUMN TB_MENU_ROLE.REGISTER_IP IS '등록자 IP' ;</v>
      </c>
    </row>
    <row r="358" spans="1:34" ht="20.100000000000001" customHeight="1">
      <c r="A358" s="55">
        <v>362</v>
      </c>
      <c r="B358" s="26" t="s">
        <v>7</v>
      </c>
      <c r="C358" s="26" t="s">
        <v>19</v>
      </c>
      <c r="D358" s="10" t="s">
        <v>430</v>
      </c>
      <c r="E358" s="10" t="s">
        <v>431</v>
      </c>
      <c r="F358" s="92">
        <v>6</v>
      </c>
      <c r="G358" s="102" t="s">
        <v>92</v>
      </c>
      <c r="H358" s="101" t="s">
        <v>78</v>
      </c>
      <c r="I358" s="75" t="s">
        <v>72</v>
      </c>
      <c r="J358" s="52"/>
      <c r="K358" s="52"/>
      <c r="L358" s="52"/>
      <c r="M358" s="52"/>
      <c r="N358" s="52"/>
      <c r="O358" s="52"/>
      <c r="P358" s="51" t="s">
        <v>749</v>
      </c>
      <c r="Q358" s="127"/>
      <c r="R358" s="85"/>
      <c r="S358" s="112" t="s">
        <v>224</v>
      </c>
      <c r="T358" s="130"/>
      <c r="U358" s="130"/>
      <c r="V358" s="109"/>
      <c r="W358" s="90"/>
      <c r="X358" s="130"/>
      <c r="Y358" s="129" t="str">
        <f t="shared" si="92"/>
        <v>TB_MENU_ROLE</v>
      </c>
      <c r="Z358" s="50" t="str">
        <f t="shared" si="87"/>
        <v>REG_DT TIMESTAMP NOT NULL,</v>
      </c>
      <c r="AA358" s="50" t="str">
        <f t="shared" si="93"/>
        <v/>
      </c>
      <c r="AB358" s="50" t="str">
        <f t="shared" si="94"/>
        <v/>
      </c>
      <c r="AC358" s="50" t="str">
        <f t="shared" si="86"/>
        <v/>
      </c>
      <c r="AD358" s="50" t="str">
        <f t="shared" si="88"/>
        <v>ALTER TABLE TB_MENU_ROLE ALTER COLUMN REG_DT TYPE TIMESTAMP;</v>
      </c>
      <c r="AE358" s="50" t="str">
        <f t="shared" si="89"/>
        <v>ALTER TABLE TB_MENU_ROLE ADD COLUMN REG_DT TIMESTAMP NOT NULL;</v>
      </c>
      <c r="AF358" s="50" t="str">
        <f t="shared" si="90"/>
        <v>ALTER TABLE TB_MENU_ROLE DROP COLUMN REG_DT;</v>
      </c>
      <c r="AG358" s="50" t="str">
        <f t="shared" si="91"/>
        <v/>
      </c>
      <c r="AH358" s="50" t="str">
        <f t="shared" si="95"/>
        <v>COMMENT ON COLUMN TB_MENU_ROLE.REG_DT IS '등록 일시' ;</v>
      </c>
    </row>
    <row r="359" spans="1:34" ht="20.100000000000001" customHeight="1">
      <c r="A359" s="55">
        <v>363</v>
      </c>
      <c r="B359" s="26" t="s">
        <v>7</v>
      </c>
      <c r="C359" s="26" t="s">
        <v>19</v>
      </c>
      <c r="D359" s="10" t="s">
        <v>430</v>
      </c>
      <c r="E359" s="10" t="s">
        <v>431</v>
      </c>
      <c r="F359" s="92">
        <v>7</v>
      </c>
      <c r="G359" s="102" t="s">
        <v>93</v>
      </c>
      <c r="H359" s="101" t="s">
        <v>80</v>
      </c>
      <c r="I359" s="52"/>
      <c r="J359" s="52"/>
      <c r="K359" s="52"/>
      <c r="L359" s="84"/>
      <c r="M359" s="84"/>
      <c r="N359" s="84"/>
      <c r="O359" s="84"/>
      <c r="P359" s="105" t="s">
        <v>555</v>
      </c>
      <c r="Q359" s="126" t="s">
        <v>560</v>
      </c>
      <c r="R359" s="85"/>
      <c r="S359" s="112" t="s">
        <v>223</v>
      </c>
      <c r="T359" s="130"/>
      <c r="U359" s="130"/>
      <c r="V359" s="123" t="s">
        <v>529</v>
      </c>
      <c r="W359" s="90"/>
      <c r="X359" s="130"/>
      <c r="Y359" s="129" t="str">
        <f t="shared" si="92"/>
        <v>TB_MENU_ROLE</v>
      </c>
      <c r="Z359" s="50" t="str">
        <f t="shared" si="87"/>
        <v>UPDUSR_ID VARCHAR(50),</v>
      </c>
      <c r="AA359" s="50" t="str">
        <f t="shared" si="93"/>
        <v/>
      </c>
      <c r="AB359" s="50" t="str">
        <f t="shared" si="94"/>
        <v/>
      </c>
      <c r="AC359" s="50" t="str">
        <f t="shared" si="86"/>
        <v/>
      </c>
      <c r="AD359" s="50" t="str">
        <f t="shared" si="88"/>
        <v>ALTER TABLE TB_MENU_ROLE ALTER COLUMN UPDUSR_ID TYPE VARCHAR(50);</v>
      </c>
      <c r="AE359" s="50" t="str">
        <f t="shared" si="89"/>
        <v>ALTER TABLE TB_MENU_ROLE ADD COLUMN UPDUSR_ID VARCHAR(50);</v>
      </c>
      <c r="AF359" s="50" t="str">
        <f t="shared" si="90"/>
        <v>ALTER TABLE TB_MENU_ROLE DROP COLUMN UPDUSR_ID;</v>
      </c>
      <c r="AG359" s="50" t="str">
        <f t="shared" si="91"/>
        <v/>
      </c>
      <c r="AH359" s="50" t="str">
        <f t="shared" si="95"/>
        <v>COMMENT ON COLUMN TB_MENU_ROLE.UPDUSR_ID IS '수정자 ID' ;</v>
      </c>
    </row>
    <row r="360" spans="1:34" ht="20.100000000000001" customHeight="1">
      <c r="A360" s="55">
        <v>364</v>
      </c>
      <c r="B360" s="26" t="s">
        <v>7</v>
      </c>
      <c r="C360" s="26" t="s">
        <v>19</v>
      </c>
      <c r="D360" s="10" t="s">
        <v>430</v>
      </c>
      <c r="E360" s="10" t="s">
        <v>431</v>
      </c>
      <c r="F360" s="92">
        <v>8</v>
      </c>
      <c r="G360" s="102" t="s">
        <v>94</v>
      </c>
      <c r="H360" s="101" t="s">
        <v>79</v>
      </c>
      <c r="I360" s="52"/>
      <c r="J360" s="52"/>
      <c r="K360" s="52"/>
      <c r="L360" s="52"/>
      <c r="M360" s="52"/>
      <c r="N360" s="52"/>
      <c r="O360" s="52"/>
      <c r="P360" s="56" t="s">
        <v>106</v>
      </c>
      <c r="Q360" s="127" t="s">
        <v>561</v>
      </c>
      <c r="R360" s="85"/>
      <c r="S360" s="112" t="s">
        <v>222</v>
      </c>
      <c r="T360" s="130"/>
      <c r="U360" s="130"/>
      <c r="V360" s="109"/>
      <c r="W360" s="90"/>
      <c r="X360" s="130"/>
      <c r="Y360" s="129" t="str">
        <f t="shared" si="92"/>
        <v>TB_MENU_ROLE</v>
      </c>
      <c r="Z360" s="50" t="str">
        <f t="shared" si="87"/>
        <v>UPDUSR_IP VARCHAR(100),</v>
      </c>
      <c r="AA360" s="50" t="str">
        <f t="shared" si="93"/>
        <v/>
      </c>
      <c r="AB360" s="50" t="str">
        <f t="shared" si="94"/>
        <v/>
      </c>
      <c r="AC360" s="50" t="str">
        <f t="shared" si="86"/>
        <v/>
      </c>
      <c r="AD360" s="50" t="str">
        <f t="shared" si="88"/>
        <v>ALTER TABLE TB_MENU_ROLE ALTER COLUMN UPDUSR_IP TYPE VARCHAR(100);</v>
      </c>
      <c r="AE360" s="50" t="str">
        <f t="shared" si="89"/>
        <v>ALTER TABLE TB_MENU_ROLE ADD COLUMN UPDUSR_IP VARCHAR(100);</v>
      </c>
      <c r="AF360" s="50" t="str">
        <f t="shared" si="90"/>
        <v>ALTER TABLE TB_MENU_ROLE DROP COLUMN UPDUSR_IP;</v>
      </c>
      <c r="AG360" s="50" t="str">
        <f t="shared" si="91"/>
        <v/>
      </c>
      <c r="AH360" s="50" t="str">
        <f t="shared" si="95"/>
        <v>COMMENT ON COLUMN TB_MENU_ROLE.UPDUSR_IP IS '수정자 IP' ;</v>
      </c>
    </row>
    <row r="361" spans="1:34" ht="20.100000000000001" customHeight="1">
      <c r="A361" s="55">
        <v>365</v>
      </c>
      <c r="B361" s="26" t="s">
        <v>7</v>
      </c>
      <c r="C361" s="26" t="s">
        <v>19</v>
      </c>
      <c r="D361" s="10" t="s">
        <v>430</v>
      </c>
      <c r="E361" s="10" t="s">
        <v>431</v>
      </c>
      <c r="F361" s="92">
        <v>9</v>
      </c>
      <c r="G361" s="103" t="s">
        <v>95</v>
      </c>
      <c r="H361" s="102" t="s">
        <v>81</v>
      </c>
      <c r="I361" s="61"/>
      <c r="J361" s="61"/>
      <c r="K361" s="61"/>
      <c r="L361" s="61"/>
      <c r="M361" s="61"/>
      <c r="N361" s="61"/>
      <c r="O361" s="61"/>
      <c r="P361" s="51" t="s">
        <v>749</v>
      </c>
      <c r="Q361" s="127"/>
      <c r="R361" s="82"/>
      <c r="S361" s="112" t="s">
        <v>221</v>
      </c>
      <c r="T361" s="130"/>
      <c r="U361" s="130"/>
      <c r="V361" s="109"/>
      <c r="W361" s="90"/>
      <c r="X361" s="130"/>
      <c r="Y361" s="129" t="str">
        <f t="shared" si="92"/>
        <v>TB_MENU_ROLE</v>
      </c>
      <c r="Z361" s="50" t="str">
        <f t="shared" si="87"/>
        <v>UPDT_DT TIMESTAMP,</v>
      </c>
      <c r="AA361" s="50" t="str">
        <f t="shared" si="93"/>
        <v/>
      </c>
      <c r="AB361" s="50" t="str">
        <f t="shared" si="94"/>
        <v/>
      </c>
      <c r="AC361" s="50" t="str">
        <f t="shared" si="86"/>
        <v/>
      </c>
      <c r="AD361" s="50" t="str">
        <f t="shared" si="88"/>
        <v>ALTER TABLE TB_MENU_ROLE ALTER COLUMN UPDT_DT TYPE TIMESTAMP;</v>
      </c>
      <c r="AE361" s="50" t="str">
        <f t="shared" si="89"/>
        <v>ALTER TABLE TB_MENU_ROLE ADD COLUMN UPDT_DT TIMESTAMP;</v>
      </c>
      <c r="AF361" s="50" t="str">
        <f t="shared" si="90"/>
        <v>ALTER TABLE TB_MENU_ROLE DROP COLUMN UPDT_DT;</v>
      </c>
      <c r="AG361" s="50" t="str">
        <f t="shared" si="91"/>
        <v/>
      </c>
      <c r="AH361" s="50" t="str">
        <f t="shared" si="95"/>
        <v>COMMENT ON COLUMN TB_MENU_ROLE.UPDT_DT IS '수정 일시' ;</v>
      </c>
    </row>
    <row r="362" spans="1:34" ht="20.100000000000001" customHeight="1">
      <c r="A362" s="55">
        <v>366</v>
      </c>
      <c r="B362" s="26" t="s">
        <v>7</v>
      </c>
      <c r="C362" s="26" t="s">
        <v>19</v>
      </c>
      <c r="D362" s="10" t="s">
        <v>430</v>
      </c>
      <c r="E362" s="10" t="s">
        <v>431</v>
      </c>
      <c r="F362" s="92">
        <v>10</v>
      </c>
      <c r="G362" s="102" t="s">
        <v>96</v>
      </c>
      <c r="H362" s="102" t="s">
        <v>82</v>
      </c>
      <c r="I362" s="75" t="s">
        <v>72</v>
      </c>
      <c r="J362" s="61"/>
      <c r="K362" s="61"/>
      <c r="L362" s="61"/>
      <c r="M362" s="61"/>
      <c r="N362" s="61"/>
      <c r="O362" s="61"/>
      <c r="P362" s="51" t="s">
        <v>106</v>
      </c>
      <c r="Q362" s="127" t="s">
        <v>556</v>
      </c>
      <c r="R362" s="87" t="s">
        <v>604</v>
      </c>
      <c r="S362" s="112" t="s">
        <v>220</v>
      </c>
      <c r="T362" s="130"/>
      <c r="U362" s="130"/>
      <c r="V362" s="109"/>
      <c r="W362" s="90"/>
      <c r="X362" s="130"/>
      <c r="Y362" s="129" t="str">
        <f t="shared" si="92"/>
        <v>TB_MENU_ROLE</v>
      </c>
      <c r="Z362" s="50" t="str">
        <f t="shared" si="87"/>
        <v>DEL_YN VARCHAR(1) NOT NULL,</v>
      </c>
      <c r="AA362" s="50" t="str">
        <f t="shared" si="93"/>
        <v/>
      </c>
      <c r="AB362" s="50" t="str">
        <f t="shared" si="94"/>
        <v/>
      </c>
      <c r="AC362" s="50" t="str">
        <f t="shared" si="86"/>
        <v/>
      </c>
      <c r="AD362" s="50" t="str">
        <f t="shared" si="88"/>
        <v>ALTER TABLE TB_MENU_ROLE ALTER COLUMN DEL_YN TYPE VARCHAR(1);</v>
      </c>
      <c r="AE362" s="50" t="str">
        <f t="shared" si="89"/>
        <v>ALTER TABLE TB_MENU_ROLE ADD COLUMN DEL_YN VARCHAR(1) NOT NULL DEFAULT 'N';</v>
      </c>
      <c r="AF362" s="50" t="str">
        <f t="shared" si="90"/>
        <v>ALTER TABLE TB_MENU_ROLE DROP COLUMN DEL_YN;</v>
      </c>
      <c r="AG362" s="50" t="str">
        <f t="shared" si="91"/>
        <v>ALTER TABLE TB_MENU_ROLE ALTER COLUMN DEL_YN SET DEFAULT 'N';</v>
      </c>
      <c r="AH362" s="50" t="str">
        <f t="shared" si="95"/>
        <v>COMMENT ON COLUMN TB_MENU_ROLE.DEL_YN IS '삭제 여부' ;</v>
      </c>
    </row>
    <row r="363" spans="1:34" ht="20.100000000000001" customHeight="1">
      <c r="A363" s="55">
        <v>367</v>
      </c>
      <c r="B363" s="26" t="s">
        <v>7</v>
      </c>
      <c r="C363" s="26" t="s">
        <v>19</v>
      </c>
      <c r="D363" s="10" t="s">
        <v>43</v>
      </c>
      <c r="E363" s="10" t="s">
        <v>134</v>
      </c>
      <c r="F363" s="92">
        <v>1</v>
      </c>
      <c r="G363" s="109" t="s">
        <v>452</v>
      </c>
      <c r="H363" s="109" t="s">
        <v>444</v>
      </c>
      <c r="I363" s="75" t="s">
        <v>72</v>
      </c>
      <c r="J363" s="90">
        <v>1</v>
      </c>
      <c r="K363" s="90"/>
      <c r="L363" s="90"/>
      <c r="M363" s="90"/>
      <c r="N363" s="90"/>
      <c r="O363" s="90"/>
      <c r="P363" s="109" t="s">
        <v>437</v>
      </c>
      <c r="Q363" s="92"/>
      <c r="R363" s="90"/>
      <c r="S363" s="109" t="s">
        <v>474</v>
      </c>
      <c r="T363" s="132" t="str">
        <f>"SEQ_"&amp;D363&amp;"_SN"</f>
        <v>SEQ_TB_CMMN_CD_SN</v>
      </c>
      <c r="U363" s="132"/>
      <c r="V363" s="109"/>
      <c r="W363" s="90"/>
      <c r="X363" s="130"/>
      <c r="Y363" s="129" t="str">
        <f t="shared" si="92"/>
        <v>TB_CMMN_CD</v>
      </c>
      <c r="Z363" s="50" t="str">
        <f t="shared" si="87"/>
        <v>CD_SN INTEGER PRIMARY KEY,</v>
      </c>
      <c r="AA363" s="50" t="str">
        <f t="shared" si="93"/>
        <v/>
      </c>
      <c r="AB363" s="50" t="str">
        <f t="shared" si="94"/>
        <v>CREATE SEQUENCE SEQ_TB_CMMN_CD_SN START 100000;</v>
      </c>
      <c r="AC363" s="50" t="str">
        <f t="shared" si="86"/>
        <v>ALTER TABLE TB_CMMN_CD ALTER COLUMN CD_SN SET DEFAULT NEXTVAL('SEQ_TB_CMMN_CD_SN');</v>
      </c>
      <c r="AD363" s="50" t="str">
        <f t="shared" si="88"/>
        <v>ALTER TABLE TB_CMMN_CD ALTER COLUMN CD_SN TYPE INTEGER;</v>
      </c>
      <c r="AE363" s="50" t="str">
        <f t="shared" si="89"/>
        <v>ALTER TABLE TB_CMMN_CD ADD COLUMN CD_SN INTEGER NOT NULL;</v>
      </c>
      <c r="AF363" s="50" t="str">
        <f t="shared" si="90"/>
        <v>ALTER TABLE TB_CMMN_CD DROP COLUMN CD_SN;</v>
      </c>
      <c r="AG363" s="50" t="str">
        <f t="shared" si="91"/>
        <v/>
      </c>
      <c r="AH363" s="50" t="str">
        <f t="shared" si="95"/>
        <v>COMMENT ON COLUMN TB_CMMN_CD.CD_SN IS '코드 일련번호' ;</v>
      </c>
    </row>
    <row r="364" spans="1:34" ht="20.100000000000001" customHeight="1">
      <c r="A364" s="55">
        <v>368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2</v>
      </c>
      <c r="G364" s="109" t="s">
        <v>453</v>
      </c>
      <c r="H364" s="109" t="s">
        <v>445</v>
      </c>
      <c r="I364" s="75" t="s">
        <v>72</v>
      </c>
      <c r="J364" s="90"/>
      <c r="K364" s="90"/>
      <c r="L364" s="90"/>
      <c r="M364" s="90"/>
      <c r="N364" s="90"/>
      <c r="O364" s="90"/>
      <c r="P364" s="109" t="s">
        <v>438</v>
      </c>
      <c r="Q364" s="126" t="s">
        <v>560</v>
      </c>
      <c r="R364" s="90"/>
      <c r="S364" s="109" t="s">
        <v>485</v>
      </c>
      <c r="T364" s="130"/>
      <c r="U364" s="130"/>
      <c r="V364" s="109"/>
      <c r="W364" s="90"/>
      <c r="X364" s="130"/>
      <c r="Y364" s="129" t="str">
        <f t="shared" si="92"/>
        <v>TB_CMMN_CD</v>
      </c>
      <c r="Z364" s="50" t="str">
        <f t="shared" si="87"/>
        <v>CD_NM VARCHAR(50) NOT NULL,</v>
      </c>
      <c r="AA364" s="50" t="str">
        <f t="shared" si="93"/>
        <v/>
      </c>
      <c r="AB364" s="50" t="str">
        <f t="shared" si="94"/>
        <v/>
      </c>
      <c r="AC364" s="50" t="str">
        <f t="shared" si="86"/>
        <v/>
      </c>
      <c r="AD364" s="50" t="str">
        <f t="shared" si="88"/>
        <v>ALTER TABLE TB_CMMN_CD ALTER COLUMN CD_NM TYPE VARCHAR(50);</v>
      </c>
      <c r="AE364" s="50" t="str">
        <f t="shared" si="89"/>
        <v>ALTER TABLE TB_CMMN_CD ADD COLUMN CD_NM VARCHAR(50) NOT NULL;</v>
      </c>
      <c r="AF364" s="50" t="str">
        <f t="shared" si="90"/>
        <v>ALTER TABLE TB_CMMN_CD DROP COLUMN CD_NM;</v>
      </c>
      <c r="AG364" s="50" t="str">
        <f t="shared" si="91"/>
        <v/>
      </c>
      <c r="AH364" s="50" t="str">
        <f t="shared" si="95"/>
        <v>COMMENT ON COLUMN TB_CMMN_CD.CD_NM IS '코드 이름' ;</v>
      </c>
    </row>
    <row r="365" spans="1:34" ht="20.100000000000001" customHeight="1">
      <c r="A365" s="55">
        <v>369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3</v>
      </c>
      <c r="G365" s="109" t="s">
        <v>454</v>
      </c>
      <c r="H365" s="109" t="s">
        <v>446</v>
      </c>
      <c r="I365" s="90"/>
      <c r="J365" s="90"/>
      <c r="K365" s="90"/>
      <c r="L365" s="90"/>
      <c r="M365" s="90"/>
      <c r="N365" s="90"/>
      <c r="O365" s="90"/>
      <c r="P365" s="109" t="s">
        <v>176</v>
      </c>
      <c r="Q365" s="92"/>
      <c r="R365" s="90"/>
      <c r="S365" s="109" t="s">
        <v>486</v>
      </c>
      <c r="T365" s="130"/>
      <c r="U365" s="130"/>
      <c r="V365" s="109"/>
      <c r="W365" s="90"/>
      <c r="X365" s="130"/>
      <c r="Y365" s="129" t="str">
        <f t="shared" si="92"/>
        <v>TB_CMMN_CD</v>
      </c>
      <c r="Z365" s="50" t="str">
        <f t="shared" si="87"/>
        <v>CD_DC TEXT,</v>
      </c>
      <c r="AA365" s="50" t="str">
        <f t="shared" si="93"/>
        <v/>
      </c>
      <c r="AB365" s="50" t="str">
        <f t="shared" si="94"/>
        <v/>
      </c>
      <c r="AC365" s="50" t="str">
        <f t="shared" si="86"/>
        <v/>
      </c>
      <c r="AD365" s="50" t="str">
        <f t="shared" si="88"/>
        <v>ALTER TABLE TB_CMMN_CD ALTER COLUMN CD_DC TYPE TEXT;</v>
      </c>
      <c r="AE365" s="50" t="str">
        <f t="shared" si="89"/>
        <v>ALTER TABLE TB_CMMN_CD ADD COLUMN CD_DC TEXT;</v>
      </c>
      <c r="AF365" s="50" t="str">
        <f t="shared" si="90"/>
        <v>ALTER TABLE TB_CMMN_CD DROP COLUMN CD_DC;</v>
      </c>
      <c r="AG365" s="50" t="str">
        <f t="shared" si="91"/>
        <v/>
      </c>
      <c r="AH365" s="50" t="str">
        <f t="shared" si="95"/>
        <v>COMMENT ON COLUMN TB_CMMN_CD.CD_DC IS '코드 설명' ;</v>
      </c>
    </row>
    <row r="366" spans="1:34" ht="20.100000000000001" customHeight="1">
      <c r="A366" s="55">
        <v>370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4</v>
      </c>
      <c r="G366" s="109" t="s">
        <v>512</v>
      </c>
      <c r="H366" s="109" t="s">
        <v>507</v>
      </c>
      <c r="I366" s="90"/>
      <c r="J366" s="90"/>
      <c r="K366" s="90"/>
      <c r="L366" s="90"/>
      <c r="M366" s="90"/>
      <c r="N366" s="90"/>
      <c r="O366" s="90"/>
      <c r="P366" s="109" t="s">
        <v>438</v>
      </c>
      <c r="Q366" s="126" t="s">
        <v>564</v>
      </c>
      <c r="R366" s="90"/>
      <c r="S366" s="109" t="s">
        <v>517</v>
      </c>
      <c r="T366" s="130"/>
      <c r="U366" s="130"/>
      <c r="V366" s="109"/>
      <c r="W366" s="90"/>
      <c r="X366" s="130"/>
      <c r="Y366" s="129" t="str">
        <f t="shared" si="92"/>
        <v>TB_CMMN_CD</v>
      </c>
      <c r="Z366" s="50" t="str">
        <f t="shared" si="87"/>
        <v>CD_DETAIL_VAL1_DC VARCHAR(2000),</v>
      </c>
      <c r="AA366" s="50" t="str">
        <f t="shared" si="93"/>
        <v/>
      </c>
      <c r="AB366" s="50" t="str">
        <f t="shared" si="94"/>
        <v/>
      </c>
      <c r="AC366" s="50" t="str">
        <f t="shared" si="86"/>
        <v/>
      </c>
      <c r="AD366" s="50" t="str">
        <f t="shared" si="88"/>
        <v>ALTER TABLE TB_CMMN_CD ALTER COLUMN CD_DETAIL_VAL1_DC TYPE VARCHAR(2000);</v>
      </c>
      <c r="AE366" s="50" t="str">
        <f t="shared" si="89"/>
        <v>ALTER TABLE TB_CMMN_CD ADD COLUMN CD_DETAIL_VAL1_DC VARCHAR(2000);</v>
      </c>
      <c r="AF366" s="50" t="str">
        <f t="shared" si="90"/>
        <v>ALTER TABLE TB_CMMN_CD DROP COLUMN CD_DETAIL_VAL1_DC;</v>
      </c>
      <c r="AG366" s="50" t="str">
        <f t="shared" si="91"/>
        <v/>
      </c>
      <c r="AH366" s="50" t="str">
        <f t="shared" si="95"/>
        <v>COMMENT ON COLUMN TB_CMMN_CD.CD_DETAIL_VAL1_DC IS '코드 상세 값 1 설명' ;</v>
      </c>
    </row>
    <row r="367" spans="1:34" ht="20.100000000000001" customHeight="1">
      <c r="A367" s="55">
        <v>371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5</v>
      </c>
      <c r="G367" s="109" t="s">
        <v>513</v>
      </c>
      <c r="H367" s="109" t="s">
        <v>508</v>
      </c>
      <c r="I367" s="90"/>
      <c r="J367" s="90"/>
      <c r="K367" s="90"/>
      <c r="L367" s="90"/>
      <c r="M367" s="90"/>
      <c r="N367" s="90"/>
      <c r="O367" s="90"/>
      <c r="P367" s="109" t="s">
        <v>438</v>
      </c>
      <c r="Q367" s="126" t="s">
        <v>564</v>
      </c>
      <c r="R367" s="90"/>
      <c r="S367" s="109" t="s">
        <v>518</v>
      </c>
      <c r="T367" s="130"/>
      <c r="U367" s="130"/>
      <c r="V367" s="109"/>
      <c r="W367" s="90"/>
      <c r="X367" s="130"/>
      <c r="Y367" s="129" t="str">
        <f t="shared" si="92"/>
        <v>TB_CMMN_CD</v>
      </c>
      <c r="Z367" s="50" t="str">
        <f t="shared" si="87"/>
        <v>CD_DETAIL_VAL2_DC VARCHAR(2000),</v>
      </c>
      <c r="AA367" s="50" t="str">
        <f t="shared" si="93"/>
        <v/>
      </c>
      <c r="AB367" s="50" t="str">
        <f t="shared" si="94"/>
        <v/>
      </c>
      <c r="AC367" s="50" t="str">
        <f t="shared" si="86"/>
        <v/>
      </c>
      <c r="AD367" s="50" t="str">
        <f t="shared" si="88"/>
        <v>ALTER TABLE TB_CMMN_CD ALTER COLUMN CD_DETAIL_VAL2_DC TYPE VARCHAR(2000);</v>
      </c>
      <c r="AE367" s="50" t="str">
        <f t="shared" si="89"/>
        <v>ALTER TABLE TB_CMMN_CD ADD COLUMN CD_DETAIL_VAL2_DC VARCHAR(2000);</v>
      </c>
      <c r="AF367" s="50" t="str">
        <f t="shared" si="90"/>
        <v>ALTER TABLE TB_CMMN_CD DROP COLUMN CD_DETAIL_VAL2_DC;</v>
      </c>
      <c r="AG367" s="50" t="str">
        <f t="shared" si="91"/>
        <v/>
      </c>
      <c r="AH367" s="50" t="str">
        <f t="shared" si="95"/>
        <v>COMMENT ON COLUMN TB_CMMN_CD.CD_DETAIL_VAL2_DC IS '코드 상세 값 2 설명' ;</v>
      </c>
    </row>
    <row r="368" spans="1:34" ht="20.100000000000001" customHeight="1">
      <c r="A368" s="55">
        <v>372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6</v>
      </c>
      <c r="G368" s="109" t="s">
        <v>514</v>
      </c>
      <c r="H368" s="109" t="s">
        <v>509</v>
      </c>
      <c r="I368" s="90"/>
      <c r="J368" s="90"/>
      <c r="K368" s="90"/>
      <c r="L368" s="90"/>
      <c r="M368" s="90"/>
      <c r="N368" s="90"/>
      <c r="O368" s="90"/>
      <c r="P368" s="109" t="s">
        <v>438</v>
      </c>
      <c r="Q368" s="126" t="s">
        <v>564</v>
      </c>
      <c r="R368" s="90"/>
      <c r="S368" s="109" t="s">
        <v>519</v>
      </c>
      <c r="T368" s="130"/>
      <c r="U368" s="130"/>
      <c r="V368" s="109"/>
      <c r="W368" s="90"/>
      <c r="X368" s="130"/>
      <c r="Y368" s="129" t="str">
        <f t="shared" si="92"/>
        <v>TB_CMMN_CD</v>
      </c>
      <c r="Z368" s="50" t="str">
        <f t="shared" si="87"/>
        <v>CD_DETAIL_VAL3_DC VARCHAR(2000),</v>
      </c>
      <c r="AA368" s="50" t="str">
        <f t="shared" si="93"/>
        <v/>
      </c>
      <c r="AB368" s="50" t="str">
        <f t="shared" si="94"/>
        <v/>
      </c>
      <c r="AC368" s="50" t="str">
        <f t="shared" si="86"/>
        <v/>
      </c>
      <c r="AD368" s="50" t="str">
        <f t="shared" si="88"/>
        <v>ALTER TABLE TB_CMMN_CD ALTER COLUMN CD_DETAIL_VAL3_DC TYPE VARCHAR(2000);</v>
      </c>
      <c r="AE368" s="50" t="str">
        <f t="shared" si="89"/>
        <v>ALTER TABLE TB_CMMN_CD ADD COLUMN CD_DETAIL_VAL3_DC VARCHAR(2000);</v>
      </c>
      <c r="AF368" s="50" t="str">
        <f t="shared" si="90"/>
        <v>ALTER TABLE TB_CMMN_CD DROP COLUMN CD_DETAIL_VAL3_DC;</v>
      </c>
      <c r="AG368" s="50" t="str">
        <f t="shared" si="91"/>
        <v/>
      </c>
      <c r="AH368" s="50" t="str">
        <f t="shared" si="95"/>
        <v>COMMENT ON COLUMN TB_CMMN_CD.CD_DETAIL_VAL3_DC IS '코드 상세 값 3 설명' ;</v>
      </c>
    </row>
    <row r="369" spans="1:34" ht="20.100000000000001" customHeight="1">
      <c r="A369" s="55">
        <v>373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7</v>
      </c>
      <c r="G369" s="109" t="s">
        <v>515</v>
      </c>
      <c r="H369" s="109" t="s">
        <v>510</v>
      </c>
      <c r="I369" s="90"/>
      <c r="J369" s="90"/>
      <c r="K369" s="90"/>
      <c r="L369" s="90"/>
      <c r="M369" s="90"/>
      <c r="N369" s="90"/>
      <c r="O369" s="90"/>
      <c r="P369" s="109" t="s">
        <v>438</v>
      </c>
      <c r="Q369" s="126" t="s">
        <v>564</v>
      </c>
      <c r="R369" s="90"/>
      <c r="S369" s="109" t="s">
        <v>520</v>
      </c>
      <c r="T369" s="130"/>
      <c r="U369" s="130"/>
      <c r="V369" s="109"/>
      <c r="W369" s="90"/>
      <c r="X369" s="130"/>
      <c r="Y369" s="129" t="str">
        <f t="shared" si="92"/>
        <v>TB_CMMN_CD</v>
      </c>
      <c r="Z369" s="50" t="str">
        <f t="shared" si="87"/>
        <v>CD_DETAIL_VAL4_DC VARCHAR(2000),</v>
      </c>
      <c r="AA369" s="50" t="str">
        <f t="shared" si="93"/>
        <v/>
      </c>
      <c r="AB369" s="50" t="str">
        <f t="shared" si="94"/>
        <v/>
      </c>
      <c r="AC369" s="50" t="str">
        <f t="shared" si="86"/>
        <v/>
      </c>
      <c r="AD369" s="50" t="str">
        <f t="shared" si="88"/>
        <v>ALTER TABLE TB_CMMN_CD ALTER COLUMN CD_DETAIL_VAL4_DC TYPE VARCHAR(2000);</v>
      </c>
      <c r="AE369" s="50" t="str">
        <f t="shared" si="89"/>
        <v>ALTER TABLE TB_CMMN_CD ADD COLUMN CD_DETAIL_VAL4_DC VARCHAR(2000);</v>
      </c>
      <c r="AF369" s="50" t="str">
        <f t="shared" si="90"/>
        <v>ALTER TABLE TB_CMMN_CD DROP COLUMN CD_DETAIL_VAL4_DC;</v>
      </c>
      <c r="AG369" s="50" t="str">
        <f t="shared" si="91"/>
        <v/>
      </c>
      <c r="AH369" s="50" t="str">
        <f t="shared" si="95"/>
        <v>COMMENT ON COLUMN TB_CMMN_CD.CD_DETAIL_VAL4_DC IS '코드 상세 값 4 설명' ;</v>
      </c>
    </row>
    <row r="370" spans="1:34" ht="20.100000000000001" customHeight="1">
      <c r="A370" s="55">
        <v>374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8</v>
      </c>
      <c r="G370" s="109" t="s">
        <v>516</v>
      </c>
      <c r="H370" s="109" t="s">
        <v>511</v>
      </c>
      <c r="I370" s="90"/>
      <c r="J370" s="90"/>
      <c r="K370" s="90"/>
      <c r="L370" s="90"/>
      <c r="M370" s="90"/>
      <c r="N370" s="90"/>
      <c r="O370" s="90"/>
      <c r="P370" s="109" t="s">
        <v>438</v>
      </c>
      <c r="Q370" s="126" t="s">
        <v>564</v>
      </c>
      <c r="R370" s="90"/>
      <c r="S370" s="109" t="s">
        <v>521</v>
      </c>
      <c r="T370" s="130"/>
      <c r="U370" s="130"/>
      <c r="V370" s="109"/>
      <c r="W370" s="90"/>
      <c r="X370" s="130"/>
      <c r="Y370" s="129" t="str">
        <f t="shared" si="92"/>
        <v>TB_CMMN_CD</v>
      </c>
      <c r="Z370" s="50" t="str">
        <f t="shared" si="87"/>
        <v>CD_DETAIL_VAL5_DC VARCHAR(2000),</v>
      </c>
      <c r="AA370" s="50" t="str">
        <f t="shared" si="93"/>
        <v/>
      </c>
      <c r="AB370" s="50" t="str">
        <f t="shared" si="94"/>
        <v/>
      </c>
      <c r="AC370" s="50" t="str">
        <f t="shared" si="86"/>
        <v/>
      </c>
      <c r="AD370" s="50" t="str">
        <f t="shared" si="88"/>
        <v>ALTER TABLE TB_CMMN_CD ALTER COLUMN CD_DETAIL_VAL5_DC TYPE VARCHAR(2000);</v>
      </c>
      <c r="AE370" s="50" t="str">
        <f t="shared" si="89"/>
        <v>ALTER TABLE TB_CMMN_CD ADD COLUMN CD_DETAIL_VAL5_DC VARCHAR(2000);</v>
      </c>
      <c r="AF370" s="50" t="str">
        <f t="shared" si="90"/>
        <v>ALTER TABLE TB_CMMN_CD DROP COLUMN CD_DETAIL_VAL5_DC;</v>
      </c>
      <c r="AG370" s="50" t="str">
        <f t="shared" si="91"/>
        <v/>
      </c>
      <c r="AH370" s="50" t="str">
        <f t="shared" si="95"/>
        <v>COMMENT ON COLUMN TB_CMMN_CD.CD_DETAIL_VAL5_DC IS '코드 상세 값 5 설명' ;</v>
      </c>
    </row>
    <row r="371" spans="1:34" ht="20.100000000000001" customHeight="1">
      <c r="A371" s="55">
        <v>375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9</v>
      </c>
      <c r="G371" s="109" t="s">
        <v>450</v>
      </c>
      <c r="H371" s="109" t="s">
        <v>447</v>
      </c>
      <c r="I371" s="75" t="s">
        <v>72</v>
      </c>
      <c r="J371" s="90"/>
      <c r="K371" s="90"/>
      <c r="L371" s="90"/>
      <c r="M371" s="90"/>
      <c r="N371" s="90"/>
      <c r="O371" s="90"/>
      <c r="P371" s="51" t="s">
        <v>106</v>
      </c>
      <c r="Q371" s="126" t="s">
        <v>556</v>
      </c>
      <c r="R371" s="90"/>
      <c r="S371" s="109" t="s">
        <v>483</v>
      </c>
      <c r="T371" s="130"/>
      <c r="U371" s="130"/>
      <c r="V371" s="109"/>
      <c r="W371" s="90"/>
      <c r="X371" s="130"/>
      <c r="Y371" s="129" t="str">
        <f t="shared" si="92"/>
        <v>TB_CMMN_CD</v>
      </c>
      <c r="Z371" s="50" t="str">
        <f t="shared" si="87"/>
        <v>USE_YN VARCHAR(1) NOT NULL,</v>
      </c>
      <c r="AA371" s="50" t="str">
        <f t="shared" si="93"/>
        <v/>
      </c>
      <c r="AB371" s="50" t="str">
        <f t="shared" si="94"/>
        <v/>
      </c>
      <c r="AC371" s="50" t="str">
        <f t="shared" si="86"/>
        <v/>
      </c>
      <c r="AD371" s="50" t="str">
        <f t="shared" si="88"/>
        <v>ALTER TABLE TB_CMMN_CD ALTER COLUMN USE_YN TYPE VARCHAR(1);</v>
      </c>
      <c r="AE371" s="50" t="str">
        <f t="shared" si="89"/>
        <v>ALTER TABLE TB_CMMN_CD ADD COLUMN USE_YN VARCHAR(1) NOT NULL;</v>
      </c>
      <c r="AF371" s="50" t="str">
        <f t="shared" si="90"/>
        <v>ALTER TABLE TB_CMMN_CD DROP COLUMN USE_YN;</v>
      </c>
      <c r="AG371" s="50" t="str">
        <f t="shared" si="91"/>
        <v/>
      </c>
      <c r="AH371" s="50" t="str">
        <f t="shared" si="95"/>
        <v>COMMENT ON COLUMN TB_CMMN_CD.USE_YN IS '사용 여부' ;</v>
      </c>
    </row>
    <row r="372" spans="1:34" ht="20.100000000000001" customHeight="1">
      <c r="A372" s="55">
        <v>376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10</v>
      </c>
      <c r="G372" s="109" t="s">
        <v>616</v>
      </c>
      <c r="H372" s="109" t="s">
        <v>615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556</v>
      </c>
      <c r="R372" s="90"/>
      <c r="S372" s="109" t="s">
        <v>617</v>
      </c>
      <c r="T372" s="130"/>
      <c r="U372" s="130"/>
      <c r="V372" s="109" t="s">
        <v>618</v>
      </c>
      <c r="W372" s="90"/>
      <c r="X372" s="130"/>
      <c r="Y372" s="129" t="str">
        <f t="shared" ref="Y372" si="100">D372</f>
        <v>TB_CMMN_CD</v>
      </c>
      <c r="Z372" s="50" t="str">
        <f t="shared" si="87"/>
        <v>SYS_ESSNTL_CMMN_YN VARCHAR(1) NOT NULL,</v>
      </c>
      <c r="AA372" s="50" t="str">
        <f t="shared" si="93"/>
        <v/>
      </c>
      <c r="AB372" s="50" t="str">
        <f t="shared" si="94"/>
        <v/>
      </c>
      <c r="AC372" s="50" t="str">
        <f t="shared" si="86"/>
        <v/>
      </c>
      <c r="AD372" s="50" t="str">
        <f t="shared" si="88"/>
        <v>ALTER TABLE TB_CMMN_CD ALTER COLUMN SYS_ESSNTL_CMMN_YN TYPE VARCHAR(1);</v>
      </c>
      <c r="AE372" s="50" t="str">
        <f t="shared" si="89"/>
        <v>ALTER TABLE TB_CMMN_CD ADD COLUMN SYS_ESSNTL_CMMN_YN VARCHAR(1) NOT NULL;</v>
      </c>
      <c r="AF372" s="50" t="str">
        <f t="shared" si="90"/>
        <v>ALTER TABLE TB_CMMN_CD DROP COLUMN SYS_ESSNTL_CMMN_YN;</v>
      </c>
      <c r="AG372" s="50" t="str">
        <f t="shared" si="91"/>
        <v/>
      </c>
      <c r="AH372" s="50" t="str">
        <f t="shared" ref="AH372" si="101">"COMMENT ON COLUMN "&amp;D372&amp;"."&amp;G372&amp;" IS '"&amp;S372&amp;"' ;"</f>
        <v>COMMENT ON COLUMN TB_CMMN_CD.SYS_ESSNTL_CMMN_YN IS '시스템 필수 코드 여부' ;</v>
      </c>
    </row>
    <row r="373" spans="1:34" ht="20.100000000000001" customHeight="1">
      <c r="A373" s="55">
        <v>377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11</v>
      </c>
      <c r="G373" s="109" t="s">
        <v>451</v>
      </c>
      <c r="H373" s="109" t="s">
        <v>448</v>
      </c>
      <c r="I373" s="90"/>
      <c r="J373" s="90"/>
      <c r="K373" s="90"/>
      <c r="L373" s="90"/>
      <c r="M373" s="90"/>
      <c r="N373" s="90"/>
      <c r="O373" s="90"/>
      <c r="P373" s="109" t="s">
        <v>438</v>
      </c>
      <c r="Q373" s="126" t="s">
        <v>560</v>
      </c>
      <c r="R373" s="90"/>
      <c r="S373" s="109" t="s">
        <v>487</v>
      </c>
      <c r="T373" s="130"/>
      <c r="U373" s="130"/>
      <c r="V373" s="109" t="s">
        <v>484</v>
      </c>
      <c r="W373" s="90"/>
      <c r="X373" s="130"/>
      <c r="Y373" s="129" t="str">
        <f t="shared" si="92"/>
        <v>TB_CMMN_CD</v>
      </c>
      <c r="Z373" s="50" t="str">
        <f t="shared" si="87"/>
        <v>CL_CD VARCHAR(50),</v>
      </c>
      <c r="AA373" s="50" t="str">
        <f t="shared" si="93"/>
        <v/>
      </c>
      <c r="AB373" s="50" t="str">
        <f t="shared" si="94"/>
        <v/>
      </c>
      <c r="AC373" s="50" t="str">
        <f t="shared" si="86"/>
        <v/>
      </c>
      <c r="AD373" s="50" t="str">
        <f t="shared" si="88"/>
        <v>ALTER TABLE TB_CMMN_CD ALTER COLUMN CL_CD TYPE VARCHAR(50);</v>
      </c>
      <c r="AE373" s="50" t="str">
        <f t="shared" si="89"/>
        <v>ALTER TABLE TB_CMMN_CD ADD COLUMN CL_CD VARCHAR(50);</v>
      </c>
      <c r="AF373" s="50" t="str">
        <f t="shared" si="90"/>
        <v>ALTER TABLE TB_CMMN_CD DROP COLUMN CL_CD;</v>
      </c>
      <c r="AG373" s="50" t="str">
        <f t="shared" si="91"/>
        <v/>
      </c>
      <c r="AH373" s="50" t="str">
        <f t="shared" si="95"/>
        <v>COMMENT ON COLUMN TB_CMMN_CD.CL_CD IS '분류 코드' ;</v>
      </c>
    </row>
    <row r="374" spans="1:34" ht="20.100000000000001" customHeight="1">
      <c r="A374" s="55">
        <v>378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12</v>
      </c>
      <c r="G374" s="109" t="s">
        <v>455</v>
      </c>
      <c r="H374" s="109" t="s">
        <v>449</v>
      </c>
      <c r="I374" s="90"/>
      <c r="J374" s="90"/>
      <c r="K374" s="90"/>
      <c r="L374" s="90"/>
      <c r="M374" s="90"/>
      <c r="N374" s="90"/>
      <c r="O374" s="90"/>
      <c r="P374" s="109" t="s">
        <v>554</v>
      </c>
      <c r="Q374" s="92"/>
      <c r="R374" s="90"/>
      <c r="S374" s="109" t="s">
        <v>449</v>
      </c>
      <c r="T374" s="130"/>
      <c r="U374" s="130"/>
      <c r="V374" s="109"/>
      <c r="W374" s="90"/>
      <c r="X374" s="130"/>
      <c r="Y374" s="129" t="str">
        <f t="shared" si="92"/>
        <v>TB_CMMN_CD</v>
      </c>
      <c r="Z374" s="50" t="str">
        <f t="shared" si="87"/>
        <v>REMARK TEXT,</v>
      </c>
      <c r="AA374" s="50" t="str">
        <f t="shared" si="93"/>
        <v/>
      </c>
      <c r="AB374" s="50" t="str">
        <f t="shared" si="94"/>
        <v/>
      </c>
      <c r="AC374" s="50" t="str">
        <f t="shared" si="86"/>
        <v/>
      </c>
      <c r="AD374" s="50" t="str">
        <f t="shared" si="88"/>
        <v>ALTER TABLE TB_CMMN_CD ALTER COLUMN REMARK TYPE TEXT;</v>
      </c>
      <c r="AE374" s="50" t="str">
        <f t="shared" si="89"/>
        <v>ALTER TABLE TB_CMMN_CD ADD COLUMN REMARK TEXT;</v>
      </c>
      <c r="AF374" s="50" t="str">
        <f t="shared" si="90"/>
        <v>ALTER TABLE TB_CMMN_CD DROP COLUMN REMARK;</v>
      </c>
      <c r="AG374" s="50" t="str">
        <f t="shared" si="91"/>
        <v/>
      </c>
      <c r="AH374" s="50" t="str">
        <f t="shared" si="95"/>
        <v>COMMENT ON COLUMN TB_CMMN_CD.REMARK IS '비고' ;</v>
      </c>
    </row>
    <row r="375" spans="1:34" ht="20.100000000000001" customHeight="1">
      <c r="A375" s="55">
        <v>379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13</v>
      </c>
      <c r="G375" s="102" t="s">
        <v>107</v>
      </c>
      <c r="H375" s="51" t="s">
        <v>76</v>
      </c>
      <c r="I375" s="75" t="s">
        <v>72</v>
      </c>
      <c r="J375" s="67"/>
      <c r="K375" s="67"/>
      <c r="L375" s="82"/>
      <c r="M375" s="82"/>
      <c r="N375" s="82"/>
      <c r="O375" s="82"/>
      <c r="P375" s="105" t="s">
        <v>555</v>
      </c>
      <c r="Q375" s="126" t="s">
        <v>560</v>
      </c>
      <c r="R375" s="85"/>
      <c r="S375" s="112" t="s">
        <v>226</v>
      </c>
      <c r="T375" s="130"/>
      <c r="U375" s="130"/>
      <c r="V375" s="123" t="s">
        <v>529</v>
      </c>
      <c r="W375" s="90"/>
      <c r="X375" s="130"/>
      <c r="Y375" s="129" t="str">
        <f t="shared" si="92"/>
        <v>TB_CMMN_CD</v>
      </c>
      <c r="Z375" s="50" t="str">
        <f t="shared" si="87"/>
        <v>REGISTER_ID VARCHAR(50) NOT NULL,</v>
      </c>
      <c r="AA375" s="50" t="str">
        <f t="shared" si="93"/>
        <v/>
      </c>
      <c r="AB375" s="50" t="str">
        <f t="shared" si="94"/>
        <v/>
      </c>
      <c r="AC375" s="50" t="str">
        <f t="shared" si="86"/>
        <v/>
      </c>
      <c r="AD375" s="50" t="str">
        <f t="shared" si="88"/>
        <v>ALTER TABLE TB_CMMN_CD ALTER COLUMN REGISTER_ID TYPE VARCHAR(50);</v>
      </c>
      <c r="AE375" s="50" t="str">
        <f t="shared" si="89"/>
        <v>ALTER TABLE TB_CMMN_CD ADD COLUMN REGISTER_ID VARCHAR(50) NOT NULL;</v>
      </c>
      <c r="AF375" s="50" t="str">
        <f t="shared" si="90"/>
        <v>ALTER TABLE TB_CMMN_CD DROP COLUMN REGISTER_ID;</v>
      </c>
      <c r="AG375" s="50" t="str">
        <f t="shared" si="91"/>
        <v/>
      </c>
      <c r="AH375" s="50" t="str">
        <f t="shared" si="95"/>
        <v>COMMENT ON COLUMN TB_CMMN_CD.REGISTER_ID IS '등록자 ID' ;</v>
      </c>
    </row>
    <row r="376" spans="1:34" ht="20.100000000000001" customHeight="1">
      <c r="A376" s="55">
        <v>380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14</v>
      </c>
      <c r="G376" s="102" t="s">
        <v>91</v>
      </c>
      <c r="H376" s="51" t="s">
        <v>77</v>
      </c>
      <c r="I376" s="75" t="s">
        <v>72</v>
      </c>
      <c r="J376" s="52"/>
      <c r="K376" s="52"/>
      <c r="L376" s="52"/>
      <c r="M376" s="52"/>
      <c r="N376" s="52"/>
      <c r="O376" s="52"/>
      <c r="P376" s="56" t="s">
        <v>106</v>
      </c>
      <c r="Q376" s="127" t="s">
        <v>561</v>
      </c>
      <c r="R376" s="85"/>
      <c r="S376" s="112" t="s">
        <v>225</v>
      </c>
      <c r="T376" s="130"/>
      <c r="U376" s="130"/>
      <c r="V376" s="109"/>
      <c r="W376" s="90"/>
      <c r="X376" s="130"/>
      <c r="Y376" s="129" t="str">
        <f t="shared" si="92"/>
        <v>TB_CMMN_CD</v>
      </c>
      <c r="Z376" s="50" t="str">
        <f t="shared" si="87"/>
        <v>REGISTER_IP VARCHAR(100) NOT NULL,</v>
      </c>
      <c r="AA376" s="50" t="str">
        <f t="shared" si="93"/>
        <v/>
      </c>
      <c r="AB376" s="50" t="str">
        <f t="shared" si="94"/>
        <v/>
      </c>
      <c r="AC376" s="50" t="str">
        <f t="shared" si="86"/>
        <v/>
      </c>
      <c r="AD376" s="50" t="str">
        <f t="shared" si="88"/>
        <v>ALTER TABLE TB_CMMN_CD ALTER COLUMN REGISTER_IP TYPE VARCHAR(100);</v>
      </c>
      <c r="AE376" s="50" t="str">
        <f t="shared" si="89"/>
        <v>ALTER TABLE TB_CMMN_CD ADD COLUMN REGISTER_IP VARCHAR(100) NOT NULL;</v>
      </c>
      <c r="AF376" s="50" t="str">
        <f t="shared" si="90"/>
        <v>ALTER TABLE TB_CMMN_CD DROP COLUMN REGISTER_IP;</v>
      </c>
      <c r="AG376" s="50" t="str">
        <f t="shared" si="91"/>
        <v/>
      </c>
      <c r="AH376" s="50" t="str">
        <f t="shared" si="95"/>
        <v>COMMENT ON COLUMN TB_CMMN_CD.REGISTER_IP IS '등록자 IP' ;</v>
      </c>
    </row>
    <row r="377" spans="1:34" ht="20.100000000000001" customHeight="1">
      <c r="A377" s="55">
        <v>381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15</v>
      </c>
      <c r="G377" s="102" t="s">
        <v>92</v>
      </c>
      <c r="H377" s="101" t="s">
        <v>78</v>
      </c>
      <c r="I377" s="75" t="s">
        <v>72</v>
      </c>
      <c r="J377" s="52"/>
      <c r="K377" s="52"/>
      <c r="L377" s="52"/>
      <c r="M377" s="52"/>
      <c r="N377" s="52"/>
      <c r="O377" s="52"/>
      <c r="P377" s="51" t="s">
        <v>749</v>
      </c>
      <c r="Q377" s="127"/>
      <c r="R377" s="85"/>
      <c r="S377" s="112" t="s">
        <v>224</v>
      </c>
      <c r="T377" s="130"/>
      <c r="U377" s="130"/>
      <c r="V377" s="109"/>
      <c r="W377" s="90"/>
      <c r="X377" s="130"/>
      <c r="Y377" s="129" t="str">
        <f t="shared" si="92"/>
        <v>TB_CMMN_CD</v>
      </c>
      <c r="Z377" s="50" t="str">
        <f t="shared" si="87"/>
        <v>REG_DT TIMESTAMP NOT NULL,</v>
      </c>
      <c r="AA377" s="50" t="str">
        <f t="shared" si="93"/>
        <v/>
      </c>
      <c r="AB377" s="50" t="str">
        <f t="shared" si="94"/>
        <v/>
      </c>
      <c r="AC377" s="50" t="str">
        <f t="shared" si="86"/>
        <v/>
      </c>
      <c r="AD377" s="50" t="str">
        <f t="shared" si="88"/>
        <v>ALTER TABLE TB_CMMN_CD ALTER COLUMN REG_DT TYPE TIMESTAMP;</v>
      </c>
      <c r="AE377" s="50" t="str">
        <f t="shared" si="89"/>
        <v>ALTER TABLE TB_CMMN_CD ADD COLUMN REG_DT TIMESTAMP NOT NULL;</v>
      </c>
      <c r="AF377" s="50" t="str">
        <f t="shared" si="90"/>
        <v>ALTER TABLE TB_CMMN_CD DROP COLUMN REG_DT;</v>
      </c>
      <c r="AG377" s="50" t="str">
        <f t="shared" si="91"/>
        <v/>
      </c>
      <c r="AH377" s="50" t="str">
        <f t="shared" si="95"/>
        <v>COMMENT ON COLUMN TB_CMMN_CD.REG_DT IS '등록 일시' ;</v>
      </c>
    </row>
    <row r="378" spans="1:34" ht="20.100000000000001" customHeight="1">
      <c r="A378" s="55">
        <v>382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16</v>
      </c>
      <c r="G378" s="102" t="s">
        <v>93</v>
      </c>
      <c r="H378" s="101" t="s">
        <v>80</v>
      </c>
      <c r="I378" s="52"/>
      <c r="J378" s="52"/>
      <c r="K378" s="52"/>
      <c r="L378" s="84"/>
      <c r="M378" s="84"/>
      <c r="N378" s="84"/>
      <c r="O378" s="84"/>
      <c r="P378" s="105" t="s">
        <v>555</v>
      </c>
      <c r="Q378" s="126" t="s">
        <v>560</v>
      </c>
      <c r="R378" s="85"/>
      <c r="S378" s="112" t="s">
        <v>223</v>
      </c>
      <c r="T378" s="130"/>
      <c r="U378" s="130"/>
      <c r="V378" s="123" t="s">
        <v>529</v>
      </c>
      <c r="W378" s="90"/>
      <c r="X378" s="130"/>
      <c r="Y378" s="129" t="str">
        <f t="shared" si="92"/>
        <v>TB_CMMN_CD</v>
      </c>
      <c r="Z378" s="50" t="str">
        <f t="shared" si="87"/>
        <v>UPDUSR_ID VARCHAR(50),</v>
      </c>
      <c r="AA378" s="50" t="str">
        <f t="shared" si="93"/>
        <v/>
      </c>
      <c r="AB378" s="50" t="str">
        <f t="shared" si="94"/>
        <v/>
      </c>
      <c r="AC378" s="50" t="str">
        <f t="shared" si="86"/>
        <v/>
      </c>
      <c r="AD378" s="50" t="str">
        <f t="shared" si="88"/>
        <v>ALTER TABLE TB_CMMN_CD ALTER COLUMN UPDUSR_ID TYPE VARCHAR(50);</v>
      </c>
      <c r="AE378" s="50" t="str">
        <f t="shared" si="89"/>
        <v>ALTER TABLE TB_CMMN_CD ADD COLUMN UPDUSR_ID VARCHAR(50);</v>
      </c>
      <c r="AF378" s="50" t="str">
        <f t="shared" si="90"/>
        <v>ALTER TABLE TB_CMMN_CD DROP COLUMN UPDUSR_ID;</v>
      </c>
      <c r="AG378" s="50" t="str">
        <f t="shared" si="91"/>
        <v/>
      </c>
      <c r="AH378" s="50" t="str">
        <f t="shared" si="95"/>
        <v>COMMENT ON COLUMN TB_CMMN_CD.UPDUSR_ID IS '수정자 ID' ;</v>
      </c>
    </row>
    <row r="379" spans="1:34" ht="20.100000000000001" customHeight="1">
      <c r="A379" s="55">
        <v>383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17</v>
      </c>
      <c r="G379" s="102" t="s">
        <v>94</v>
      </c>
      <c r="H379" s="101" t="s">
        <v>79</v>
      </c>
      <c r="I379" s="52"/>
      <c r="J379" s="52"/>
      <c r="K379" s="52"/>
      <c r="L379" s="52"/>
      <c r="M379" s="52"/>
      <c r="N379" s="52"/>
      <c r="O379" s="52"/>
      <c r="P379" s="56" t="s">
        <v>106</v>
      </c>
      <c r="Q379" s="127" t="s">
        <v>561</v>
      </c>
      <c r="R379" s="85"/>
      <c r="S379" s="112" t="s">
        <v>222</v>
      </c>
      <c r="T379" s="130"/>
      <c r="U379" s="130"/>
      <c r="V379" s="109"/>
      <c r="W379" s="90"/>
      <c r="X379" s="130"/>
      <c r="Y379" s="129" t="str">
        <f t="shared" si="92"/>
        <v>TB_CMMN_CD</v>
      </c>
      <c r="Z379" s="50" t="str">
        <f t="shared" si="87"/>
        <v>UPDUSR_IP VARCHAR(100),</v>
      </c>
      <c r="AA379" s="50" t="str">
        <f t="shared" si="93"/>
        <v/>
      </c>
      <c r="AB379" s="50" t="str">
        <f t="shared" si="94"/>
        <v/>
      </c>
      <c r="AC379" s="50" t="str">
        <f t="shared" si="86"/>
        <v/>
      </c>
      <c r="AD379" s="50" t="str">
        <f t="shared" si="88"/>
        <v>ALTER TABLE TB_CMMN_CD ALTER COLUMN UPDUSR_IP TYPE VARCHAR(100);</v>
      </c>
      <c r="AE379" s="50" t="str">
        <f t="shared" si="89"/>
        <v>ALTER TABLE TB_CMMN_CD ADD COLUMN UPDUSR_IP VARCHAR(100);</v>
      </c>
      <c r="AF379" s="50" t="str">
        <f t="shared" si="90"/>
        <v>ALTER TABLE TB_CMMN_CD DROP COLUMN UPDUSR_IP;</v>
      </c>
      <c r="AG379" s="50" t="str">
        <f t="shared" si="91"/>
        <v/>
      </c>
      <c r="AH379" s="50" t="str">
        <f t="shared" si="95"/>
        <v>COMMENT ON COLUMN TB_CMMN_CD.UPDUSR_IP IS '수정자 IP' ;</v>
      </c>
    </row>
    <row r="380" spans="1:34" ht="20.100000000000001" customHeight="1">
      <c r="A380" s="55">
        <v>384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18</v>
      </c>
      <c r="G380" s="103" t="s">
        <v>95</v>
      </c>
      <c r="H380" s="102" t="s">
        <v>81</v>
      </c>
      <c r="I380" s="61"/>
      <c r="J380" s="61"/>
      <c r="K380" s="61"/>
      <c r="L380" s="61"/>
      <c r="M380" s="61"/>
      <c r="N380" s="61"/>
      <c r="O380" s="61"/>
      <c r="P380" s="51" t="s">
        <v>749</v>
      </c>
      <c r="Q380" s="127"/>
      <c r="R380" s="82"/>
      <c r="S380" s="112" t="s">
        <v>221</v>
      </c>
      <c r="T380" s="130"/>
      <c r="U380" s="130"/>
      <c r="V380" s="109"/>
      <c r="W380" s="90"/>
      <c r="X380" s="130"/>
      <c r="Y380" s="129" t="str">
        <f t="shared" si="92"/>
        <v>TB_CMMN_CD</v>
      </c>
      <c r="Z380" s="50" t="str">
        <f t="shared" si="87"/>
        <v>UPDT_DT TIMESTAMP,</v>
      </c>
      <c r="AA380" s="50" t="str">
        <f t="shared" si="93"/>
        <v/>
      </c>
      <c r="AB380" s="50" t="str">
        <f t="shared" si="94"/>
        <v/>
      </c>
      <c r="AC380" s="50" t="str">
        <f t="shared" si="86"/>
        <v/>
      </c>
      <c r="AD380" s="50" t="str">
        <f t="shared" si="88"/>
        <v>ALTER TABLE TB_CMMN_CD ALTER COLUMN UPDT_DT TYPE TIMESTAMP;</v>
      </c>
      <c r="AE380" s="50" t="str">
        <f t="shared" si="89"/>
        <v>ALTER TABLE TB_CMMN_CD ADD COLUMN UPDT_DT TIMESTAMP;</v>
      </c>
      <c r="AF380" s="50" t="str">
        <f t="shared" si="90"/>
        <v>ALTER TABLE TB_CMMN_CD DROP COLUMN UPDT_DT;</v>
      </c>
      <c r="AG380" s="50" t="str">
        <f t="shared" si="91"/>
        <v/>
      </c>
      <c r="AH380" s="50" t="str">
        <f t="shared" si="95"/>
        <v>COMMENT ON COLUMN TB_CMMN_CD.UPDT_DT IS '수정 일시' ;</v>
      </c>
    </row>
    <row r="381" spans="1:34" ht="20.100000000000001" customHeight="1">
      <c r="A381" s="55">
        <v>385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19</v>
      </c>
      <c r="G381" s="102" t="s">
        <v>96</v>
      </c>
      <c r="H381" s="102" t="s">
        <v>82</v>
      </c>
      <c r="I381" s="75" t="s">
        <v>72</v>
      </c>
      <c r="J381" s="61"/>
      <c r="K381" s="61"/>
      <c r="L381" s="61"/>
      <c r="M381" s="61"/>
      <c r="N381" s="61"/>
      <c r="O381" s="61"/>
      <c r="P381" s="51" t="s">
        <v>106</v>
      </c>
      <c r="Q381" s="127" t="s">
        <v>556</v>
      </c>
      <c r="R381" s="87" t="s">
        <v>604</v>
      </c>
      <c r="S381" s="112" t="s">
        <v>220</v>
      </c>
      <c r="T381" s="130"/>
      <c r="U381" s="130"/>
      <c r="V381" s="109"/>
      <c r="W381" s="90"/>
      <c r="X381" s="130"/>
      <c r="Y381" s="129" t="str">
        <f t="shared" si="92"/>
        <v>TB_CMMN_CD</v>
      </c>
      <c r="Z381" s="50" t="str">
        <f t="shared" si="87"/>
        <v>DEL_YN VARCHAR(1) NOT NULL,</v>
      </c>
      <c r="AA381" s="50" t="str">
        <f t="shared" si="93"/>
        <v/>
      </c>
      <c r="AB381" s="50" t="str">
        <f t="shared" si="94"/>
        <v/>
      </c>
      <c r="AC381" s="50" t="str">
        <f t="shared" si="86"/>
        <v/>
      </c>
      <c r="AD381" s="50" t="str">
        <f t="shared" si="88"/>
        <v>ALTER TABLE TB_CMMN_CD ALTER COLUMN DEL_YN TYPE VARCHAR(1);</v>
      </c>
      <c r="AE381" s="50" t="str">
        <f t="shared" si="89"/>
        <v>ALTER TABLE TB_CMMN_CD ADD COLUMN DEL_YN VARCHAR(1) NOT NULL DEFAULT 'N';</v>
      </c>
      <c r="AF381" s="50" t="str">
        <f t="shared" si="90"/>
        <v>ALTER TABLE TB_CMMN_CD DROP COLUMN DEL_YN;</v>
      </c>
      <c r="AG381" s="50" t="str">
        <f t="shared" si="91"/>
        <v>ALTER TABLE TB_CMMN_CD ALTER COLUMN DEL_YN SET DEFAULT 'N';</v>
      </c>
      <c r="AH381" s="50" t="str">
        <f t="shared" si="95"/>
        <v>COMMENT ON COLUMN TB_CMMN_CD.DEL_YN IS '삭제 여부' ;</v>
      </c>
    </row>
    <row r="382" spans="1:34" ht="20.100000000000001" customHeight="1">
      <c r="A382" s="55">
        <v>386</v>
      </c>
      <c r="B382" s="26" t="s">
        <v>7</v>
      </c>
      <c r="C382" s="26" t="s">
        <v>19</v>
      </c>
      <c r="D382" s="10" t="s">
        <v>442</v>
      </c>
      <c r="E382" s="10" t="s">
        <v>443</v>
      </c>
      <c r="F382" s="92">
        <v>1</v>
      </c>
      <c r="G382" s="109" t="s">
        <v>456</v>
      </c>
      <c r="H382" s="109" t="s">
        <v>471</v>
      </c>
      <c r="I382" s="90" t="s">
        <v>436</v>
      </c>
      <c r="J382" s="90">
        <v>1</v>
      </c>
      <c r="K382" s="90"/>
      <c r="L382" s="90"/>
      <c r="M382" s="90"/>
      <c r="N382" s="90"/>
      <c r="O382" s="90"/>
      <c r="P382" s="109" t="s">
        <v>437</v>
      </c>
      <c r="Q382" s="92"/>
      <c r="R382" s="90"/>
      <c r="S382" s="109" t="s">
        <v>473</v>
      </c>
      <c r="T382" s="132" t="str">
        <f>"SEQ_"&amp;D382&amp;"_SN"</f>
        <v>SEQ_TB_CMMN_CD_DETAIL_SN</v>
      </c>
      <c r="U382" s="132"/>
      <c r="V382" s="109"/>
      <c r="W382" s="90"/>
      <c r="X382" s="130"/>
      <c r="Y382" s="129" t="str">
        <f t="shared" si="92"/>
        <v>TB_CMMN_CD_DETAIL</v>
      </c>
      <c r="Z382" s="50" t="str">
        <f t="shared" si="87"/>
        <v>CD_DETAIL_SN INTEGER PRIMARY KEY,</v>
      </c>
      <c r="AA382" s="50" t="str">
        <f t="shared" si="93"/>
        <v/>
      </c>
      <c r="AB382" s="50" t="str">
        <f t="shared" si="94"/>
        <v>CREATE SEQUENCE SEQ_TB_CMMN_CD_DETAIL_SN START 100000;</v>
      </c>
      <c r="AC382" s="50" t="str">
        <f t="shared" ref="AC382:AC421" si="102">IF(ISBLANK(T382),"","ALTER TABLE "&amp;D382&amp;" ALTER COLUMN "&amp;G382&amp;" SET DEFAULT NEXTVAL('"&amp;T382&amp;"');")</f>
        <v>ALTER TABLE TB_CMMN_CD_DETAIL ALTER COLUMN CD_DETAIL_SN SET DEFAULT NEXTVAL('SEQ_TB_CMMN_CD_DETAIL_SN');</v>
      </c>
      <c r="AD382" s="50" t="str">
        <f t="shared" si="88"/>
        <v>ALTER TABLE TB_CMMN_CD_DETAIL ALTER COLUMN CD_DETAIL_SN TYPE INTEGER;</v>
      </c>
      <c r="AE382" s="50" t="str">
        <f t="shared" si="89"/>
        <v>ALTER TABLE TB_CMMN_CD_DETAIL ADD COLUMN CD_DETAIL_SN INTEGER NOT NULL;</v>
      </c>
      <c r="AF382" s="50" t="str">
        <f t="shared" si="90"/>
        <v>ALTER TABLE TB_CMMN_CD_DETAIL DROP COLUMN CD_DETAIL_SN;</v>
      </c>
      <c r="AG382" s="50" t="str">
        <f t="shared" si="91"/>
        <v/>
      </c>
      <c r="AH382" s="50" t="str">
        <f t="shared" si="95"/>
        <v>COMMENT ON COLUMN TB_CMMN_CD_DETAIL.CD_DETAIL_SN IS '코드 상세 일련번호' ;</v>
      </c>
    </row>
    <row r="383" spans="1:34" ht="20.100000000000001" customHeight="1">
      <c r="A383" s="55">
        <v>387</v>
      </c>
      <c r="B383" s="26" t="s">
        <v>7</v>
      </c>
      <c r="C383" s="26" t="s">
        <v>19</v>
      </c>
      <c r="D383" s="10" t="s">
        <v>442</v>
      </c>
      <c r="E383" s="10" t="s">
        <v>443</v>
      </c>
      <c r="F383" s="92">
        <v>2</v>
      </c>
      <c r="G383" s="109" t="s">
        <v>452</v>
      </c>
      <c r="H383" s="109" t="s">
        <v>444</v>
      </c>
      <c r="I383" s="90" t="s">
        <v>436</v>
      </c>
      <c r="J383" s="90"/>
      <c r="K383" s="90">
        <v>1</v>
      </c>
      <c r="L383" s="10" t="s">
        <v>43</v>
      </c>
      <c r="M383" s="109" t="s">
        <v>452</v>
      </c>
      <c r="N383" s="100" t="s">
        <v>574</v>
      </c>
      <c r="O383" s="100" t="s">
        <v>576</v>
      </c>
      <c r="P383" s="109" t="s">
        <v>437</v>
      </c>
      <c r="Q383" s="92"/>
      <c r="R383" s="90"/>
      <c r="S383" s="109" t="s">
        <v>474</v>
      </c>
      <c r="T383" s="130"/>
      <c r="U383" s="130"/>
      <c r="V383" s="109"/>
      <c r="W383" s="90"/>
      <c r="X383" s="130"/>
      <c r="Y383" s="129" t="str">
        <f t="shared" si="92"/>
        <v>TB_CMMN_CD_DETAIL</v>
      </c>
      <c r="Z383" s="50" t="str">
        <f t="shared" ref="Z383:Z421" si="103">G383&amp;" "&amp;P383&amp;Q383&amp;IF(ISBLANK(J383),""," PRIMARY KEY")&amp;IF(AND(ISBLANK(J383),I383="Y")," NOT NULL","")&amp;","</f>
        <v>CD_SN INTEGER NOT NULL,</v>
      </c>
      <c r="AA383" s="50" t="str">
        <f t="shared" si="93"/>
        <v>ALTER TABLE TB_CMMN_CD_DETAIL ADD CONSTRAINT TB_CMMN_CD_DETAIL_FKEY1 FOREIGN KEY(CD_SN) REFERENCES TB_CMMN_CD(CD_SN) ON UPDATE CASCADE ON DELETE CASCADE;</v>
      </c>
      <c r="AB383" s="50" t="str">
        <f t="shared" si="94"/>
        <v/>
      </c>
      <c r="AC383" s="50" t="str">
        <f t="shared" si="102"/>
        <v/>
      </c>
      <c r="AD383" s="50" t="str">
        <f t="shared" si="88"/>
        <v>ALTER TABLE TB_CMMN_CD_DETAIL ALTER COLUMN CD_SN TYPE INTEGER;</v>
      </c>
      <c r="AE383" s="50" t="str">
        <f t="shared" si="89"/>
        <v>ALTER TABLE TB_CMMN_CD_DETAIL ADD COLUMN CD_SN INTEGER NOT NULL;</v>
      </c>
      <c r="AF383" s="50" t="str">
        <f t="shared" si="90"/>
        <v>ALTER TABLE TB_CMMN_CD_DETAIL DROP COLUMN CD_SN;</v>
      </c>
      <c r="AG383" s="50" t="str">
        <f t="shared" si="91"/>
        <v/>
      </c>
      <c r="AH383" s="50" t="str">
        <f t="shared" si="95"/>
        <v>COMMENT ON COLUMN TB_CMMN_CD_DETAIL.CD_SN IS '코드 일련번호' ;</v>
      </c>
    </row>
    <row r="384" spans="1:34" ht="20.100000000000001" customHeight="1">
      <c r="A384" s="55">
        <v>388</v>
      </c>
      <c r="B384" s="26" t="s">
        <v>7</v>
      </c>
      <c r="C384" s="26" t="s">
        <v>19</v>
      </c>
      <c r="D384" s="10" t="s">
        <v>442</v>
      </c>
      <c r="E384" s="10" t="s">
        <v>443</v>
      </c>
      <c r="F384" s="92">
        <v>3</v>
      </c>
      <c r="G384" s="109" t="s">
        <v>472</v>
      </c>
      <c r="H384" s="109" t="s">
        <v>566</v>
      </c>
      <c r="I384" s="90"/>
      <c r="J384" s="90"/>
      <c r="K384" s="90"/>
      <c r="L384" s="90"/>
      <c r="M384" s="90"/>
      <c r="N384" s="90"/>
      <c r="O384" s="90"/>
      <c r="P384" s="105" t="s">
        <v>178</v>
      </c>
      <c r="Q384" s="47" t="s">
        <v>200</v>
      </c>
      <c r="R384" s="90"/>
      <c r="S384" s="109" t="s">
        <v>475</v>
      </c>
      <c r="T384" s="132" t="str">
        <f>"SEQ_"&amp;D384&amp;"_SEQ"</f>
        <v>SEQ_TB_CMMN_CD_DETAIL_SEQ</v>
      </c>
      <c r="U384" s="132"/>
      <c r="V384" s="109"/>
      <c r="W384" s="90"/>
      <c r="X384" s="130"/>
      <c r="Y384" s="129" t="str">
        <f t="shared" si="92"/>
        <v>TB_CMMN_CD_DETAIL</v>
      </c>
      <c r="Z384" s="50" t="str">
        <f t="shared" si="103"/>
        <v>CD_DETAIL_SEQ NUMERIC(10,3),</v>
      </c>
      <c r="AA384" s="50" t="str">
        <f t="shared" si="93"/>
        <v/>
      </c>
      <c r="AB384" s="50" t="str">
        <f t="shared" si="94"/>
        <v>CREATE SEQUENCE SEQ_TB_CMMN_CD_DETAIL_SEQ START 100000;</v>
      </c>
      <c r="AC384" s="50" t="str">
        <f t="shared" si="102"/>
        <v>ALTER TABLE TB_CMMN_CD_DETAIL ALTER COLUMN CD_DETAIL_SEQ SET DEFAULT NEXTVAL('SEQ_TB_CMMN_CD_DETAIL_SEQ');</v>
      </c>
      <c r="AD384" s="50" t="str">
        <f t="shared" si="88"/>
        <v>ALTER TABLE TB_CMMN_CD_DETAIL ALTER COLUMN CD_DETAIL_SEQ TYPE NUMERIC(10,3);</v>
      </c>
      <c r="AE384" s="50" t="str">
        <f t="shared" si="89"/>
        <v>ALTER TABLE TB_CMMN_CD_DETAIL ADD COLUMN CD_DETAIL_SEQ NUMERIC(10,3);</v>
      </c>
      <c r="AF384" s="50" t="str">
        <f t="shared" si="90"/>
        <v>ALTER TABLE TB_CMMN_CD_DETAIL DROP COLUMN CD_DETAIL_SEQ;</v>
      </c>
      <c r="AG384" s="50" t="str">
        <f t="shared" si="91"/>
        <v/>
      </c>
      <c r="AH384" s="50" t="str">
        <f t="shared" si="95"/>
        <v>COMMENT ON COLUMN TB_CMMN_CD_DETAIL.CD_DETAIL_SEQ IS '코드 상세 순번' ;</v>
      </c>
    </row>
    <row r="385" spans="1:34" ht="20.100000000000001" customHeight="1">
      <c r="A385" s="55">
        <v>389</v>
      </c>
      <c r="B385" s="26" t="s">
        <v>7</v>
      </c>
      <c r="C385" s="26" t="s">
        <v>19</v>
      </c>
      <c r="D385" s="10" t="s">
        <v>442</v>
      </c>
      <c r="E385" s="10" t="s">
        <v>443</v>
      </c>
      <c r="F385" s="92">
        <v>4</v>
      </c>
      <c r="G385" s="109" t="s">
        <v>457</v>
      </c>
      <c r="H385" s="109" t="s">
        <v>458</v>
      </c>
      <c r="I385" s="90" t="s">
        <v>436</v>
      </c>
      <c r="J385" s="90"/>
      <c r="K385" s="90"/>
      <c r="L385" s="90"/>
      <c r="M385" s="90"/>
      <c r="N385" s="90"/>
      <c r="O385" s="90"/>
      <c r="P385" s="109" t="s">
        <v>438</v>
      </c>
      <c r="Q385" s="126" t="s">
        <v>560</v>
      </c>
      <c r="R385" s="90"/>
      <c r="S385" s="109" t="s">
        <v>476</v>
      </c>
      <c r="T385" s="130"/>
      <c r="U385" s="130"/>
      <c r="V385" s="109"/>
      <c r="W385" s="90"/>
      <c r="X385" s="130"/>
      <c r="Y385" s="129" t="str">
        <f t="shared" si="92"/>
        <v>TB_CMMN_CD_DETAIL</v>
      </c>
      <c r="Z385" s="50" t="str">
        <f t="shared" si="103"/>
        <v>CD_DETAIL_NM VARCHAR(50) NOT NULL,</v>
      </c>
      <c r="AA385" s="50" t="str">
        <f t="shared" si="93"/>
        <v/>
      </c>
      <c r="AB385" s="50" t="str">
        <f t="shared" si="94"/>
        <v/>
      </c>
      <c r="AC385" s="50" t="str">
        <f t="shared" si="102"/>
        <v/>
      </c>
      <c r="AD385" s="50" t="str">
        <f t="shared" si="88"/>
        <v>ALTER TABLE TB_CMMN_CD_DETAIL ALTER COLUMN CD_DETAIL_NM TYPE VARCHAR(50);</v>
      </c>
      <c r="AE385" s="50" t="str">
        <f t="shared" si="89"/>
        <v>ALTER TABLE TB_CMMN_CD_DETAIL ADD COLUMN CD_DETAIL_NM VARCHAR(50) NOT NULL;</v>
      </c>
      <c r="AF385" s="50" t="str">
        <f t="shared" si="90"/>
        <v>ALTER TABLE TB_CMMN_CD_DETAIL DROP COLUMN CD_DETAIL_NM;</v>
      </c>
      <c r="AG385" s="50" t="str">
        <f t="shared" si="91"/>
        <v/>
      </c>
      <c r="AH385" s="50" t="str">
        <f t="shared" si="95"/>
        <v>COMMENT ON COLUMN TB_CMMN_CD_DETAIL.CD_DETAIL_NM IS '코드 상세 이름' ;</v>
      </c>
    </row>
    <row r="386" spans="1:34" ht="20.100000000000001" customHeight="1">
      <c r="A386" s="55">
        <v>390</v>
      </c>
      <c r="B386" s="26" t="s">
        <v>7</v>
      </c>
      <c r="C386" s="26" t="s">
        <v>19</v>
      </c>
      <c r="D386" s="10" t="s">
        <v>442</v>
      </c>
      <c r="E386" s="10" t="s">
        <v>443</v>
      </c>
      <c r="F386" s="92">
        <v>5</v>
      </c>
      <c r="G386" s="109" t="s">
        <v>459</v>
      </c>
      <c r="H386" s="109" t="s">
        <v>460</v>
      </c>
      <c r="I386" s="90"/>
      <c r="J386" s="90"/>
      <c r="K386" s="90"/>
      <c r="L386" s="90"/>
      <c r="M386" s="90"/>
      <c r="N386" s="90"/>
      <c r="O386" s="90"/>
      <c r="P386" s="109" t="s">
        <v>439</v>
      </c>
      <c r="Q386" s="92"/>
      <c r="R386" s="90"/>
      <c r="S386" s="109" t="s">
        <v>477</v>
      </c>
      <c r="T386" s="130"/>
      <c r="U386" s="130"/>
      <c r="V386" s="109"/>
      <c r="W386" s="90"/>
      <c r="X386" s="130"/>
      <c r="Y386" s="129" t="str">
        <f t="shared" si="92"/>
        <v>TB_CMMN_CD_DETAIL</v>
      </c>
      <c r="Z386" s="50" t="str">
        <f t="shared" si="103"/>
        <v>CD_DETAIL_DC TEXT,</v>
      </c>
      <c r="AA386" s="50" t="str">
        <f t="shared" si="93"/>
        <v/>
      </c>
      <c r="AB386" s="50" t="str">
        <f t="shared" si="94"/>
        <v/>
      </c>
      <c r="AC386" s="50" t="str">
        <f t="shared" si="102"/>
        <v/>
      </c>
      <c r="AD386" s="50" t="str">
        <f t="shared" si="88"/>
        <v>ALTER TABLE TB_CMMN_CD_DETAIL ALTER COLUMN CD_DETAIL_DC TYPE TEXT;</v>
      </c>
      <c r="AE386" s="50" t="str">
        <f t="shared" si="89"/>
        <v>ALTER TABLE TB_CMMN_CD_DETAIL ADD COLUMN CD_DETAIL_DC TEXT;</v>
      </c>
      <c r="AF386" s="50" t="str">
        <f t="shared" si="90"/>
        <v>ALTER TABLE TB_CMMN_CD_DETAIL DROP COLUMN CD_DETAIL_DC;</v>
      </c>
      <c r="AG386" s="50" t="str">
        <f t="shared" si="91"/>
        <v/>
      </c>
      <c r="AH386" s="50" t="str">
        <f t="shared" si="95"/>
        <v>COMMENT ON COLUMN TB_CMMN_CD_DETAIL.CD_DETAIL_DC IS '코드 상세 설명' ;</v>
      </c>
    </row>
    <row r="387" spans="1:34" ht="20.100000000000001" customHeight="1">
      <c r="A387" s="55">
        <v>391</v>
      </c>
      <c r="B387" s="26" t="s">
        <v>7</v>
      </c>
      <c r="C387" s="26" t="s">
        <v>19</v>
      </c>
      <c r="D387" s="10" t="s">
        <v>442</v>
      </c>
      <c r="E387" s="10" t="s">
        <v>443</v>
      </c>
      <c r="F387" s="92">
        <v>6</v>
      </c>
      <c r="G387" s="109" t="s">
        <v>461</v>
      </c>
      <c r="H387" s="109" t="s">
        <v>466</v>
      </c>
      <c r="I387" s="90"/>
      <c r="J387" s="90"/>
      <c r="K387" s="90"/>
      <c r="L387" s="90"/>
      <c r="M387" s="90"/>
      <c r="N387" s="90"/>
      <c r="O387" s="90"/>
      <c r="P387" s="109" t="s">
        <v>438</v>
      </c>
      <c r="Q387" s="126" t="s">
        <v>564</v>
      </c>
      <c r="R387" s="90"/>
      <c r="S387" s="109" t="s">
        <v>478</v>
      </c>
      <c r="T387" s="130"/>
      <c r="U387" s="130"/>
      <c r="V387" s="109" t="s">
        <v>488</v>
      </c>
      <c r="W387" s="90"/>
      <c r="X387" s="130"/>
      <c r="Y387" s="129" t="str">
        <f t="shared" si="92"/>
        <v>TB_CMMN_CD_DETAIL</v>
      </c>
      <c r="Z387" s="50" t="str">
        <f t="shared" si="103"/>
        <v>CD_DETAIL_VAL1 VARCHAR(2000),</v>
      </c>
      <c r="AA387" s="50" t="str">
        <f t="shared" si="93"/>
        <v/>
      </c>
      <c r="AB387" s="50" t="str">
        <f t="shared" si="94"/>
        <v/>
      </c>
      <c r="AC387" s="50" t="str">
        <f t="shared" si="102"/>
        <v/>
      </c>
      <c r="AD387" s="50" t="str">
        <f t="shared" si="88"/>
        <v>ALTER TABLE TB_CMMN_CD_DETAIL ALTER COLUMN CD_DETAIL_VAL1 TYPE VARCHAR(2000);</v>
      </c>
      <c r="AE387" s="50" t="str">
        <f t="shared" si="89"/>
        <v>ALTER TABLE TB_CMMN_CD_DETAIL ADD COLUMN CD_DETAIL_VAL1 VARCHAR(2000);</v>
      </c>
      <c r="AF387" s="50" t="str">
        <f t="shared" si="90"/>
        <v>ALTER TABLE TB_CMMN_CD_DETAIL DROP COLUMN CD_DETAIL_VAL1;</v>
      </c>
      <c r="AG387" s="50" t="str">
        <f t="shared" si="91"/>
        <v/>
      </c>
      <c r="AH387" s="50" t="str">
        <f t="shared" si="95"/>
        <v>COMMENT ON COLUMN TB_CMMN_CD_DETAIL.CD_DETAIL_VAL1 IS '코드 상세값 1' ;</v>
      </c>
    </row>
    <row r="388" spans="1:34" ht="20.100000000000001" customHeight="1">
      <c r="A388" s="55">
        <v>392</v>
      </c>
      <c r="B388" s="26" t="s">
        <v>7</v>
      </c>
      <c r="C388" s="26" t="s">
        <v>19</v>
      </c>
      <c r="D388" s="10" t="s">
        <v>442</v>
      </c>
      <c r="E388" s="10" t="s">
        <v>443</v>
      </c>
      <c r="F388" s="92">
        <v>7</v>
      </c>
      <c r="G388" s="109" t="s">
        <v>463</v>
      </c>
      <c r="H388" s="109" t="s">
        <v>467</v>
      </c>
      <c r="I388" s="90"/>
      <c r="J388" s="90"/>
      <c r="K388" s="90"/>
      <c r="L388" s="90"/>
      <c r="M388" s="90"/>
      <c r="N388" s="90"/>
      <c r="O388" s="90"/>
      <c r="P388" s="109" t="s">
        <v>438</v>
      </c>
      <c r="Q388" s="126" t="s">
        <v>564</v>
      </c>
      <c r="R388" s="90"/>
      <c r="S388" s="109" t="s">
        <v>479</v>
      </c>
      <c r="T388" s="130"/>
      <c r="U388" s="130"/>
      <c r="V388" s="109" t="s">
        <v>488</v>
      </c>
      <c r="W388" s="90"/>
      <c r="X388" s="130"/>
      <c r="Y388" s="129" t="str">
        <f t="shared" si="92"/>
        <v>TB_CMMN_CD_DETAIL</v>
      </c>
      <c r="Z388" s="50" t="str">
        <f t="shared" si="103"/>
        <v>CD_DETAIL_VAL2 VARCHAR(2000),</v>
      </c>
      <c r="AA388" s="50" t="str">
        <f t="shared" si="93"/>
        <v/>
      </c>
      <c r="AB388" s="50" t="str">
        <f t="shared" si="94"/>
        <v/>
      </c>
      <c r="AC388" s="50" t="str">
        <f t="shared" si="102"/>
        <v/>
      </c>
      <c r="AD388" s="50" t="str">
        <f t="shared" si="88"/>
        <v>ALTER TABLE TB_CMMN_CD_DETAIL ALTER COLUMN CD_DETAIL_VAL2 TYPE VARCHAR(2000);</v>
      </c>
      <c r="AE388" s="50" t="str">
        <f t="shared" si="89"/>
        <v>ALTER TABLE TB_CMMN_CD_DETAIL ADD COLUMN CD_DETAIL_VAL2 VARCHAR(2000);</v>
      </c>
      <c r="AF388" s="50" t="str">
        <f t="shared" si="90"/>
        <v>ALTER TABLE TB_CMMN_CD_DETAIL DROP COLUMN CD_DETAIL_VAL2;</v>
      </c>
      <c r="AG388" s="50" t="str">
        <f t="shared" si="91"/>
        <v/>
      </c>
      <c r="AH388" s="50" t="str">
        <f t="shared" si="95"/>
        <v>COMMENT ON COLUMN TB_CMMN_CD_DETAIL.CD_DETAIL_VAL2 IS '코드 상세값 2' ;</v>
      </c>
    </row>
    <row r="389" spans="1:34" ht="20.100000000000001" customHeight="1">
      <c r="A389" s="55">
        <v>393</v>
      </c>
      <c r="B389" s="26" t="s">
        <v>7</v>
      </c>
      <c r="C389" s="26" t="s">
        <v>19</v>
      </c>
      <c r="D389" s="10" t="s">
        <v>442</v>
      </c>
      <c r="E389" s="10" t="s">
        <v>443</v>
      </c>
      <c r="F389" s="92">
        <v>8</v>
      </c>
      <c r="G389" s="109" t="s">
        <v>464</v>
      </c>
      <c r="H389" s="109" t="s">
        <v>468</v>
      </c>
      <c r="I389" s="90"/>
      <c r="J389" s="90"/>
      <c r="K389" s="90"/>
      <c r="L389" s="90"/>
      <c r="M389" s="90"/>
      <c r="N389" s="90"/>
      <c r="O389" s="90"/>
      <c r="P389" s="109" t="s">
        <v>438</v>
      </c>
      <c r="Q389" s="126" t="s">
        <v>564</v>
      </c>
      <c r="R389" s="90"/>
      <c r="S389" s="109" t="s">
        <v>480</v>
      </c>
      <c r="T389" s="130"/>
      <c r="U389" s="130"/>
      <c r="V389" s="109" t="s">
        <v>488</v>
      </c>
      <c r="W389" s="90"/>
      <c r="X389" s="130"/>
      <c r="Y389" s="129" t="str">
        <f t="shared" si="92"/>
        <v>TB_CMMN_CD_DETAIL</v>
      </c>
      <c r="Z389" s="50" t="str">
        <f t="shared" si="103"/>
        <v>CD_DETAIL_VAL3 VARCHAR(2000),</v>
      </c>
      <c r="AA389" s="50" t="str">
        <f t="shared" si="93"/>
        <v/>
      </c>
      <c r="AB389" s="50" t="str">
        <f t="shared" si="94"/>
        <v/>
      </c>
      <c r="AC389" s="50" t="str">
        <f t="shared" si="102"/>
        <v/>
      </c>
      <c r="AD389" s="50" t="str">
        <f t="shared" si="88"/>
        <v>ALTER TABLE TB_CMMN_CD_DETAIL ALTER COLUMN CD_DETAIL_VAL3 TYPE VARCHAR(2000);</v>
      </c>
      <c r="AE389" s="50" t="str">
        <f t="shared" si="89"/>
        <v>ALTER TABLE TB_CMMN_CD_DETAIL ADD COLUMN CD_DETAIL_VAL3 VARCHAR(2000);</v>
      </c>
      <c r="AF389" s="50" t="str">
        <f t="shared" si="90"/>
        <v>ALTER TABLE TB_CMMN_CD_DETAIL DROP COLUMN CD_DETAIL_VAL3;</v>
      </c>
      <c r="AG389" s="50" t="str">
        <f t="shared" si="91"/>
        <v/>
      </c>
      <c r="AH389" s="50" t="str">
        <f t="shared" si="95"/>
        <v>COMMENT ON COLUMN TB_CMMN_CD_DETAIL.CD_DETAIL_VAL3 IS '코드 상세값 3' ;</v>
      </c>
    </row>
    <row r="390" spans="1:34" ht="20.100000000000001" customHeight="1">
      <c r="A390" s="55">
        <v>394</v>
      </c>
      <c r="B390" s="26" t="s">
        <v>7</v>
      </c>
      <c r="C390" s="26" t="s">
        <v>19</v>
      </c>
      <c r="D390" s="10" t="s">
        <v>442</v>
      </c>
      <c r="E390" s="10" t="s">
        <v>443</v>
      </c>
      <c r="F390" s="92">
        <v>9</v>
      </c>
      <c r="G390" s="109" t="s">
        <v>465</v>
      </c>
      <c r="H390" s="109" t="s">
        <v>469</v>
      </c>
      <c r="I390" s="90"/>
      <c r="J390" s="90"/>
      <c r="K390" s="90"/>
      <c r="L390" s="90"/>
      <c r="M390" s="90"/>
      <c r="N390" s="90"/>
      <c r="O390" s="90"/>
      <c r="P390" s="109" t="s">
        <v>438</v>
      </c>
      <c r="Q390" s="126" t="s">
        <v>564</v>
      </c>
      <c r="R390" s="90"/>
      <c r="S390" s="109" t="s">
        <v>481</v>
      </c>
      <c r="T390" s="130"/>
      <c r="U390" s="130"/>
      <c r="V390" s="109" t="s">
        <v>488</v>
      </c>
      <c r="W390" s="90"/>
      <c r="X390" s="130"/>
      <c r="Y390" s="129" t="str">
        <f t="shared" si="92"/>
        <v>TB_CMMN_CD_DETAIL</v>
      </c>
      <c r="Z390" s="50" t="str">
        <f t="shared" si="103"/>
        <v>CD_DETAIL_VAL4 VARCHAR(2000),</v>
      </c>
      <c r="AA390" s="50" t="str">
        <f t="shared" si="93"/>
        <v/>
      </c>
      <c r="AB390" s="50" t="str">
        <f t="shared" si="94"/>
        <v/>
      </c>
      <c r="AC390" s="50" t="str">
        <f t="shared" si="102"/>
        <v/>
      </c>
      <c r="AD390" s="50" t="str">
        <f t="shared" ref="AD390:AD421" si="104">"ALTER TABLE "&amp;$D390&amp;" ALTER COLUMN "&amp;$G390&amp;" TYPE "&amp;$P390&amp;IF(ISBLANK(Q390),"",Q390)&amp;";"</f>
        <v>ALTER TABLE TB_CMMN_CD_DETAIL ALTER COLUMN CD_DETAIL_VAL4 TYPE VARCHAR(2000);</v>
      </c>
      <c r="AE390" s="50" t="str">
        <f t="shared" ref="AE390:AE429" si="105">"ALTER TABLE "&amp;$D390&amp;" ADD COLUMN "&amp;$G390&amp;" "&amp;$P390&amp;IF(ISBLANK(Q390),"",$Q390)&amp;IF(ISBLANK($I390),""," NOT NULL")&amp;IF(ISBLANK($R390),""," DEFAULT "&amp;$R390)&amp;";"</f>
        <v>ALTER TABLE TB_CMMN_CD_DETAIL ADD COLUMN CD_DETAIL_VAL4 VARCHAR(2000);</v>
      </c>
      <c r="AF390" s="50" t="str">
        <f t="shared" ref="AF390:AF429" si="106">"ALTER TABLE "&amp;$D390&amp;" DROP COLUMN "&amp;$G390&amp;";"</f>
        <v>ALTER TABLE TB_CMMN_CD_DETAIL DROP COLUMN CD_DETAIL_VAL4;</v>
      </c>
      <c r="AG390" s="50" t="str">
        <f t="shared" ref="AG390:AG429" si="107">IF(ISBLANK($R390),"","ALTER TABLE " &amp; $D390 &amp; " ALTER COLUMN " &amp; G390 &amp; " SET DEFAULT " &amp; $R390 &amp; ";")</f>
        <v/>
      </c>
      <c r="AH390" s="50" t="str">
        <f t="shared" si="95"/>
        <v>COMMENT ON COLUMN TB_CMMN_CD_DETAIL.CD_DETAIL_VAL4 IS '코드 상세값 4' ;</v>
      </c>
    </row>
    <row r="391" spans="1:34" ht="20.100000000000001" customHeight="1">
      <c r="A391" s="55">
        <v>395</v>
      </c>
      <c r="B391" s="26" t="s">
        <v>7</v>
      </c>
      <c r="C391" s="26" t="s">
        <v>19</v>
      </c>
      <c r="D391" s="10" t="s">
        <v>442</v>
      </c>
      <c r="E391" s="10" t="s">
        <v>443</v>
      </c>
      <c r="F391" s="92">
        <v>10</v>
      </c>
      <c r="G391" s="109" t="s">
        <v>462</v>
      </c>
      <c r="H391" s="109" t="s">
        <v>470</v>
      </c>
      <c r="I391" s="90"/>
      <c r="J391" s="90"/>
      <c r="K391" s="90"/>
      <c r="L391" s="90"/>
      <c r="M391" s="90"/>
      <c r="N391" s="90"/>
      <c r="O391" s="90"/>
      <c r="P391" s="109" t="s">
        <v>438</v>
      </c>
      <c r="Q391" s="126" t="s">
        <v>564</v>
      </c>
      <c r="R391" s="90"/>
      <c r="S391" s="109" t="s">
        <v>482</v>
      </c>
      <c r="T391" s="130"/>
      <c r="U391" s="130"/>
      <c r="V391" s="109" t="s">
        <v>488</v>
      </c>
      <c r="W391" s="90"/>
      <c r="X391" s="130"/>
      <c r="Y391" s="129" t="str">
        <f t="shared" si="92"/>
        <v>TB_CMMN_CD_DETAIL</v>
      </c>
      <c r="Z391" s="50" t="str">
        <f t="shared" si="103"/>
        <v>CD_DETAIL_VAL5 VARCHAR(2000),</v>
      </c>
      <c r="AA391" s="50" t="str">
        <f t="shared" si="93"/>
        <v/>
      </c>
      <c r="AB391" s="50" t="str">
        <f t="shared" si="94"/>
        <v/>
      </c>
      <c r="AC391" s="50" t="str">
        <f t="shared" si="102"/>
        <v/>
      </c>
      <c r="AD391" s="50" t="str">
        <f t="shared" si="104"/>
        <v>ALTER TABLE TB_CMMN_CD_DETAIL ALTER COLUMN CD_DETAIL_VAL5 TYPE VARCHAR(2000);</v>
      </c>
      <c r="AE391" s="50" t="str">
        <f t="shared" si="105"/>
        <v>ALTER TABLE TB_CMMN_CD_DETAIL ADD COLUMN CD_DETAIL_VAL5 VARCHAR(2000);</v>
      </c>
      <c r="AF391" s="50" t="str">
        <f t="shared" si="106"/>
        <v>ALTER TABLE TB_CMMN_CD_DETAIL DROP COLUMN CD_DETAIL_VAL5;</v>
      </c>
      <c r="AG391" s="50" t="str">
        <f t="shared" si="107"/>
        <v/>
      </c>
      <c r="AH391" s="50" t="str">
        <f t="shared" si="95"/>
        <v>COMMENT ON COLUMN TB_CMMN_CD_DETAIL.CD_DETAIL_VAL5 IS '코드 상세값 5' ;</v>
      </c>
    </row>
    <row r="392" spans="1:34" ht="20.100000000000001" customHeight="1">
      <c r="A392" s="55">
        <v>396</v>
      </c>
      <c r="B392" s="26" t="s">
        <v>7</v>
      </c>
      <c r="C392" s="26" t="s">
        <v>19</v>
      </c>
      <c r="D392" s="10" t="s">
        <v>442</v>
      </c>
      <c r="E392" s="10" t="s">
        <v>443</v>
      </c>
      <c r="F392" s="92">
        <v>11</v>
      </c>
      <c r="G392" s="109" t="s">
        <v>455</v>
      </c>
      <c r="H392" s="109" t="s">
        <v>449</v>
      </c>
      <c r="I392" s="90"/>
      <c r="J392" s="90"/>
      <c r="K392" s="90"/>
      <c r="L392" s="90"/>
      <c r="M392" s="90"/>
      <c r="N392" s="90"/>
      <c r="O392" s="90"/>
      <c r="P392" s="109" t="s">
        <v>176</v>
      </c>
      <c r="Q392" s="92"/>
      <c r="R392" s="90"/>
      <c r="S392" s="109" t="s">
        <v>449</v>
      </c>
      <c r="T392" s="130"/>
      <c r="U392" s="130"/>
      <c r="V392" s="109"/>
      <c r="W392" s="90"/>
      <c r="X392" s="130"/>
      <c r="Y392" s="129" t="str">
        <f t="shared" ref="Y392" si="108">D392</f>
        <v>TB_CMMN_CD_DETAIL</v>
      </c>
      <c r="Z392" s="50" t="str">
        <f t="shared" si="103"/>
        <v>REMARK TEXT,</v>
      </c>
      <c r="AA392" s="50" t="str">
        <f t="shared" si="93"/>
        <v/>
      </c>
      <c r="AB392" s="50" t="str">
        <f t="shared" si="94"/>
        <v/>
      </c>
      <c r="AC392" s="50" t="str">
        <f t="shared" si="102"/>
        <v/>
      </c>
      <c r="AD392" s="50" t="str">
        <f t="shared" si="104"/>
        <v>ALTER TABLE TB_CMMN_CD_DETAIL ALTER COLUMN REMARK TYPE TEXT;</v>
      </c>
      <c r="AE392" s="50" t="str">
        <f t="shared" si="105"/>
        <v>ALTER TABLE TB_CMMN_CD_DETAIL ADD COLUMN REMARK TEXT;</v>
      </c>
      <c r="AF392" s="50" t="str">
        <f t="shared" si="106"/>
        <v>ALTER TABLE TB_CMMN_CD_DETAIL DROP COLUMN REMARK;</v>
      </c>
      <c r="AG392" s="50" t="str">
        <f t="shared" si="107"/>
        <v/>
      </c>
      <c r="AH392" s="50" t="str">
        <f t="shared" ref="AH392" si="109">"COMMENT ON COLUMN "&amp;D392&amp;"."&amp;G392&amp;" IS '"&amp;S392&amp;"' ;"</f>
        <v>COMMENT ON COLUMN TB_CMMN_CD_DETAIL.REMARK IS '비고' ;</v>
      </c>
    </row>
    <row r="393" spans="1:34" ht="20.100000000000001" customHeight="1">
      <c r="A393" s="55">
        <v>397</v>
      </c>
      <c r="B393" s="26" t="s">
        <v>7</v>
      </c>
      <c r="C393" s="26" t="s">
        <v>19</v>
      </c>
      <c r="D393" s="10" t="s">
        <v>442</v>
      </c>
      <c r="E393" s="10" t="s">
        <v>443</v>
      </c>
      <c r="F393" s="92">
        <v>12</v>
      </c>
      <c r="G393" s="109" t="s">
        <v>426</v>
      </c>
      <c r="H393" s="109" t="s">
        <v>447</v>
      </c>
      <c r="I393" s="90" t="s">
        <v>436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556</v>
      </c>
      <c r="R393" s="90"/>
      <c r="S393" s="109" t="s">
        <v>483</v>
      </c>
      <c r="T393" s="130"/>
      <c r="U393" s="130"/>
      <c r="V393" s="109"/>
      <c r="W393" s="90"/>
      <c r="X393" s="130"/>
      <c r="Y393" s="129" t="str">
        <f t="shared" si="92"/>
        <v>TB_CMMN_CD_DETAIL</v>
      </c>
      <c r="Z393" s="50" t="str">
        <f t="shared" si="103"/>
        <v>USE_YN VARCHAR(1) NOT NULL,</v>
      </c>
      <c r="AA393" s="50" t="str">
        <f t="shared" si="93"/>
        <v/>
      </c>
      <c r="AB393" s="50" t="str">
        <f t="shared" si="94"/>
        <v/>
      </c>
      <c r="AC393" s="50" t="str">
        <f t="shared" si="102"/>
        <v/>
      </c>
      <c r="AD393" s="50" t="str">
        <f t="shared" si="104"/>
        <v>ALTER TABLE TB_CMMN_CD_DETAIL ALTER COLUMN USE_YN TYPE VARCHAR(1);</v>
      </c>
      <c r="AE393" s="50" t="str">
        <f t="shared" si="105"/>
        <v>ALTER TABLE TB_CMMN_CD_DETAIL ADD COLUMN USE_YN VARCHAR(1) NOT NULL;</v>
      </c>
      <c r="AF393" s="50" t="str">
        <f t="shared" si="106"/>
        <v>ALTER TABLE TB_CMMN_CD_DETAIL DROP COLUMN USE_YN;</v>
      </c>
      <c r="AG393" s="50" t="str">
        <f t="shared" si="107"/>
        <v/>
      </c>
      <c r="AH393" s="50" t="str">
        <f t="shared" si="95"/>
        <v>COMMENT ON COLUMN TB_CMMN_CD_DETAIL.USE_YN IS '사용 여부' ;</v>
      </c>
    </row>
    <row r="394" spans="1:34" ht="20.100000000000001" customHeight="1">
      <c r="A394" s="55">
        <v>398</v>
      </c>
      <c r="B394" s="26" t="s">
        <v>7</v>
      </c>
      <c r="C394" s="26" t="s">
        <v>19</v>
      </c>
      <c r="D394" s="10" t="s">
        <v>442</v>
      </c>
      <c r="E394" s="10" t="s">
        <v>443</v>
      </c>
      <c r="F394" s="92">
        <v>13</v>
      </c>
      <c r="G394" s="102" t="s">
        <v>107</v>
      </c>
      <c r="H394" s="51" t="s">
        <v>76</v>
      </c>
      <c r="I394" s="75" t="s">
        <v>72</v>
      </c>
      <c r="J394" s="67"/>
      <c r="K394" s="67"/>
      <c r="L394" s="82"/>
      <c r="M394" s="82"/>
      <c r="N394" s="82"/>
      <c r="O394" s="82"/>
      <c r="P394" s="105" t="s">
        <v>555</v>
      </c>
      <c r="Q394" s="126" t="s">
        <v>560</v>
      </c>
      <c r="R394" s="85"/>
      <c r="S394" s="112" t="s">
        <v>226</v>
      </c>
      <c r="T394" s="130"/>
      <c r="U394" s="130"/>
      <c r="V394" s="123" t="s">
        <v>529</v>
      </c>
      <c r="W394" s="90"/>
      <c r="X394" s="130"/>
      <c r="Y394" s="129" t="str">
        <f t="shared" si="92"/>
        <v>TB_CMMN_CD_DETAIL</v>
      </c>
      <c r="Z394" s="50" t="str">
        <f t="shared" si="103"/>
        <v>REGISTER_ID VARCHAR(50) NOT NULL,</v>
      </c>
      <c r="AA394" s="50" t="str">
        <f t="shared" si="93"/>
        <v/>
      </c>
      <c r="AB394" s="50" t="str">
        <f t="shared" si="94"/>
        <v/>
      </c>
      <c r="AC394" s="50" t="str">
        <f t="shared" si="102"/>
        <v/>
      </c>
      <c r="AD394" s="50" t="str">
        <f t="shared" si="104"/>
        <v>ALTER TABLE TB_CMMN_CD_DETAIL ALTER COLUMN REGISTER_ID TYPE VARCHAR(50);</v>
      </c>
      <c r="AE394" s="50" t="str">
        <f t="shared" si="105"/>
        <v>ALTER TABLE TB_CMMN_CD_DETAIL ADD COLUMN REGISTER_ID VARCHAR(50) NOT NULL;</v>
      </c>
      <c r="AF394" s="50" t="str">
        <f t="shared" si="106"/>
        <v>ALTER TABLE TB_CMMN_CD_DETAIL DROP COLUMN REGISTER_ID;</v>
      </c>
      <c r="AG394" s="50" t="str">
        <f t="shared" si="107"/>
        <v/>
      </c>
      <c r="AH394" s="50" t="str">
        <f t="shared" si="95"/>
        <v>COMMENT ON COLUMN TB_CMMN_CD_DETAIL.REGISTER_ID IS '등록자 ID' ;</v>
      </c>
    </row>
    <row r="395" spans="1:34" ht="20.100000000000001" customHeight="1">
      <c r="A395" s="55">
        <v>399</v>
      </c>
      <c r="B395" s="26" t="s">
        <v>7</v>
      </c>
      <c r="C395" s="26" t="s">
        <v>19</v>
      </c>
      <c r="D395" s="10" t="s">
        <v>442</v>
      </c>
      <c r="E395" s="10" t="s">
        <v>443</v>
      </c>
      <c r="F395" s="92">
        <v>14</v>
      </c>
      <c r="G395" s="102" t="s">
        <v>91</v>
      </c>
      <c r="H395" s="51" t="s">
        <v>77</v>
      </c>
      <c r="I395" s="75" t="s">
        <v>72</v>
      </c>
      <c r="J395" s="52"/>
      <c r="K395" s="52"/>
      <c r="L395" s="52"/>
      <c r="M395" s="52"/>
      <c r="N395" s="52"/>
      <c r="O395" s="52"/>
      <c r="P395" s="56" t="s">
        <v>106</v>
      </c>
      <c r="Q395" s="127" t="s">
        <v>561</v>
      </c>
      <c r="R395" s="85"/>
      <c r="S395" s="112" t="s">
        <v>225</v>
      </c>
      <c r="T395" s="130"/>
      <c r="U395" s="130"/>
      <c r="V395" s="109"/>
      <c r="W395" s="90"/>
      <c r="X395" s="130"/>
      <c r="Y395" s="129" t="str">
        <f t="shared" si="92"/>
        <v>TB_CMMN_CD_DETAIL</v>
      </c>
      <c r="Z395" s="50" t="str">
        <f t="shared" si="103"/>
        <v>REGISTER_IP VARCHAR(100) NOT NULL,</v>
      </c>
      <c r="AA395" s="50" t="str">
        <f t="shared" ref="AA395:AA421" si="110">IF(ISBLANK(K395),"","ALTER TABLE " &amp; D395 &amp; " ADD CONSTRAINT " &amp; D395 &amp; "_FKEY" &amp; K395 &amp;  " FOREIGN KEY(" &amp;G395 &amp; ") REFERENCES " &amp; L395 &amp; "(" &amp; M395 &amp; ") "&amp;N395&amp;" "&amp;O395&amp;";")</f>
        <v/>
      </c>
      <c r="AB395" s="50" t="str">
        <f t="shared" ref="AB395:AB421" si="111">IF(ISBLANK(T395),"","CREATE SEQUENCE "&amp;T395&amp;" START 100000;")</f>
        <v/>
      </c>
      <c r="AC395" s="50" t="str">
        <f t="shared" si="102"/>
        <v/>
      </c>
      <c r="AD395" s="50" t="str">
        <f t="shared" si="104"/>
        <v>ALTER TABLE TB_CMMN_CD_DETAIL ALTER COLUMN REGISTER_IP TYPE VARCHAR(100);</v>
      </c>
      <c r="AE395" s="50" t="str">
        <f t="shared" si="105"/>
        <v>ALTER TABLE TB_CMMN_CD_DETAIL ADD COLUMN REGISTER_IP VARCHAR(100) NOT NULL;</v>
      </c>
      <c r="AF395" s="50" t="str">
        <f t="shared" si="106"/>
        <v>ALTER TABLE TB_CMMN_CD_DETAIL DROP COLUMN REGISTER_IP;</v>
      </c>
      <c r="AG395" s="50" t="str">
        <f t="shared" si="107"/>
        <v/>
      </c>
      <c r="AH395" s="50" t="str">
        <f t="shared" si="95"/>
        <v>COMMENT ON COLUMN TB_CMMN_CD_DETAIL.REGISTER_IP IS '등록자 IP' ;</v>
      </c>
    </row>
    <row r="396" spans="1:34" ht="20.100000000000001" customHeight="1">
      <c r="A396" s="55">
        <v>400</v>
      </c>
      <c r="B396" s="26" t="s">
        <v>7</v>
      </c>
      <c r="C396" s="26" t="s">
        <v>19</v>
      </c>
      <c r="D396" s="10" t="s">
        <v>442</v>
      </c>
      <c r="E396" s="10" t="s">
        <v>443</v>
      </c>
      <c r="F396" s="92">
        <v>15</v>
      </c>
      <c r="G396" s="102" t="s">
        <v>92</v>
      </c>
      <c r="H396" s="101" t="s">
        <v>78</v>
      </c>
      <c r="I396" s="75" t="s">
        <v>72</v>
      </c>
      <c r="J396" s="52"/>
      <c r="K396" s="52"/>
      <c r="L396" s="52"/>
      <c r="M396" s="52"/>
      <c r="N396" s="52"/>
      <c r="O396" s="52"/>
      <c r="P396" s="51" t="s">
        <v>749</v>
      </c>
      <c r="Q396" s="127"/>
      <c r="R396" s="85"/>
      <c r="S396" s="112" t="s">
        <v>224</v>
      </c>
      <c r="T396" s="130"/>
      <c r="U396" s="130"/>
      <c r="V396" s="109"/>
      <c r="W396" s="90"/>
      <c r="X396" s="130"/>
      <c r="Y396" s="129" t="str">
        <f t="shared" si="92"/>
        <v>TB_CMMN_CD_DETAIL</v>
      </c>
      <c r="Z396" s="50" t="str">
        <f t="shared" si="103"/>
        <v>REG_DT TIMESTAMP NOT NULL,</v>
      </c>
      <c r="AA396" s="50" t="str">
        <f t="shared" si="110"/>
        <v/>
      </c>
      <c r="AB396" s="50" t="str">
        <f t="shared" si="111"/>
        <v/>
      </c>
      <c r="AC396" s="50" t="str">
        <f t="shared" si="102"/>
        <v/>
      </c>
      <c r="AD396" s="50" t="str">
        <f t="shared" si="104"/>
        <v>ALTER TABLE TB_CMMN_CD_DETAIL ALTER COLUMN REG_DT TYPE TIMESTAMP;</v>
      </c>
      <c r="AE396" s="50" t="str">
        <f t="shared" si="105"/>
        <v>ALTER TABLE TB_CMMN_CD_DETAIL ADD COLUMN REG_DT TIMESTAMP NOT NULL;</v>
      </c>
      <c r="AF396" s="50" t="str">
        <f t="shared" si="106"/>
        <v>ALTER TABLE TB_CMMN_CD_DETAIL DROP COLUMN REG_DT;</v>
      </c>
      <c r="AG396" s="50" t="str">
        <f t="shared" si="107"/>
        <v/>
      </c>
      <c r="AH396" s="50" t="str">
        <f t="shared" si="95"/>
        <v>COMMENT ON COLUMN TB_CMMN_CD_DETAIL.REG_DT IS '등록 일시' ;</v>
      </c>
    </row>
    <row r="397" spans="1:34" ht="20.100000000000001" customHeight="1">
      <c r="A397" s="55">
        <v>401</v>
      </c>
      <c r="B397" s="26" t="s">
        <v>7</v>
      </c>
      <c r="C397" s="26" t="s">
        <v>19</v>
      </c>
      <c r="D397" s="10" t="s">
        <v>442</v>
      </c>
      <c r="E397" s="10" t="s">
        <v>443</v>
      </c>
      <c r="F397" s="92">
        <v>16</v>
      </c>
      <c r="G397" s="102" t="s">
        <v>93</v>
      </c>
      <c r="H397" s="101" t="s">
        <v>80</v>
      </c>
      <c r="I397" s="52"/>
      <c r="J397" s="52"/>
      <c r="K397" s="52"/>
      <c r="L397" s="84"/>
      <c r="M397" s="84"/>
      <c r="N397" s="84"/>
      <c r="O397" s="84"/>
      <c r="P397" s="105" t="s">
        <v>555</v>
      </c>
      <c r="Q397" s="126" t="s">
        <v>560</v>
      </c>
      <c r="R397" s="85"/>
      <c r="S397" s="112" t="s">
        <v>223</v>
      </c>
      <c r="T397" s="130"/>
      <c r="U397" s="130"/>
      <c r="V397" s="123" t="s">
        <v>529</v>
      </c>
      <c r="W397" s="90"/>
      <c r="X397" s="130"/>
      <c r="Y397" s="129" t="str">
        <f t="shared" si="92"/>
        <v>TB_CMMN_CD_DETAIL</v>
      </c>
      <c r="Z397" s="50" t="str">
        <f t="shared" si="103"/>
        <v>UPDUSR_ID VARCHAR(50),</v>
      </c>
      <c r="AA397" s="50" t="str">
        <f t="shared" si="110"/>
        <v/>
      </c>
      <c r="AB397" s="50" t="str">
        <f t="shared" si="111"/>
        <v/>
      </c>
      <c r="AC397" s="50" t="str">
        <f t="shared" si="102"/>
        <v/>
      </c>
      <c r="AD397" s="50" t="str">
        <f t="shared" si="104"/>
        <v>ALTER TABLE TB_CMMN_CD_DETAIL ALTER COLUMN UPDUSR_ID TYPE VARCHAR(50);</v>
      </c>
      <c r="AE397" s="50" t="str">
        <f t="shared" si="105"/>
        <v>ALTER TABLE TB_CMMN_CD_DETAIL ADD COLUMN UPDUSR_ID VARCHAR(50);</v>
      </c>
      <c r="AF397" s="50" t="str">
        <f t="shared" si="106"/>
        <v>ALTER TABLE TB_CMMN_CD_DETAIL DROP COLUMN UPDUSR_ID;</v>
      </c>
      <c r="AG397" s="50" t="str">
        <f t="shared" si="107"/>
        <v/>
      </c>
      <c r="AH397" s="50" t="str">
        <f t="shared" si="95"/>
        <v>COMMENT ON COLUMN TB_CMMN_CD_DETAIL.UPDUSR_ID IS '수정자 ID' ;</v>
      </c>
    </row>
    <row r="398" spans="1:34" ht="20.100000000000001" customHeight="1">
      <c r="A398" s="55">
        <v>402</v>
      </c>
      <c r="B398" s="26" t="s">
        <v>7</v>
      </c>
      <c r="C398" s="26" t="s">
        <v>19</v>
      </c>
      <c r="D398" s="10" t="s">
        <v>442</v>
      </c>
      <c r="E398" s="10" t="s">
        <v>443</v>
      </c>
      <c r="F398" s="92">
        <v>17</v>
      </c>
      <c r="G398" s="102" t="s">
        <v>94</v>
      </c>
      <c r="H398" s="101" t="s">
        <v>79</v>
      </c>
      <c r="I398" s="52"/>
      <c r="J398" s="52"/>
      <c r="K398" s="52"/>
      <c r="L398" s="52"/>
      <c r="M398" s="52"/>
      <c r="N398" s="52"/>
      <c r="O398" s="52"/>
      <c r="P398" s="56" t="s">
        <v>106</v>
      </c>
      <c r="Q398" s="127" t="s">
        <v>561</v>
      </c>
      <c r="R398" s="85"/>
      <c r="S398" s="112" t="s">
        <v>222</v>
      </c>
      <c r="T398" s="130"/>
      <c r="U398" s="130"/>
      <c r="V398" s="109"/>
      <c r="W398" s="90"/>
      <c r="X398" s="130"/>
      <c r="Y398" s="129" t="str">
        <f t="shared" si="92"/>
        <v>TB_CMMN_CD_DETAIL</v>
      </c>
      <c r="Z398" s="50" t="str">
        <f t="shared" si="103"/>
        <v>UPDUSR_IP VARCHAR(100),</v>
      </c>
      <c r="AA398" s="50" t="str">
        <f t="shared" si="110"/>
        <v/>
      </c>
      <c r="AB398" s="50" t="str">
        <f t="shared" si="111"/>
        <v/>
      </c>
      <c r="AC398" s="50" t="str">
        <f t="shared" si="102"/>
        <v/>
      </c>
      <c r="AD398" s="50" t="str">
        <f t="shared" si="104"/>
        <v>ALTER TABLE TB_CMMN_CD_DETAIL ALTER COLUMN UPDUSR_IP TYPE VARCHAR(100);</v>
      </c>
      <c r="AE398" s="50" t="str">
        <f t="shared" si="105"/>
        <v>ALTER TABLE TB_CMMN_CD_DETAIL ADD COLUMN UPDUSR_IP VARCHAR(100);</v>
      </c>
      <c r="AF398" s="50" t="str">
        <f t="shared" si="106"/>
        <v>ALTER TABLE TB_CMMN_CD_DETAIL DROP COLUMN UPDUSR_IP;</v>
      </c>
      <c r="AG398" s="50" t="str">
        <f t="shared" si="107"/>
        <v/>
      </c>
      <c r="AH398" s="50" t="str">
        <f t="shared" si="95"/>
        <v>COMMENT ON COLUMN TB_CMMN_CD_DETAIL.UPDUSR_IP IS '수정자 IP' ;</v>
      </c>
    </row>
    <row r="399" spans="1:34" ht="20.100000000000001" customHeight="1">
      <c r="A399" s="55">
        <v>403</v>
      </c>
      <c r="B399" s="26" t="s">
        <v>7</v>
      </c>
      <c r="C399" s="26" t="s">
        <v>19</v>
      </c>
      <c r="D399" s="10" t="s">
        <v>442</v>
      </c>
      <c r="E399" s="10" t="s">
        <v>443</v>
      </c>
      <c r="F399" s="92">
        <v>18</v>
      </c>
      <c r="G399" s="103" t="s">
        <v>95</v>
      </c>
      <c r="H399" s="102" t="s">
        <v>81</v>
      </c>
      <c r="I399" s="61"/>
      <c r="J399" s="61"/>
      <c r="K399" s="61"/>
      <c r="L399" s="61"/>
      <c r="M399" s="61"/>
      <c r="N399" s="61"/>
      <c r="O399" s="61"/>
      <c r="P399" s="51" t="s">
        <v>749</v>
      </c>
      <c r="Q399" s="127"/>
      <c r="R399" s="82"/>
      <c r="S399" s="112" t="s">
        <v>221</v>
      </c>
      <c r="T399" s="130"/>
      <c r="U399" s="130"/>
      <c r="V399" s="109"/>
      <c r="W399" s="90"/>
      <c r="X399" s="130"/>
      <c r="Y399" s="129" t="str">
        <f t="shared" si="92"/>
        <v>TB_CMMN_CD_DETAIL</v>
      </c>
      <c r="Z399" s="50" t="str">
        <f t="shared" si="103"/>
        <v>UPDT_DT TIMESTAMP,</v>
      </c>
      <c r="AA399" s="50" t="str">
        <f t="shared" si="110"/>
        <v/>
      </c>
      <c r="AB399" s="50" t="str">
        <f t="shared" si="111"/>
        <v/>
      </c>
      <c r="AC399" s="50" t="str">
        <f t="shared" si="102"/>
        <v/>
      </c>
      <c r="AD399" s="50" t="str">
        <f t="shared" si="104"/>
        <v>ALTER TABLE TB_CMMN_CD_DETAIL ALTER COLUMN UPDT_DT TYPE TIMESTAMP;</v>
      </c>
      <c r="AE399" s="50" t="str">
        <f t="shared" si="105"/>
        <v>ALTER TABLE TB_CMMN_CD_DETAIL ADD COLUMN UPDT_DT TIMESTAMP;</v>
      </c>
      <c r="AF399" s="50" t="str">
        <f t="shared" si="106"/>
        <v>ALTER TABLE TB_CMMN_CD_DETAIL DROP COLUMN UPDT_DT;</v>
      </c>
      <c r="AG399" s="50" t="str">
        <f t="shared" si="107"/>
        <v/>
      </c>
      <c r="AH399" s="50" t="str">
        <f t="shared" si="95"/>
        <v>COMMENT ON COLUMN TB_CMMN_CD_DETAIL.UPDT_DT IS '수정 일시' ;</v>
      </c>
    </row>
    <row r="400" spans="1:34" ht="20.100000000000001" customHeight="1">
      <c r="A400" s="55">
        <v>404</v>
      </c>
      <c r="B400" s="26" t="s">
        <v>7</v>
      </c>
      <c r="C400" s="26" t="s">
        <v>19</v>
      </c>
      <c r="D400" s="10" t="s">
        <v>442</v>
      </c>
      <c r="E400" s="10" t="s">
        <v>443</v>
      </c>
      <c r="F400" s="92">
        <v>19</v>
      </c>
      <c r="G400" s="102" t="s">
        <v>96</v>
      </c>
      <c r="H400" s="102" t="s">
        <v>82</v>
      </c>
      <c r="I400" s="75" t="s">
        <v>72</v>
      </c>
      <c r="J400" s="61"/>
      <c r="K400" s="61"/>
      <c r="L400" s="61"/>
      <c r="M400" s="61"/>
      <c r="N400" s="61"/>
      <c r="O400" s="61"/>
      <c r="P400" s="51" t="s">
        <v>106</v>
      </c>
      <c r="Q400" s="127" t="s">
        <v>556</v>
      </c>
      <c r="R400" s="87" t="s">
        <v>604</v>
      </c>
      <c r="S400" s="112" t="s">
        <v>220</v>
      </c>
      <c r="T400" s="130"/>
      <c r="U400" s="130"/>
      <c r="V400" s="109"/>
      <c r="W400" s="90"/>
      <c r="X400" s="130"/>
      <c r="Y400" s="129" t="str">
        <f t="shared" si="92"/>
        <v>TB_CMMN_CD_DETAIL</v>
      </c>
      <c r="Z400" s="50" t="str">
        <f t="shared" si="103"/>
        <v>DEL_YN VARCHAR(1) NOT NULL,</v>
      </c>
      <c r="AA400" s="50" t="str">
        <f t="shared" si="110"/>
        <v/>
      </c>
      <c r="AB400" s="50" t="str">
        <f t="shared" si="111"/>
        <v/>
      </c>
      <c r="AC400" s="50" t="str">
        <f t="shared" si="102"/>
        <v/>
      </c>
      <c r="AD400" s="50" t="str">
        <f t="shared" si="104"/>
        <v>ALTER TABLE TB_CMMN_CD_DETAIL ALTER COLUMN DEL_YN TYPE VARCHAR(1);</v>
      </c>
      <c r="AE400" s="50" t="str">
        <f t="shared" si="105"/>
        <v>ALTER TABLE TB_CMMN_CD_DETAIL ADD COLUMN DEL_YN VARCHAR(1) NOT NULL DEFAULT 'N';</v>
      </c>
      <c r="AF400" s="50" t="str">
        <f t="shared" si="106"/>
        <v>ALTER TABLE TB_CMMN_CD_DETAIL DROP COLUMN DEL_YN;</v>
      </c>
      <c r="AG400" s="50" t="str">
        <f t="shared" si="107"/>
        <v>ALTER TABLE TB_CMMN_CD_DETAIL ALTER COLUMN DEL_YN SET DEFAULT 'N';</v>
      </c>
      <c r="AH400" s="50" t="str">
        <f t="shared" si="95"/>
        <v>COMMENT ON COLUMN TB_CMMN_CD_DETAIL.DEL_YN IS '삭제 여부' ;</v>
      </c>
    </row>
    <row r="401" spans="1:34" ht="20.100000000000001" customHeight="1">
      <c r="A401" s="55">
        <v>405</v>
      </c>
      <c r="B401" s="26" t="s">
        <v>7</v>
      </c>
      <c r="C401" s="26" t="s">
        <v>19</v>
      </c>
      <c r="D401" s="10" t="s">
        <v>551</v>
      </c>
      <c r="E401" s="10" t="s">
        <v>552</v>
      </c>
      <c r="F401" s="92">
        <v>1</v>
      </c>
      <c r="G401" s="109" t="s">
        <v>499</v>
      </c>
      <c r="H401" s="109" t="s">
        <v>496</v>
      </c>
      <c r="I401" s="90" t="s">
        <v>436</v>
      </c>
      <c r="J401" s="90">
        <v>1</v>
      </c>
      <c r="K401" s="90"/>
      <c r="L401" s="90"/>
      <c r="M401" s="90"/>
      <c r="N401" s="90"/>
      <c r="O401" s="90"/>
      <c r="P401" s="109" t="s">
        <v>236</v>
      </c>
      <c r="Q401" s="92"/>
      <c r="R401" s="90"/>
      <c r="S401" s="109" t="s">
        <v>537</v>
      </c>
      <c r="T401" s="132" t="str">
        <f>"SEQ_"&amp;D401&amp;"_SN"</f>
        <v>SEQ_TB_BANNER_SN</v>
      </c>
      <c r="U401" s="132"/>
      <c r="V401" s="109"/>
      <c r="W401" s="90"/>
      <c r="X401" s="130"/>
      <c r="Y401" s="129" t="str">
        <f t="shared" si="92"/>
        <v>TB_BANNER</v>
      </c>
      <c r="Z401" s="50" t="str">
        <f t="shared" si="103"/>
        <v>BANNER_SN INTEGER PRIMARY KEY,</v>
      </c>
      <c r="AA401" s="50" t="str">
        <f t="shared" si="110"/>
        <v/>
      </c>
      <c r="AB401" s="50" t="str">
        <f t="shared" si="111"/>
        <v>CREATE SEQUENCE SEQ_TB_BANNER_SN START 100000;</v>
      </c>
      <c r="AC401" s="50" t="str">
        <f t="shared" si="102"/>
        <v>ALTER TABLE TB_BANNER ALTER COLUMN BANNER_SN SET DEFAULT NEXTVAL('SEQ_TB_BANNER_SN');</v>
      </c>
      <c r="AD401" s="50" t="str">
        <f t="shared" si="104"/>
        <v>ALTER TABLE TB_BANNER ALTER COLUMN BANNER_SN TYPE INTEGER;</v>
      </c>
      <c r="AE401" s="50" t="str">
        <f t="shared" si="105"/>
        <v>ALTER TABLE TB_BANNER ADD COLUMN BANNER_SN INTEGER NOT NULL;</v>
      </c>
      <c r="AF401" s="50" t="str">
        <f t="shared" si="106"/>
        <v>ALTER TABLE TB_BANNER DROP COLUMN BANNER_SN;</v>
      </c>
      <c r="AG401" s="50" t="str">
        <f t="shared" si="107"/>
        <v/>
      </c>
      <c r="AH401" s="50" t="str">
        <f t="shared" si="95"/>
        <v>COMMENT ON COLUMN TB_BANNER.BANNER_SN IS '배너 일련번호' ;</v>
      </c>
    </row>
    <row r="402" spans="1:34" ht="20.100000000000001" customHeight="1">
      <c r="A402" s="55">
        <v>406</v>
      </c>
      <c r="B402" s="26" t="s">
        <v>7</v>
      </c>
      <c r="C402" s="26" t="s">
        <v>19</v>
      </c>
      <c r="D402" s="10" t="s">
        <v>551</v>
      </c>
      <c r="E402" s="10" t="s">
        <v>552</v>
      </c>
      <c r="F402" s="92">
        <v>2</v>
      </c>
      <c r="G402" s="109" t="s">
        <v>500</v>
      </c>
      <c r="H402" s="109" t="s">
        <v>497</v>
      </c>
      <c r="I402" s="90" t="s">
        <v>436</v>
      </c>
      <c r="J402" s="90"/>
      <c r="K402" s="90"/>
      <c r="L402" s="90"/>
      <c r="M402" s="90"/>
      <c r="N402" s="90"/>
      <c r="O402" s="90"/>
      <c r="P402" s="109" t="s">
        <v>438</v>
      </c>
      <c r="Q402" s="126" t="s">
        <v>560</v>
      </c>
      <c r="R402" s="90"/>
      <c r="S402" s="109" t="s">
        <v>538</v>
      </c>
      <c r="T402" s="130"/>
      <c r="U402" s="130"/>
      <c r="V402" s="109" t="s">
        <v>540</v>
      </c>
      <c r="W402" s="90"/>
      <c r="X402" s="130"/>
      <c r="Y402" s="129" t="str">
        <f t="shared" ref="Y402:Y421" si="112">D402</f>
        <v>TB_BANNER</v>
      </c>
      <c r="Z402" s="50" t="str">
        <f t="shared" si="103"/>
        <v>BANNER_CL_CD VARCHAR(50) NOT NULL,</v>
      </c>
      <c r="AA402" s="50" t="str">
        <f t="shared" si="110"/>
        <v/>
      </c>
      <c r="AB402" s="50" t="str">
        <f t="shared" si="111"/>
        <v/>
      </c>
      <c r="AC402" s="50" t="str">
        <f t="shared" si="102"/>
        <v/>
      </c>
      <c r="AD402" s="50" t="str">
        <f t="shared" si="104"/>
        <v>ALTER TABLE TB_BANNER ALTER COLUMN BANNER_CL_CD TYPE VARCHAR(50);</v>
      </c>
      <c r="AE402" s="50" t="str">
        <f t="shared" si="105"/>
        <v>ALTER TABLE TB_BANNER ADD COLUMN BANNER_CL_CD VARCHAR(50) NOT NULL;</v>
      </c>
      <c r="AF402" s="50" t="str">
        <f t="shared" si="106"/>
        <v>ALTER TABLE TB_BANNER DROP COLUMN BANNER_CL_CD;</v>
      </c>
      <c r="AG402" s="50" t="str">
        <f t="shared" si="107"/>
        <v/>
      </c>
      <c r="AH402" s="50" t="str">
        <f t="shared" ref="AH402:AH421" si="113">"COMMENT ON COLUMN "&amp;D402&amp;"."&amp;G402&amp;" IS '"&amp;S402&amp;"' ;"</f>
        <v>COMMENT ON COLUMN TB_BANNER.BANNER_CL_CD IS '배너 분류 코드' ;</v>
      </c>
    </row>
    <row r="403" spans="1:34" ht="20.100000000000001" customHeight="1">
      <c r="A403" s="55">
        <v>407</v>
      </c>
      <c r="B403" s="26" t="s">
        <v>7</v>
      </c>
      <c r="C403" s="26" t="s">
        <v>19</v>
      </c>
      <c r="D403" s="10" t="s">
        <v>551</v>
      </c>
      <c r="E403" s="10" t="s">
        <v>552</v>
      </c>
      <c r="F403" s="92">
        <v>3</v>
      </c>
      <c r="G403" s="109" t="s">
        <v>501</v>
      </c>
      <c r="H403" s="109" t="s">
        <v>502</v>
      </c>
      <c r="I403" s="90"/>
      <c r="J403" s="90"/>
      <c r="K403" s="90"/>
      <c r="L403" s="90"/>
      <c r="M403" s="90"/>
      <c r="N403" s="90"/>
      <c r="O403" s="90"/>
      <c r="P403" s="109" t="s">
        <v>438</v>
      </c>
      <c r="Q403" s="126" t="s">
        <v>560</v>
      </c>
      <c r="R403" s="90"/>
      <c r="S403" s="109" t="s">
        <v>539</v>
      </c>
      <c r="T403" s="130"/>
      <c r="U403" s="130"/>
      <c r="V403" s="109" t="s">
        <v>541</v>
      </c>
      <c r="W403" s="90"/>
      <c r="X403" s="130"/>
      <c r="Y403" s="129" t="str">
        <f t="shared" si="112"/>
        <v>TB_BANNER</v>
      </c>
      <c r="Z403" s="50" t="str">
        <f t="shared" si="103"/>
        <v>BANNER_CL_DETAIL_CD VARCHAR(50),</v>
      </c>
      <c r="AA403" s="50" t="str">
        <f t="shared" si="110"/>
        <v/>
      </c>
      <c r="AB403" s="50" t="str">
        <f t="shared" si="111"/>
        <v/>
      </c>
      <c r="AC403" s="50" t="str">
        <f t="shared" si="102"/>
        <v/>
      </c>
      <c r="AD403" s="50" t="str">
        <f t="shared" si="104"/>
        <v>ALTER TABLE TB_BANNER ALTER COLUMN BANNER_CL_DETAIL_CD TYPE VARCHAR(50);</v>
      </c>
      <c r="AE403" s="50" t="str">
        <f t="shared" si="105"/>
        <v>ALTER TABLE TB_BANNER ADD COLUMN BANNER_CL_DETAIL_CD VARCHAR(50);</v>
      </c>
      <c r="AF403" s="50" t="str">
        <f t="shared" si="106"/>
        <v>ALTER TABLE TB_BANNER DROP COLUMN BANNER_CL_DETAIL_CD;</v>
      </c>
      <c r="AG403" s="50" t="str">
        <f t="shared" si="107"/>
        <v/>
      </c>
      <c r="AH403" s="50" t="str">
        <f t="shared" si="113"/>
        <v>COMMENT ON COLUMN TB_BANNER.BANNER_CL_DETAIL_CD IS '배너 분류 상세 코드' ;</v>
      </c>
    </row>
    <row r="404" spans="1:34" ht="20.100000000000001" customHeight="1">
      <c r="A404" s="55">
        <v>408</v>
      </c>
      <c r="B404" s="26" t="s">
        <v>7</v>
      </c>
      <c r="C404" s="26" t="s">
        <v>19</v>
      </c>
      <c r="D404" s="10" t="s">
        <v>551</v>
      </c>
      <c r="E404" s="10" t="s">
        <v>552</v>
      </c>
      <c r="F404" s="92">
        <v>4</v>
      </c>
      <c r="G404" s="109" t="s">
        <v>621</v>
      </c>
      <c r="H404" s="109" t="s">
        <v>620</v>
      </c>
      <c r="I404" s="90" t="s">
        <v>436</v>
      </c>
      <c r="J404" s="90"/>
      <c r="K404" s="90"/>
      <c r="L404" s="90"/>
      <c r="M404" s="90"/>
      <c r="N404" s="90"/>
      <c r="O404" s="90"/>
      <c r="P404" s="109" t="s">
        <v>178</v>
      </c>
      <c r="Q404" s="47" t="s">
        <v>200</v>
      </c>
      <c r="R404" s="90"/>
      <c r="S404" s="109" t="s">
        <v>622</v>
      </c>
      <c r="T404" s="132" t="str">
        <f>"SEQ_"&amp;D404&amp;"_SEQ"</f>
        <v>SEQ_TB_BANNER_SEQ</v>
      </c>
      <c r="U404" s="132"/>
      <c r="V404" s="109"/>
      <c r="W404" s="90"/>
      <c r="X404" s="130"/>
      <c r="Y404" s="129" t="str">
        <f t="shared" si="112"/>
        <v>TB_BANNER</v>
      </c>
      <c r="Z404" s="50" t="str">
        <f t="shared" si="103"/>
        <v>BANNER_EXPSR_ORDR NUMERIC(10,3) NOT NULL,</v>
      </c>
      <c r="AA404" s="50" t="str">
        <f t="shared" si="110"/>
        <v/>
      </c>
      <c r="AB404" s="50" t="str">
        <f t="shared" si="111"/>
        <v>CREATE SEQUENCE SEQ_TB_BANNER_SEQ START 100000;</v>
      </c>
      <c r="AC404" s="50" t="str">
        <f t="shared" si="102"/>
        <v>ALTER TABLE TB_BANNER ALTER COLUMN BANNER_EXPSR_ORDR SET DEFAULT NEXTVAL('SEQ_TB_BANNER_SEQ');</v>
      </c>
      <c r="AD404" s="50" t="str">
        <f t="shared" si="104"/>
        <v>ALTER TABLE TB_BANNER ALTER COLUMN BANNER_EXPSR_ORDR TYPE NUMERIC(10,3);</v>
      </c>
      <c r="AE404" s="50" t="str">
        <f t="shared" si="105"/>
        <v>ALTER TABLE TB_BANNER ADD COLUMN BANNER_EXPSR_ORDR NUMERIC(10,3) NOT NULL;</v>
      </c>
      <c r="AF404" s="50" t="str">
        <f t="shared" si="106"/>
        <v>ALTER TABLE TB_BANNER DROP COLUMN BANNER_EXPSR_ORDR;</v>
      </c>
      <c r="AG404" s="50" t="str">
        <f t="shared" si="107"/>
        <v/>
      </c>
      <c r="AH404" s="50" t="str">
        <f t="shared" si="113"/>
        <v>COMMENT ON COLUMN TB_BANNER.BANNER_EXPSR_ORDR IS '배너 노출 순서' ;</v>
      </c>
    </row>
    <row r="405" spans="1:34" ht="20.100000000000001" customHeight="1">
      <c r="A405" s="55">
        <v>409</v>
      </c>
      <c r="B405" s="26" t="s">
        <v>7</v>
      </c>
      <c r="C405" s="26" t="s">
        <v>19</v>
      </c>
      <c r="D405" s="10" t="s">
        <v>551</v>
      </c>
      <c r="E405" s="10" t="s">
        <v>552</v>
      </c>
      <c r="F405" s="92">
        <v>5</v>
      </c>
      <c r="G405" s="109" t="s">
        <v>522</v>
      </c>
      <c r="H405" s="109" t="s">
        <v>498</v>
      </c>
      <c r="I405" s="90"/>
      <c r="J405" s="90"/>
      <c r="K405" s="90"/>
      <c r="L405" s="90"/>
      <c r="M405" s="90"/>
      <c r="N405" s="90"/>
      <c r="O405" s="90"/>
      <c r="P405" s="109" t="s">
        <v>438</v>
      </c>
      <c r="Q405" s="126" t="s">
        <v>562</v>
      </c>
      <c r="R405" s="90"/>
      <c r="S405" s="109" t="s">
        <v>542</v>
      </c>
      <c r="T405" s="130"/>
      <c r="U405" s="130"/>
      <c r="V405" s="109"/>
      <c r="W405" s="90"/>
      <c r="X405" s="130"/>
      <c r="Y405" s="129" t="str">
        <f t="shared" si="112"/>
        <v>TB_BANNER</v>
      </c>
      <c r="Z405" s="50" t="str">
        <f t="shared" si="103"/>
        <v>BANNER_NM VARCHAR(255),</v>
      </c>
      <c r="AA405" s="50" t="str">
        <f t="shared" si="110"/>
        <v/>
      </c>
      <c r="AB405" s="50" t="str">
        <f t="shared" si="111"/>
        <v/>
      </c>
      <c r="AC405" s="50" t="str">
        <f t="shared" si="102"/>
        <v/>
      </c>
      <c r="AD405" s="50" t="str">
        <f t="shared" si="104"/>
        <v>ALTER TABLE TB_BANNER ALTER COLUMN BANNER_NM TYPE VARCHAR(255);</v>
      </c>
      <c r="AE405" s="50" t="str">
        <f t="shared" si="105"/>
        <v>ALTER TABLE TB_BANNER ADD COLUMN BANNER_NM VARCHAR(255);</v>
      </c>
      <c r="AF405" s="50" t="str">
        <f t="shared" si="106"/>
        <v>ALTER TABLE TB_BANNER DROP COLUMN BANNER_NM;</v>
      </c>
      <c r="AG405" s="50" t="str">
        <f t="shared" si="107"/>
        <v/>
      </c>
      <c r="AH405" s="50" t="str">
        <f t="shared" si="113"/>
        <v>COMMENT ON COLUMN TB_BANNER.BANNER_NM IS '배너 이름' ;</v>
      </c>
    </row>
    <row r="406" spans="1:34" ht="20.100000000000001" customHeight="1">
      <c r="A406" s="55">
        <v>410</v>
      </c>
      <c r="B406" s="26" t="s">
        <v>7</v>
      </c>
      <c r="C406" s="26" t="s">
        <v>19</v>
      </c>
      <c r="D406" s="10" t="s">
        <v>551</v>
      </c>
      <c r="E406" s="10" t="s">
        <v>552</v>
      </c>
      <c r="F406" s="92">
        <v>6</v>
      </c>
      <c r="G406" s="109" t="s">
        <v>523</v>
      </c>
      <c r="H406" s="109" t="s">
        <v>506</v>
      </c>
      <c r="I406" s="90"/>
      <c r="J406" s="90"/>
      <c r="K406" s="90"/>
      <c r="L406" s="90"/>
      <c r="M406" s="90"/>
      <c r="N406" s="90"/>
      <c r="O406" s="90"/>
      <c r="P406" s="109" t="s">
        <v>439</v>
      </c>
      <c r="Q406" s="92"/>
      <c r="R406" s="90"/>
      <c r="S406" s="109" t="s">
        <v>543</v>
      </c>
      <c r="T406" s="130"/>
      <c r="U406" s="130"/>
      <c r="V406" s="109"/>
      <c r="W406" s="90"/>
      <c r="X406" s="130"/>
      <c r="Y406" s="129" t="str">
        <f t="shared" si="112"/>
        <v>TB_BANNER</v>
      </c>
      <c r="Z406" s="50" t="str">
        <f t="shared" si="103"/>
        <v>BANNER_DC TEXT,</v>
      </c>
      <c r="AA406" s="50" t="str">
        <f t="shared" si="110"/>
        <v/>
      </c>
      <c r="AB406" s="50" t="str">
        <f t="shared" si="111"/>
        <v/>
      </c>
      <c r="AC406" s="50" t="str">
        <f t="shared" si="102"/>
        <v/>
      </c>
      <c r="AD406" s="50" t="str">
        <f t="shared" si="104"/>
        <v>ALTER TABLE TB_BANNER ALTER COLUMN BANNER_DC TYPE TEXT;</v>
      </c>
      <c r="AE406" s="50" t="str">
        <f t="shared" si="105"/>
        <v>ALTER TABLE TB_BANNER ADD COLUMN BANNER_DC TEXT;</v>
      </c>
      <c r="AF406" s="50" t="str">
        <f t="shared" si="106"/>
        <v>ALTER TABLE TB_BANNER DROP COLUMN BANNER_DC;</v>
      </c>
      <c r="AG406" s="50" t="str">
        <f t="shared" si="107"/>
        <v/>
      </c>
      <c r="AH406" s="50" t="str">
        <f t="shared" si="113"/>
        <v>COMMENT ON COLUMN TB_BANNER.BANNER_DC IS '배너 설명' ;</v>
      </c>
    </row>
    <row r="407" spans="1:34" ht="20.100000000000001" customHeight="1">
      <c r="A407" s="55">
        <v>411</v>
      </c>
      <c r="B407" s="26" t="s">
        <v>7</v>
      </c>
      <c r="C407" s="26" t="s">
        <v>19</v>
      </c>
      <c r="D407" s="10" t="s">
        <v>551</v>
      </c>
      <c r="E407" s="10" t="s">
        <v>552</v>
      </c>
      <c r="F407" s="92">
        <v>7</v>
      </c>
      <c r="G407" s="109" t="s">
        <v>525</v>
      </c>
      <c r="H407" s="109" t="s">
        <v>524</v>
      </c>
      <c r="I407" s="90"/>
      <c r="J407" s="90"/>
      <c r="K407" s="90">
        <v>1</v>
      </c>
      <c r="L407" s="10" t="s">
        <v>382</v>
      </c>
      <c r="M407" s="101" t="s">
        <v>383</v>
      </c>
      <c r="N407" s="101" t="s">
        <v>574</v>
      </c>
      <c r="O407" s="101" t="s">
        <v>575</v>
      </c>
      <c r="P407" s="109" t="s">
        <v>236</v>
      </c>
      <c r="Q407" s="92"/>
      <c r="R407" s="90"/>
      <c r="S407" s="109" t="s">
        <v>544</v>
      </c>
      <c r="T407" s="130"/>
      <c r="U407" s="130"/>
      <c r="V407" s="109"/>
      <c r="W407" s="90"/>
      <c r="X407" s="130"/>
      <c r="Y407" s="129" t="str">
        <f t="shared" si="112"/>
        <v>TB_BANNER</v>
      </c>
      <c r="Z407" s="50" t="str">
        <f t="shared" si="103"/>
        <v>ATCH_FILE_SN INTEGER,</v>
      </c>
      <c r="AA407" s="50" t="str">
        <f t="shared" si="110"/>
        <v>ALTER TABLE TB_BANNER ADD CONSTRAINT TB_BANNER_FKEY1 FOREIGN KEY(ATCH_FILE_SN) REFERENCES TB_ATCH_FILE(ATCH_FILE_SN) ON UPDATE CASCADE ON DELETE SET NULL;</v>
      </c>
      <c r="AB407" s="50" t="str">
        <f t="shared" si="111"/>
        <v/>
      </c>
      <c r="AC407" s="50" t="str">
        <f t="shared" si="102"/>
        <v/>
      </c>
      <c r="AD407" s="50" t="str">
        <f t="shared" si="104"/>
        <v>ALTER TABLE TB_BANNER ALTER COLUMN ATCH_FILE_SN TYPE INTEGER;</v>
      </c>
      <c r="AE407" s="50" t="str">
        <f t="shared" si="105"/>
        <v>ALTER TABLE TB_BANNER ADD COLUMN ATCH_FILE_SN INTEGER;</v>
      </c>
      <c r="AF407" s="50" t="str">
        <f t="shared" si="106"/>
        <v>ALTER TABLE TB_BANNER DROP COLUMN ATCH_FILE_SN;</v>
      </c>
      <c r="AG407" s="50" t="str">
        <f t="shared" si="107"/>
        <v/>
      </c>
      <c r="AH407" s="50" t="str">
        <f t="shared" si="113"/>
        <v>COMMENT ON COLUMN TB_BANNER.ATCH_FILE_SN IS '첨부 파일 일련번호' ;</v>
      </c>
    </row>
    <row r="408" spans="1:34" ht="20.100000000000001" customHeight="1">
      <c r="A408" s="55">
        <v>412</v>
      </c>
      <c r="B408" s="26" t="s">
        <v>7</v>
      </c>
      <c r="C408" s="26" t="s">
        <v>19</v>
      </c>
      <c r="D408" s="10" t="s">
        <v>551</v>
      </c>
      <c r="E408" s="10" t="s">
        <v>552</v>
      </c>
      <c r="F408" s="92">
        <v>8</v>
      </c>
      <c r="G408" s="109" t="s">
        <v>619</v>
      </c>
      <c r="H408" s="109" t="s">
        <v>619</v>
      </c>
      <c r="I408" s="90"/>
      <c r="J408" s="90"/>
      <c r="K408" s="90"/>
      <c r="L408" s="90"/>
      <c r="M408" s="90"/>
      <c r="N408" s="90"/>
      <c r="O408" s="90"/>
      <c r="P408" s="109" t="s">
        <v>106</v>
      </c>
      <c r="Q408" s="126" t="s">
        <v>564</v>
      </c>
      <c r="R408" s="90"/>
      <c r="S408" s="109" t="s">
        <v>371</v>
      </c>
      <c r="T408" s="130"/>
      <c r="U408" s="130"/>
      <c r="V408" s="109"/>
      <c r="W408" s="90"/>
      <c r="X408" s="130"/>
      <c r="Y408" s="129" t="str">
        <f t="shared" si="112"/>
        <v>TB_BANNER</v>
      </c>
      <c r="Z408" s="50" t="str">
        <f t="shared" si="103"/>
        <v>URL VARCHAR(2000),</v>
      </c>
      <c r="AA408" s="50" t="str">
        <f t="shared" si="110"/>
        <v/>
      </c>
      <c r="AB408" s="50" t="str">
        <f t="shared" si="111"/>
        <v/>
      </c>
      <c r="AC408" s="50" t="str">
        <f t="shared" si="102"/>
        <v/>
      </c>
      <c r="AD408" s="50" t="str">
        <f t="shared" si="104"/>
        <v>ALTER TABLE TB_BANNER ALTER COLUMN URL TYPE VARCHAR(2000);</v>
      </c>
      <c r="AE408" s="50" t="str">
        <f t="shared" si="105"/>
        <v>ALTER TABLE TB_BANNER ADD COLUMN URL VARCHAR(2000);</v>
      </c>
      <c r="AF408" s="50" t="str">
        <f t="shared" si="106"/>
        <v>ALTER TABLE TB_BANNER DROP COLUMN URL;</v>
      </c>
      <c r="AG408" s="50" t="str">
        <f t="shared" si="107"/>
        <v/>
      </c>
      <c r="AH408" s="50" t="str">
        <f t="shared" si="113"/>
        <v>COMMENT ON COLUMN TB_BANNER.URL IS '클릭시 이동 URL' ;</v>
      </c>
    </row>
    <row r="409" spans="1:34" ht="20.100000000000001" customHeight="1">
      <c r="A409" s="55">
        <v>413</v>
      </c>
      <c r="B409" s="26" t="s">
        <v>7</v>
      </c>
      <c r="C409" s="26" t="s">
        <v>19</v>
      </c>
      <c r="D409" s="10" t="s">
        <v>551</v>
      </c>
      <c r="E409" s="10" t="s">
        <v>552</v>
      </c>
      <c r="F409" s="92">
        <v>9</v>
      </c>
      <c r="G409" s="109" t="s">
        <v>504</v>
      </c>
      <c r="H409" s="109" t="s">
        <v>503</v>
      </c>
      <c r="I409" s="90" t="s">
        <v>436</v>
      </c>
      <c r="J409" s="90"/>
      <c r="K409" s="90"/>
      <c r="L409" s="90"/>
      <c r="M409" s="90"/>
      <c r="N409" s="90"/>
      <c r="O409" s="90"/>
      <c r="P409" s="51" t="s">
        <v>106</v>
      </c>
      <c r="Q409" s="126" t="s">
        <v>556</v>
      </c>
      <c r="R409" s="90"/>
      <c r="S409" s="109" t="s">
        <v>545</v>
      </c>
      <c r="T409" s="130"/>
      <c r="U409" s="130"/>
      <c r="V409" s="109" t="s">
        <v>546</v>
      </c>
      <c r="W409" s="90"/>
      <c r="X409" s="130"/>
      <c r="Y409" s="129" t="str">
        <f t="shared" si="112"/>
        <v>TB_BANNER</v>
      </c>
      <c r="Z409" s="50" t="str">
        <f t="shared" si="103"/>
        <v>CLASS_MAPNG_YN VARCHAR(1) NOT NULL,</v>
      </c>
      <c r="AA409" s="50" t="str">
        <f t="shared" si="110"/>
        <v/>
      </c>
      <c r="AB409" s="50" t="str">
        <f t="shared" si="111"/>
        <v/>
      </c>
      <c r="AC409" s="50" t="str">
        <f t="shared" si="102"/>
        <v/>
      </c>
      <c r="AD409" s="50" t="str">
        <f t="shared" si="104"/>
        <v>ALTER TABLE TB_BANNER ALTER COLUMN CLASS_MAPNG_YN TYPE VARCHAR(1);</v>
      </c>
      <c r="AE409" s="50" t="str">
        <f t="shared" si="105"/>
        <v>ALTER TABLE TB_BANNER ADD COLUMN CLASS_MAPNG_YN VARCHAR(1) NOT NULL;</v>
      </c>
      <c r="AF409" s="50" t="str">
        <f t="shared" si="106"/>
        <v>ALTER TABLE TB_BANNER DROP COLUMN CLASS_MAPNG_YN;</v>
      </c>
      <c r="AG409" s="50" t="str">
        <f t="shared" si="107"/>
        <v/>
      </c>
      <c r="AH409" s="50" t="str">
        <f t="shared" si="113"/>
        <v>COMMENT ON COLUMN TB_BANNER.CLASS_MAPNG_YN IS '클래스 매핑 여부' ;</v>
      </c>
    </row>
    <row r="410" spans="1:34" ht="20.100000000000001" customHeight="1">
      <c r="A410" s="55">
        <v>414</v>
      </c>
      <c r="B410" s="26" t="s">
        <v>7</v>
      </c>
      <c r="C410" s="26" t="s">
        <v>19</v>
      </c>
      <c r="D410" s="10" t="s">
        <v>551</v>
      </c>
      <c r="E410" s="10" t="s">
        <v>552</v>
      </c>
      <c r="F410" s="92">
        <v>10</v>
      </c>
      <c r="G410" s="109" t="s">
        <v>530</v>
      </c>
      <c r="H410" s="109" t="s">
        <v>505</v>
      </c>
      <c r="I410" s="90"/>
      <c r="J410" s="90"/>
      <c r="K410" s="90">
        <v>2</v>
      </c>
      <c r="L410" s="13" t="s">
        <v>22</v>
      </c>
      <c r="M410" s="106" t="s">
        <v>164</v>
      </c>
      <c r="N410" s="100" t="s">
        <v>574</v>
      </c>
      <c r="O410" s="100" t="s">
        <v>576</v>
      </c>
      <c r="P410" s="109" t="s">
        <v>236</v>
      </c>
      <c r="Q410" s="92"/>
      <c r="R410" s="90"/>
      <c r="S410" s="109" t="s">
        <v>547</v>
      </c>
      <c r="T410" s="130"/>
      <c r="U410" s="130"/>
      <c r="V410" s="109"/>
      <c r="W410" s="90"/>
      <c r="X410" s="130"/>
      <c r="Y410" s="129" t="str">
        <f t="shared" si="112"/>
        <v>TB_BANNER</v>
      </c>
      <c r="Z410" s="50" t="str">
        <f t="shared" si="103"/>
        <v>CLASS_SN INTEGER,</v>
      </c>
      <c r="AA410" s="50" t="str">
        <f t="shared" si="110"/>
        <v>ALTER TABLE TB_BANNER ADD CONSTRAINT TB_BANNER_FKEY2 FOREIGN KEY(CLASS_SN) REFERENCES TB_CLASS(CLASS_SN) ON UPDATE CASCADE ON DELETE CASCADE;</v>
      </c>
      <c r="AB410" s="50" t="str">
        <f t="shared" si="111"/>
        <v/>
      </c>
      <c r="AC410" s="50" t="str">
        <f t="shared" si="102"/>
        <v/>
      </c>
      <c r="AD410" s="50" t="str">
        <f t="shared" si="104"/>
        <v>ALTER TABLE TB_BANNER ALTER COLUMN CLASS_SN TYPE INTEGER;</v>
      </c>
      <c r="AE410" s="50" t="str">
        <f t="shared" si="105"/>
        <v>ALTER TABLE TB_BANNER ADD COLUMN CLASS_SN INTEGER;</v>
      </c>
      <c r="AF410" s="50" t="str">
        <f t="shared" si="106"/>
        <v>ALTER TABLE TB_BANNER DROP COLUMN CLASS_SN;</v>
      </c>
      <c r="AG410" s="50" t="str">
        <f t="shared" si="107"/>
        <v/>
      </c>
      <c r="AH410" s="50" t="str">
        <f t="shared" si="113"/>
        <v>COMMENT ON COLUMN TB_BANNER.CLASS_SN IS '클래스 일련번호' ;</v>
      </c>
    </row>
    <row r="411" spans="1:34" ht="20.100000000000001" customHeight="1">
      <c r="A411" s="55">
        <v>415</v>
      </c>
      <c r="B411" s="26" t="s">
        <v>7</v>
      </c>
      <c r="C411" s="26" t="s">
        <v>19</v>
      </c>
      <c r="D411" s="10" t="s">
        <v>551</v>
      </c>
      <c r="E411" s="10" t="s">
        <v>552</v>
      </c>
      <c r="F411" s="92">
        <v>11</v>
      </c>
      <c r="G411" s="109" t="s">
        <v>450</v>
      </c>
      <c r="H411" s="109" t="s">
        <v>447</v>
      </c>
      <c r="I411" s="90" t="s">
        <v>436</v>
      </c>
      <c r="J411" s="90"/>
      <c r="K411" s="90"/>
      <c r="L411" s="90"/>
      <c r="M411" s="90"/>
      <c r="N411" s="90"/>
      <c r="O411" s="133"/>
      <c r="P411" s="51" t="s">
        <v>106</v>
      </c>
      <c r="Q411" s="126" t="s">
        <v>556</v>
      </c>
      <c r="R411" s="90"/>
      <c r="S411" s="109" t="s">
        <v>483</v>
      </c>
      <c r="T411" s="130"/>
      <c r="U411" s="130"/>
      <c r="V411" s="109"/>
      <c r="W411" s="90"/>
      <c r="X411" s="130"/>
      <c r="Y411" s="129" t="str">
        <f t="shared" si="112"/>
        <v>TB_BANNER</v>
      </c>
      <c r="Z411" s="50" t="str">
        <f t="shared" si="103"/>
        <v>USE_YN VARCHAR(1) NOT NULL,</v>
      </c>
      <c r="AA411" s="50" t="str">
        <f t="shared" si="110"/>
        <v/>
      </c>
      <c r="AB411" s="50" t="str">
        <f t="shared" si="111"/>
        <v/>
      </c>
      <c r="AC411" s="50" t="str">
        <f t="shared" si="102"/>
        <v/>
      </c>
      <c r="AD411" s="50" t="str">
        <f t="shared" si="104"/>
        <v>ALTER TABLE TB_BANNER ALTER COLUMN USE_YN TYPE VARCHAR(1);</v>
      </c>
      <c r="AE411" s="50" t="str">
        <f t="shared" si="105"/>
        <v>ALTER TABLE TB_BANNER ADD COLUMN USE_YN VARCHAR(1) NOT NULL;</v>
      </c>
      <c r="AF411" s="50" t="str">
        <f t="shared" si="106"/>
        <v>ALTER TABLE TB_BANNER DROP COLUMN USE_YN;</v>
      </c>
      <c r="AG411" s="50" t="str">
        <f t="shared" si="107"/>
        <v/>
      </c>
      <c r="AH411" s="50" t="str">
        <f t="shared" si="113"/>
        <v>COMMENT ON COLUMN TB_BANNER.USE_YN IS '사용 여부' ;</v>
      </c>
    </row>
    <row r="412" spans="1:34" ht="20.100000000000001" customHeight="1">
      <c r="A412" s="55">
        <v>416</v>
      </c>
      <c r="B412" s="26" t="s">
        <v>7</v>
      </c>
      <c r="C412" s="26" t="s">
        <v>19</v>
      </c>
      <c r="D412" s="10" t="s">
        <v>551</v>
      </c>
      <c r="E412" s="10" t="s">
        <v>552</v>
      </c>
      <c r="F412" s="92">
        <v>12</v>
      </c>
      <c r="G412" s="106" t="s">
        <v>531</v>
      </c>
      <c r="H412" s="106" t="s">
        <v>536</v>
      </c>
      <c r="I412" s="75" t="s">
        <v>72</v>
      </c>
      <c r="J412" s="61"/>
      <c r="K412" s="61"/>
      <c r="L412" s="69"/>
      <c r="M412" s="69"/>
      <c r="N412" s="69"/>
      <c r="O412" s="69"/>
      <c r="P412" s="51" t="s">
        <v>106</v>
      </c>
      <c r="Q412" s="126" t="s">
        <v>556</v>
      </c>
      <c r="R412" s="90"/>
      <c r="S412" s="109" t="s">
        <v>548</v>
      </c>
      <c r="T412" s="130"/>
      <c r="U412" s="130"/>
      <c r="V412" s="109"/>
      <c r="W412" s="90"/>
      <c r="X412" s="130"/>
      <c r="Y412" s="129" t="str">
        <f t="shared" si="112"/>
        <v>TB_BANNER</v>
      </c>
      <c r="Z412" s="50" t="str">
        <f t="shared" si="103"/>
        <v>BANNER_PD_SET_YN VARCHAR(1) NOT NULL,</v>
      </c>
      <c r="AA412" s="50" t="str">
        <f t="shared" si="110"/>
        <v/>
      </c>
      <c r="AB412" s="50" t="str">
        <f t="shared" si="111"/>
        <v/>
      </c>
      <c r="AC412" s="50" t="str">
        <f t="shared" si="102"/>
        <v/>
      </c>
      <c r="AD412" s="50" t="str">
        <f t="shared" si="104"/>
        <v>ALTER TABLE TB_BANNER ALTER COLUMN BANNER_PD_SET_YN TYPE VARCHAR(1);</v>
      </c>
      <c r="AE412" s="50" t="str">
        <f t="shared" si="105"/>
        <v>ALTER TABLE TB_BANNER ADD COLUMN BANNER_PD_SET_YN VARCHAR(1) NOT NULL;</v>
      </c>
      <c r="AF412" s="50" t="str">
        <f t="shared" si="106"/>
        <v>ALTER TABLE TB_BANNER DROP COLUMN BANNER_PD_SET_YN;</v>
      </c>
      <c r="AG412" s="50" t="str">
        <f t="shared" si="107"/>
        <v/>
      </c>
      <c r="AH412" s="50" t="str">
        <f t="shared" si="113"/>
        <v>COMMENT ON COLUMN TB_BANNER.BANNER_PD_SET_YN IS '배너 기간 설정 여부' ;</v>
      </c>
    </row>
    <row r="413" spans="1:34" ht="20.100000000000001" customHeight="1">
      <c r="A413" s="55">
        <v>417</v>
      </c>
      <c r="B413" s="26" t="s">
        <v>7</v>
      </c>
      <c r="C413" s="26" t="s">
        <v>19</v>
      </c>
      <c r="D413" s="10" t="s">
        <v>551</v>
      </c>
      <c r="E413" s="10" t="s">
        <v>552</v>
      </c>
      <c r="F413" s="92">
        <v>13</v>
      </c>
      <c r="G413" s="107" t="s">
        <v>532</v>
      </c>
      <c r="H413" s="106" t="s">
        <v>535</v>
      </c>
      <c r="I413" s="61"/>
      <c r="J413" s="61"/>
      <c r="K413" s="61"/>
      <c r="L413" s="61"/>
      <c r="M413" s="61"/>
      <c r="N413" s="61"/>
      <c r="O413" s="61"/>
      <c r="P413" s="51" t="s">
        <v>106</v>
      </c>
      <c r="Q413" s="127" t="s">
        <v>750</v>
      </c>
      <c r="R413" s="90"/>
      <c r="S413" s="109" t="s">
        <v>549</v>
      </c>
      <c r="T413" s="130"/>
      <c r="U413" s="130"/>
      <c r="V413" s="109"/>
      <c r="W413" s="90"/>
      <c r="X413" s="130"/>
      <c r="Y413" s="129" t="str">
        <f t="shared" si="112"/>
        <v>TB_BANNER</v>
      </c>
      <c r="Z413" s="50" t="str">
        <f t="shared" si="103"/>
        <v>BANNER_BEGIN_DT VARCHAR(14),</v>
      </c>
      <c r="AA413" s="50" t="str">
        <f t="shared" si="110"/>
        <v/>
      </c>
      <c r="AB413" s="50" t="str">
        <f t="shared" si="111"/>
        <v/>
      </c>
      <c r="AC413" s="50" t="str">
        <f t="shared" si="102"/>
        <v/>
      </c>
      <c r="AD413" s="50" t="str">
        <f t="shared" si="104"/>
        <v>ALTER TABLE TB_BANNER ALTER COLUMN BANNER_BEGIN_DT TYPE VARCHAR(14);</v>
      </c>
      <c r="AE413" s="50" t="str">
        <f t="shared" si="105"/>
        <v>ALTER TABLE TB_BANNER ADD COLUMN BANNER_BEGIN_DT VARCHAR(14);</v>
      </c>
      <c r="AF413" s="50" t="str">
        <f t="shared" si="106"/>
        <v>ALTER TABLE TB_BANNER DROP COLUMN BANNER_BEGIN_DT;</v>
      </c>
      <c r="AG413" s="50" t="str">
        <f t="shared" si="107"/>
        <v/>
      </c>
      <c r="AH413" s="50" t="str">
        <f t="shared" si="113"/>
        <v>COMMENT ON COLUMN TB_BANNER.BANNER_BEGIN_DT IS '배너 시작 일시' ;</v>
      </c>
    </row>
    <row r="414" spans="1:34" ht="20.100000000000001" customHeight="1">
      <c r="A414" s="55">
        <v>418</v>
      </c>
      <c r="B414" s="26" t="s">
        <v>7</v>
      </c>
      <c r="C414" s="26" t="s">
        <v>19</v>
      </c>
      <c r="D414" s="10" t="s">
        <v>551</v>
      </c>
      <c r="E414" s="10" t="s">
        <v>552</v>
      </c>
      <c r="F414" s="92">
        <v>14</v>
      </c>
      <c r="G414" s="106" t="s">
        <v>533</v>
      </c>
      <c r="H414" s="106" t="s">
        <v>534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750</v>
      </c>
      <c r="R414" s="90"/>
      <c r="S414" s="109" t="s">
        <v>550</v>
      </c>
      <c r="T414" s="130"/>
      <c r="U414" s="130"/>
      <c r="V414" s="109"/>
      <c r="W414" s="90"/>
      <c r="X414" s="130"/>
      <c r="Y414" s="129" t="str">
        <f t="shared" si="112"/>
        <v>TB_BANNER</v>
      </c>
      <c r="Z414" s="50" t="str">
        <f t="shared" si="103"/>
        <v>BANNER_END_DT VARCHAR(14),</v>
      </c>
      <c r="AA414" s="50" t="str">
        <f t="shared" si="110"/>
        <v/>
      </c>
      <c r="AB414" s="50" t="str">
        <f t="shared" si="111"/>
        <v/>
      </c>
      <c r="AC414" s="50" t="str">
        <f t="shared" si="102"/>
        <v/>
      </c>
      <c r="AD414" s="50" t="str">
        <f t="shared" si="104"/>
        <v>ALTER TABLE TB_BANNER ALTER COLUMN BANNER_END_DT TYPE VARCHAR(14);</v>
      </c>
      <c r="AE414" s="50" t="str">
        <f t="shared" si="105"/>
        <v>ALTER TABLE TB_BANNER ADD COLUMN BANNER_END_DT VARCHAR(14);</v>
      </c>
      <c r="AF414" s="50" t="str">
        <f t="shared" si="106"/>
        <v>ALTER TABLE TB_BANNER DROP COLUMN BANNER_END_DT;</v>
      </c>
      <c r="AG414" s="50" t="str">
        <f t="shared" si="107"/>
        <v/>
      </c>
      <c r="AH414" s="50" t="str">
        <f t="shared" si="113"/>
        <v>COMMENT ON COLUMN TB_BANNER.BANNER_END_DT IS '배너 종료 일시' ;</v>
      </c>
    </row>
    <row r="415" spans="1:34" ht="20.100000000000001" customHeight="1">
      <c r="A415" s="55">
        <v>419</v>
      </c>
      <c r="B415" s="26" t="s">
        <v>7</v>
      </c>
      <c r="C415" s="26" t="s">
        <v>19</v>
      </c>
      <c r="D415" s="10" t="s">
        <v>551</v>
      </c>
      <c r="E415" s="10" t="s">
        <v>552</v>
      </c>
      <c r="F415" s="92">
        <v>15</v>
      </c>
      <c r="G415" s="102" t="s">
        <v>107</v>
      </c>
      <c r="H415" s="51" t="s">
        <v>76</v>
      </c>
      <c r="I415" s="75" t="s">
        <v>72</v>
      </c>
      <c r="J415" s="67"/>
      <c r="K415" s="67"/>
      <c r="L415" s="82"/>
      <c r="M415" s="82"/>
      <c r="N415" s="82"/>
      <c r="O415" s="82"/>
      <c r="P415" s="105" t="s">
        <v>555</v>
      </c>
      <c r="Q415" s="126" t="s">
        <v>560</v>
      </c>
      <c r="R415" s="85"/>
      <c r="S415" s="112" t="s">
        <v>226</v>
      </c>
      <c r="T415" s="130"/>
      <c r="U415" s="130"/>
      <c r="V415" s="109"/>
      <c r="W415" s="90"/>
      <c r="X415" s="130"/>
      <c r="Y415" s="129" t="str">
        <f t="shared" si="112"/>
        <v>TB_BANNER</v>
      </c>
      <c r="Z415" s="50" t="str">
        <f t="shared" si="103"/>
        <v>REGISTER_ID VARCHAR(50) NOT NULL,</v>
      </c>
      <c r="AA415" s="50" t="str">
        <f t="shared" si="110"/>
        <v/>
      </c>
      <c r="AB415" s="50" t="str">
        <f t="shared" si="111"/>
        <v/>
      </c>
      <c r="AC415" s="50" t="str">
        <f t="shared" si="102"/>
        <v/>
      </c>
      <c r="AD415" s="50" t="str">
        <f t="shared" si="104"/>
        <v>ALTER TABLE TB_BANNER ALTER COLUMN REGISTER_ID TYPE VARCHAR(50);</v>
      </c>
      <c r="AE415" s="50" t="str">
        <f t="shared" si="105"/>
        <v>ALTER TABLE TB_BANNER ADD COLUMN REGISTER_ID VARCHAR(50) NOT NULL;</v>
      </c>
      <c r="AF415" s="50" t="str">
        <f t="shared" si="106"/>
        <v>ALTER TABLE TB_BANNER DROP COLUMN REGISTER_ID;</v>
      </c>
      <c r="AG415" s="50" t="str">
        <f t="shared" si="107"/>
        <v/>
      </c>
      <c r="AH415" s="50" t="str">
        <f t="shared" si="113"/>
        <v>COMMENT ON COLUMN TB_BANNER.REGISTER_ID IS '등록자 ID' ;</v>
      </c>
    </row>
    <row r="416" spans="1:34" ht="20.100000000000001" customHeight="1">
      <c r="A416" s="55">
        <v>420</v>
      </c>
      <c r="B416" s="26" t="s">
        <v>7</v>
      </c>
      <c r="C416" s="26" t="s">
        <v>19</v>
      </c>
      <c r="D416" s="10" t="s">
        <v>551</v>
      </c>
      <c r="E416" s="10" t="s">
        <v>552</v>
      </c>
      <c r="F416" s="92">
        <v>16</v>
      </c>
      <c r="G416" s="102" t="s">
        <v>91</v>
      </c>
      <c r="H416" s="51" t="s">
        <v>77</v>
      </c>
      <c r="I416" s="75" t="s">
        <v>72</v>
      </c>
      <c r="J416" s="52"/>
      <c r="K416" s="52"/>
      <c r="L416" s="52"/>
      <c r="M416" s="52"/>
      <c r="N416" s="52"/>
      <c r="O416" s="52"/>
      <c r="P416" s="56" t="s">
        <v>106</v>
      </c>
      <c r="Q416" s="127" t="s">
        <v>561</v>
      </c>
      <c r="R416" s="85"/>
      <c r="S416" s="112" t="s">
        <v>225</v>
      </c>
      <c r="T416" s="130"/>
      <c r="U416" s="130"/>
      <c r="V416" s="109"/>
      <c r="W416" s="90"/>
      <c r="X416" s="130"/>
      <c r="Y416" s="129" t="str">
        <f t="shared" si="112"/>
        <v>TB_BANNER</v>
      </c>
      <c r="Z416" s="50" t="str">
        <f t="shared" si="103"/>
        <v>REGISTER_IP VARCHAR(100) NOT NULL,</v>
      </c>
      <c r="AA416" s="50" t="str">
        <f t="shared" si="110"/>
        <v/>
      </c>
      <c r="AB416" s="50" t="str">
        <f t="shared" si="111"/>
        <v/>
      </c>
      <c r="AC416" s="50" t="str">
        <f t="shared" si="102"/>
        <v/>
      </c>
      <c r="AD416" s="50" t="str">
        <f t="shared" si="104"/>
        <v>ALTER TABLE TB_BANNER ALTER COLUMN REGISTER_IP TYPE VARCHAR(100);</v>
      </c>
      <c r="AE416" s="50" t="str">
        <f t="shared" si="105"/>
        <v>ALTER TABLE TB_BANNER ADD COLUMN REGISTER_IP VARCHAR(100) NOT NULL;</v>
      </c>
      <c r="AF416" s="50" t="str">
        <f t="shared" si="106"/>
        <v>ALTER TABLE TB_BANNER DROP COLUMN REGISTER_IP;</v>
      </c>
      <c r="AG416" s="50" t="str">
        <f t="shared" si="107"/>
        <v/>
      </c>
      <c r="AH416" s="50" t="str">
        <f t="shared" si="113"/>
        <v>COMMENT ON COLUMN TB_BANNER.REGISTER_IP IS '등록자 IP' ;</v>
      </c>
    </row>
    <row r="417" spans="1:34" ht="20.100000000000001" customHeight="1">
      <c r="A417" s="55">
        <v>421</v>
      </c>
      <c r="B417" s="26" t="s">
        <v>7</v>
      </c>
      <c r="C417" s="26" t="s">
        <v>19</v>
      </c>
      <c r="D417" s="10" t="s">
        <v>551</v>
      </c>
      <c r="E417" s="10" t="s">
        <v>552</v>
      </c>
      <c r="F417" s="92">
        <v>17</v>
      </c>
      <c r="G417" s="102" t="s">
        <v>92</v>
      </c>
      <c r="H417" s="101" t="s">
        <v>78</v>
      </c>
      <c r="I417" s="75" t="s">
        <v>72</v>
      </c>
      <c r="J417" s="52"/>
      <c r="K417" s="52"/>
      <c r="L417" s="52"/>
      <c r="M417" s="52"/>
      <c r="N417" s="52"/>
      <c r="O417" s="52"/>
      <c r="P417" s="51" t="s">
        <v>749</v>
      </c>
      <c r="Q417" s="127"/>
      <c r="R417" s="85"/>
      <c r="S417" s="112" t="s">
        <v>224</v>
      </c>
      <c r="T417" s="130"/>
      <c r="U417" s="130"/>
      <c r="V417" s="109"/>
      <c r="W417" s="90"/>
      <c r="X417" s="130"/>
      <c r="Y417" s="129" t="str">
        <f t="shared" si="112"/>
        <v>TB_BANNER</v>
      </c>
      <c r="Z417" s="50" t="str">
        <f t="shared" si="103"/>
        <v>REG_DT TIMESTAMP NOT NULL,</v>
      </c>
      <c r="AA417" s="50" t="str">
        <f t="shared" si="110"/>
        <v/>
      </c>
      <c r="AB417" s="50" t="str">
        <f t="shared" si="111"/>
        <v/>
      </c>
      <c r="AC417" s="50" t="str">
        <f t="shared" si="102"/>
        <v/>
      </c>
      <c r="AD417" s="50" t="str">
        <f t="shared" si="104"/>
        <v>ALTER TABLE TB_BANNER ALTER COLUMN REG_DT TYPE TIMESTAMP;</v>
      </c>
      <c r="AE417" s="50" t="str">
        <f t="shared" si="105"/>
        <v>ALTER TABLE TB_BANNER ADD COLUMN REG_DT TIMESTAMP NOT NULL;</v>
      </c>
      <c r="AF417" s="50" t="str">
        <f t="shared" si="106"/>
        <v>ALTER TABLE TB_BANNER DROP COLUMN REG_DT;</v>
      </c>
      <c r="AG417" s="50" t="str">
        <f t="shared" si="107"/>
        <v/>
      </c>
      <c r="AH417" s="50" t="str">
        <f t="shared" si="113"/>
        <v>COMMENT ON COLUMN TB_BANNER.REG_DT IS '등록 일시' ;</v>
      </c>
    </row>
    <row r="418" spans="1:34" ht="20.100000000000001" customHeight="1">
      <c r="A418" s="55">
        <v>422</v>
      </c>
      <c r="B418" s="26" t="s">
        <v>7</v>
      </c>
      <c r="C418" s="26" t="s">
        <v>19</v>
      </c>
      <c r="D418" s="10" t="s">
        <v>551</v>
      </c>
      <c r="E418" s="10" t="s">
        <v>552</v>
      </c>
      <c r="F418" s="92">
        <v>18</v>
      </c>
      <c r="G418" s="102" t="s">
        <v>93</v>
      </c>
      <c r="H418" s="101" t="s">
        <v>80</v>
      </c>
      <c r="I418" s="52"/>
      <c r="J418" s="52"/>
      <c r="K418" s="52"/>
      <c r="L418" s="84"/>
      <c r="M418" s="84"/>
      <c r="N418" s="84"/>
      <c r="O418" s="84"/>
      <c r="P418" s="105" t="s">
        <v>555</v>
      </c>
      <c r="Q418" s="126" t="s">
        <v>560</v>
      </c>
      <c r="R418" s="85"/>
      <c r="S418" s="112" t="s">
        <v>223</v>
      </c>
      <c r="T418" s="130"/>
      <c r="U418" s="130"/>
      <c r="V418" s="109"/>
      <c r="W418" s="90"/>
      <c r="X418" s="130"/>
      <c r="Y418" s="129" t="str">
        <f t="shared" si="112"/>
        <v>TB_BANNER</v>
      </c>
      <c r="Z418" s="50" t="str">
        <f t="shared" si="103"/>
        <v>UPDUSR_ID VARCHAR(50),</v>
      </c>
      <c r="AA418" s="50" t="str">
        <f t="shared" si="110"/>
        <v/>
      </c>
      <c r="AB418" s="50" t="str">
        <f t="shared" si="111"/>
        <v/>
      </c>
      <c r="AC418" s="50" t="str">
        <f t="shared" si="102"/>
        <v/>
      </c>
      <c r="AD418" s="50" t="str">
        <f t="shared" si="104"/>
        <v>ALTER TABLE TB_BANNER ALTER COLUMN UPDUSR_ID TYPE VARCHAR(50);</v>
      </c>
      <c r="AE418" s="50" t="str">
        <f t="shared" si="105"/>
        <v>ALTER TABLE TB_BANNER ADD COLUMN UPDUSR_ID VARCHAR(50);</v>
      </c>
      <c r="AF418" s="50" t="str">
        <f t="shared" si="106"/>
        <v>ALTER TABLE TB_BANNER DROP COLUMN UPDUSR_ID;</v>
      </c>
      <c r="AG418" s="50" t="str">
        <f t="shared" si="107"/>
        <v/>
      </c>
      <c r="AH418" s="50" t="str">
        <f t="shared" si="113"/>
        <v>COMMENT ON COLUMN TB_BANNER.UPDUSR_ID IS '수정자 ID' ;</v>
      </c>
    </row>
    <row r="419" spans="1:34" ht="20.100000000000001" customHeight="1">
      <c r="A419" s="55">
        <v>423</v>
      </c>
      <c r="B419" s="26" t="s">
        <v>7</v>
      </c>
      <c r="C419" s="26" t="s">
        <v>19</v>
      </c>
      <c r="D419" s="10" t="s">
        <v>551</v>
      </c>
      <c r="E419" s="10" t="s">
        <v>552</v>
      </c>
      <c r="F419" s="92">
        <v>19</v>
      </c>
      <c r="G419" s="102" t="s">
        <v>94</v>
      </c>
      <c r="H419" s="101" t="s">
        <v>79</v>
      </c>
      <c r="I419" s="52"/>
      <c r="J419" s="52"/>
      <c r="K419" s="52"/>
      <c r="L419" s="52"/>
      <c r="M419" s="52"/>
      <c r="N419" s="52"/>
      <c r="O419" s="52"/>
      <c r="P419" s="56" t="s">
        <v>106</v>
      </c>
      <c r="Q419" s="127" t="s">
        <v>561</v>
      </c>
      <c r="R419" s="85"/>
      <c r="S419" s="112" t="s">
        <v>222</v>
      </c>
      <c r="T419" s="130"/>
      <c r="U419" s="130"/>
      <c r="V419" s="109"/>
      <c r="W419" s="90"/>
      <c r="X419" s="130"/>
      <c r="Y419" s="129" t="str">
        <f t="shared" si="112"/>
        <v>TB_BANNER</v>
      </c>
      <c r="Z419" s="50" t="str">
        <f t="shared" si="103"/>
        <v>UPDUSR_IP VARCHAR(100),</v>
      </c>
      <c r="AA419" s="50" t="str">
        <f t="shared" si="110"/>
        <v/>
      </c>
      <c r="AB419" s="50" t="str">
        <f t="shared" si="111"/>
        <v/>
      </c>
      <c r="AC419" s="50" t="str">
        <f t="shared" si="102"/>
        <v/>
      </c>
      <c r="AD419" s="50" t="str">
        <f t="shared" si="104"/>
        <v>ALTER TABLE TB_BANNER ALTER COLUMN UPDUSR_IP TYPE VARCHAR(100);</v>
      </c>
      <c r="AE419" s="50" t="str">
        <f t="shared" si="105"/>
        <v>ALTER TABLE TB_BANNER ADD COLUMN UPDUSR_IP VARCHAR(100);</v>
      </c>
      <c r="AF419" s="50" t="str">
        <f t="shared" si="106"/>
        <v>ALTER TABLE TB_BANNER DROP COLUMN UPDUSR_IP;</v>
      </c>
      <c r="AG419" s="50" t="str">
        <f t="shared" si="107"/>
        <v/>
      </c>
      <c r="AH419" s="50" t="str">
        <f t="shared" si="113"/>
        <v>COMMENT ON COLUMN TB_BANNER.UPDUSR_IP IS '수정자 IP' ;</v>
      </c>
    </row>
    <row r="420" spans="1:34" ht="20.100000000000001" customHeight="1">
      <c r="A420" s="55">
        <v>424</v>
      </c>
      <c r="B420" s="26" t="s">
        <v>7</v>
      </c>
      <c r="C420" s="26" t="s">
        <v>19</v>
      </c>
      <c r="D420" s="10" t="s">
        <v>551</v>
      </c>
      <c r="E420" s="10" t="s">
        <v>552</v>
      </c>
      <c r="F420" s="92">
        <v>20</v>
      </c>
      <c r="G420" s="103" t="s">
        <v>95</v>
      </c>
      <c r="H420" s="102" t="s">
        <v>81</v>
      </c>
      <c r="I420" s="61"/>
      <c r="J420" s="61"/>
      <c r="K420" s="61"/>
      <c r="L420" s="61"/>
      <c r="M420" s="61"/>
      <c r="N420" s="61"/>
      <c r="O420" s="61"/>
      <c r="P420" s="51" t="s">
        <v>749</v>
      </c>
      <c r="Q420" s="127"/>
      <c r="R420" s="82"/>
      <c r="S420" s="112" t="s">
        <v>221</v>
      </c>
      <c r="T420" s="130"/>
      <c r="U420" s="130"/>
      <c r="V420" s="109"/>
      <c r="W420" s="90"/>
      <c r="X420" s="130"/>
      <c r="Y420" s="129" t="str">
        <f t="shared" si="112"/>
        <v>TB_BANNER</v>
      </c>
      <c r="Z420" s="50" t="str">
        <f t="shared" si="103"/>
        <v>UPDT_DT TIMESTAMP,</v>
      </c>
      <c r="AA420" s="50" t="str">
        <f t="shared" si="110"/>
        <v/>
      </c>
      <c r="AB420" s="50" t="str">
        <f t="shared" si="111"/>
        <v/>
      </c>
      <c r="AC420" s="50" t="str">
        <f t="shared" si="102"/>
        <v/>
      </c>
      <c r="AD420" s="50" t="str">
        <f t="shared" si="104"/>
        <v>ALTER TABLE TB_BANNER ALTER COLUMN UPDT_DT TYPE TIMESTAMP;</v>
      </c>
      <c r="AE420" s="50" t="str">
        <f t="shared" si="105"/>
        <v>ALTER TABLE TB_BANNER ADD COLUMN UPDT_DT TIMESTAMP;</v>
      </c>
      <c r="AF420" s="50" t="str">
        <f t="shared" si="106"/>
        <v>ALTER TABLE TB_BANNER DROP COLUMN UPDT_DT;</v>
      </c>
      <c r="AG420" s="50" t="str">
        <f t="shared" si="107"/>
        <v/>
      </c>
      <c r="AH420" s="50" t="str">
        <f t="shared" si="113"/>
        <v>COMMENT ON COLUMN TB_BANNER.UPDT_DT IS '수정 일시' ;</v>
      </c>
    </row>
    <row r="421" spans="1:34" ht="20.100000000000001" customHeight="1">
      <c r="A421" s="55">
        <v>425</v>
      </c>
      <c r="B421" s="26" t="s">
        <v>7</v>
      </c>
      <c r="C421" s="26" t="s">
        <v>19</v>
      </c>
      <c r="D421" s="10" t="s">
        <v>551</v>
      </c>
      <c r="E421" s="10" t="s">
        <v>552</v>
      </c>
      <c r="F421" s="92">
        <v>21</v>
      </c>
      <c r="G421" s="102" t="s">
        <v>96</v>
      </c>
      <c r="H421" s="102" t="s">
        <v>82</v>
      </c>
      <c r="I421" s="75" t="s">
        <v>72</v>
      </c>
      <c r="J421" s="61"/>
      <c r="K421" s="61"/>
      <c r="L421" s="61"/>
      <c r="M421" s="61"/>
      <c r="N421" s="61"/>
      <c r="O421" s="61"/>
      <c r="P421" s="51" t="s">
        <v>106</v>
      </c>
      <c r="Q421" s="127" t="s">
        <v>556</v>
      </c>
      <c r="R421" s="87" t="s">
        <v>604</v>
      </c>
      <c r="S421" s="112" t="s">
        <v>220</v>
      </c>
      <c r="T421" s="130"/>
      <c r="U421" s="130"/>
      <c r="V421" s="109"/>
      <c r="W421" s="90"/>
      <c r="X421" s="130"/>
      <c r="Y421" s="129" t="str">
        <f t="shared" si="112"/>
        <v>TB_BANNER</v>
      </c>
      <c r="Z421" s="50" t="str">
        <f t="shared" si="103"/>
        <v>DEL_YN VARCHAR(1) NOT NULL,</v>
      </c>
      <c r="AA421" s="50" t="str">
        <f t="shared" si="110"/>
        <v/>
      </c>
      <c r="AB421" s="50" t="str">
        <f t="shared" si="111"/>
        <v/>
      </c>
      <c r="AC421" s="50" t="str">
        <f t="shared" si="102"/>
        <v/>
      </c>
      <c r="AD421" s="50" t="str">
        <f t="shared" si="104"/>
        <v>ALTER TABLE TB_BANNER ALTER COLUMN DEL_YN TYPE VARCHAR(1);</v>
      </c>
      <c r="AE421" s="50" t="str">
        <f t="shared" si="105"/>
        <v>ALTER TABLE TB_BANNER ADD COLUMN DEL_YN VARCHAR(1) NOT NULL DEFAULT 'N';</v>
      </c>
      <c r="AF421" s="50" t="str">
        <f t="shared" si="106"/>
        <v>ALTER TABLE TB_BANNER DROP COLUMN DEL_YN;</v>
      </c>
      <c r="AG421" s="50" t="str">
        <f t="shared" si="107"/>
        <v>ALTER TABLE TB_BANNER ALTER COLUMN DEL_YN SET DEFAULT 'N';</v>
      </c>
      <c r="AH421" s="50" t="str">
        <f t="shared" si="113"/>
        <v>COMMENT ON COLUMN TB_BANNER.DEL_YN IS '삭제 여부' ;</v>
      </c>
    </row>
    <row r="422" spans="1:34">
      <c r="AE422" s="50" t="str">
        <f t="shared" si="105"/>
        <v>ALTER TABLE  ADD COLUMN  ;</v>
      </c>
      <c r="AF422" s="50" t="str">
        <f t="shared" si="106"/>
        <v>ALTER TABLE  DROP COLUMN ;</v>
      </c>
      <c r="AG422" s="50" t="str">
        <f t="shared" si="107"/>
        <v/>
      </c>
    </row>
    <row r="423" spans="1:34">
      <c r="AE423" s="50" t="str">
        <f t="shared" si="105"/>
        <v>ALTER TABLE  ADD COLUMN  ;</v>
      </c>
      <c r="AF423" s="50" t="str">
        <f t="shared" si="106"/>
        <v>ALTER TABLE  DROP COLUMN ;</v>
      </c>
      <c r="AG423" s="50" t="str">
        <f t="shared" si="107"/>
        <v/>
      </c>
    </row>
    <row r="424" spans="1:34">
      <c r="AE424" s="50" t="str">
        <f t="shared" si="105"/>
        <v>ALTER TABLE  ADD COLUMN  ;</v>
      </c>
      <c r="AF424" s="50" t="str">
        <f t="shared" si="106"/>
        <v>ALTER TABLE  DROP COLUMN ;</v>
      </c>
      <c r="AG424" s="50" t="str">
        <f t="shared" si="107"/>
        <v/>
      </c>
    </row>
    <row r="425" spans="1:34">
      <c r="AE425" s="50" t="str">
        <f t="shared" si="105"/>
        <v>ALTER TABLE  ADD COLUMN  ;</v>
      </c>
      <c r="AF425" s="50" t="str">
        <f t="shared" si="106"/>
        <v>ALTER TABLE  DROP COLUMN ;</v>
      </c>
      <c r="AG425" s="50" t="str">
        <f t="shared" si="107"/>
        <v/>
      </c>
    </row>
    <row r="426" spans="1:34">
      <c r="AE426" s="50" t="str">
        <f t="shared" si="105"/>
        <v>ALTER TABLE  ADD COLUMN  ;</v>
      </c>
      <c r="AF426" s="50" t="str">
        <f t="shared" si="106"/>
        <v>ALTER TABLE  DROP COLUMN ;</v>
      </c>
      <c r="AG426" s="50" t="str">
        <f t="shared" si="107"/>
        <v/>
      </c>
    </row>
    <row r="427" spans="1:34">
      <c r="AE427" s="50" t="str">
        <f t="shared" si="105"/>
        <v>ALTER TABLE  ADD COLUMN  ;</v>
      </c>
      <c r="AF427" s="50" t="str">
        <f t="shared" si="106"/>
        <v>ALTER TABLE  DROP COLUMN ;</v>
      </c>
      <c r="AG427" s="50" t="str">
        <f t="shared" si="107"/>
        <v/>
      </c>
    </row>
    <row r="428" spans="1:34">
      <c r="AE428" s="50" t="str">
        <f t="shared" si="105"/>
        <v>ALTER TABLE  ADD COLUMN  ;</v>
      </c>
      <c r="AF428" s="50" t="str">
        <f t="shared" si="106"/>
        <v>ALTER TABLE  DROP COLUMN ;</v>
      </c>
      <c r="AG428" s="50" t="str">
        <f t="shared" si="107"/>
        <v/>
      </c>
    </row>
    <row r="429" spans="1:34">
      <c r="AE429" s="50" t="str">
        <f t="shared" si="105"/>
        <v>ALTER TABLE  ADD COLUMN  ;</v>
      </c>
      <c r="AF429" s="50" t="str">
        <f t="shared" si="106"/>
        <v>ALTER TABLE  DROP COLUMN ;</v>
      </c>
      <c r="AG429" s="50" t="str">
        <f t="shared" si="107"/>
        <v/>
      </c>
    </row>
    <row r="446" spans="2:8" s="131" customFormat="1">
      <c r="B446" s="89"/>
      <c r="C446" s="89"/>
      <c r="D446" s="93"/>
      <c r="E446" s="93"/>
      <c r="F446" s="94"/>
      <c r="G446" s="93"/>
      <c r="H446" s="93"/>
    </row>
    <row r="447" spans="2:8" s="131" customFormat="1">
      <c r="B447" s="116"/>
      <c r="C447" s="117"/>
      <c r="D447" s="118"/>
      <c r="E447" s="118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21"/>
      <c r="E450" s="21"/>
      <c r="F450" s="94"/>
      <c r="G450" s="93"/>
      <c r="H450" s="93"/>
    </row>
    <row r="451" spans="2:8" s="131" customFormat="1">
      <c r="B451" s="116"/>
      <c r="C451" s="117"/>
      <c r="D451" s="119"/>
      <c r="E451" s="119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21"/>
      <c r="F455" s="94"/>
      <c r="G455" s="93"/>
      <c r="H455" s="93"/>
    </row>
    <row r="456" spans="2:8" s="131" customFormat="1">
      <c r="B456" s="116"/>
      <c r="C456" s="117"/>
      <c r="D456" s="119"/>
      <c r="E456" s="119"/>
      <c r="F456" s="94"/>
      <c r="G456" s="93"/>
      <c r="H456" s="93"/>
    </row>
    <row r="457" spans="2:8" s="131" customFormat="1">
      <c r="B457" s="116"/>
      <c r="C457" s="117"/>
      <c r="D457" s="21"/>
      <c r="E457" s="118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119"/>
      <c r="E460" s="119"/>
      <c r="F460" s="94"/>
      <c r="G460" s="93"/>
      <c r="H460" s="93"/>
    </row>
    <row r="461" spans="2:8" s="131" customFormat="1">
      <c r="B461" s="116"/>
      <c r="C461" s="117"/>
      <c r="D461" s="21"/>
      <c r="E461" s="21"/>
      <c r="F461" s="94"/>
      <c r="G461" s="93"/>
      <c r="H461" s="93"/>
    </row>
    <row r="462" spans="2:8" s="131" customFormat="1">
      <c r="B462" s="116"/>
      <c r="C462" s="116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5"/>
      <c r="E473" s="120"/>
      <c r="F473" s="94"/>
      <c r="G473" s="93"/>
      <c r="H473" s="93"/>
    </row>
    <row r="474" spans="2:8" s="131" customFormat="1">
      <c r="B474" s="89"/>
      <c r="C474" s="89"/>
      <c r="D474" s="93"/>
      <c r="E474" s="93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</sheetData>
  <autoFilter ref="A4:X429" xr:uid="{85B6E963-2664-4494-AE6E-E89C8C9EB8F2}">
    <sortState ref="A21:X420">
      <sortCondition ref="A4:A421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2023-11-20T08:44:20Z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